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BOM/"/>
    </mc:Choice>
  </mc:AlternateContent>
  <xr:revisionPtr revIDLastSave="3293" documentId="8_{5107759B-8870-48A8-933E-C4A7F6F41B8D}" xr6:coauthVersionLast="47" xr6:coauthVersionMax="47" xr10:uidLastSave="{D10C75D7-64A4-4750-9268-7262A9680685}"/>
  <bookViews>
    <workbookView xWindow="28680" yWindow="-45" windowWidth="29040" windowHeight="16440" firstSheet="5" activeTab="10" xr2:uid="{00000000-000D-0000-FFFF-FFFF00000000}"/>
  </bookViews>
  <sheets>
    <sheet name="PARTS LIST" sheetId="43" r:id="rId1"/>
    <sheet name="V2 Frame BOM" sheetId="28" r:id="rId2"/>
    <sheet name="V2 AB Gantry BOM" sheetId="20" r:id="rId3"/>
    <sheet name="V2 Toolhead BOM" sheetId="36" r:id="rId4"/>
    <sheet name="V2 Z System BOM" sheetId="38" r:id="rId5"/>
    <sheet name="V2 Enclosure BOM" sheetId="39" r:id="rId6"/>
    <sheet name="V2 Drybox BOM" sheetId="40" r:id="rId7"/>
    <sheet name="V2 Liquid Cooling BOM" sheetId="41" r:id="rId8"/>
    <sheet name="V2 Electronics BOM" sheetId="42" r:id="rId9"/>
    <sheet name="V2 Printed Parts" sheetId="45" r:id="rId10"/>
    <sheet name="To Do" sheetId="34" r:id="rId11"/>
    <sheet name="Macro &amp; system names " sheetId="44" r:id="rId12"/>
    <sheet name="MISC" sheetId="30" r:id="rId13"/>
    <sheet name="V2 new features" sheetId="46" r:id="rId14"/>
    <sheet name="Comparison " sheetId="47" r:id="rId15"/>
    <sheet name="Filament Material Guide" sheetId="48" r:id="rId16"/>
  </sheets>
  <definedNames>
    <definedName name="_xlnm._FilterDatabase" localSheetId="15" hidden="1">'Filament Material Guide'!$B$4:$L$37</definedName>
    <definedName name="_xlnm._FilterDatabase" localSheetId="0" hidden="1">'PARTS LIST'!$A$1:$L$153</definedName>
    <definedName name="_xlnm.Print_Area" localSheetId="9">'V2 Printed Parts'!$A$1:$H$92</definedName>
    <definedName name="_xlnm.Print_Titles" localSheetId="0">'PARTS LIST'!$1:$1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jXg2aXlIlZtHiGIVqqlSvDo2t44g=="/>
    </ext>
  </extLst>
</workbook>
</file>

<file path=xl/calcChain.xml><?xml version="1.0" encoding="utf-8"?>
<calcChain xmlns="http://schemas.openxmlformats.org/spreadsheetml/2006/main">
  <c r="G137" i="43" l="1"/>
  <c r="G17" i="43"/>
  <c r="G28" i="43"/>
  <c r="G107" i="43"/>
  <c r="G62" i="43"/>
  <c r="G63" i="43"/>
  <c r="G51" i="43"/>
  <c r="G52" i="43"/>
  <c r="G59" i="43"/>
  <c r="K14" i="45"/>
  <c r="K12" i="45"/>
  <c r="K11" i="45"/>
  <c r="G2" i="45"/>
  <c r="G3" i="45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F76" i="45"/>
  <c r="F2" i="45"/>
  <c r="F3" i="45"/>
  <c r="F4" i="45"/>
  <c r="F5" i="45"/>
  <c r="F6" i="45"/>
  <c r="F7" i="45"/>
  <c r="F34" i="45"/>
  <c r="F35" i="45"/>
  <c r="F36" i="45"/>
  <c r="F37" i="45"/>
  <c r="F18" i="45"/>
  <c r="F19" i="45"/>
  <c r="F20" i="45"/>
  <c r="F21" i="45"/>
  <c r="F22" i="45"/>
  <c r="F23" i="45"/>
  <c r="F59" i="45"/>
  <c r="F38" i="45"/>
  <c r="F67" i="45"/>
  <c r="F24" i="45"/>
  <c r="F25" i="45"/>
  <c r="F26" i="45"/>
  <c r="F27" i="45"/>
  <c r="F28" i="45"/>
  <c r="F29" i="45"/>
  <c r="F30" i="45"/>
  <c r="F31" i="45"/>
  <c r="F39" i="45"/>
  <c r="F40" i="45"/>
  <c r="F41" i="45"/>
  <c r="F42" i="45"/>
  <c r="F43" i="45"/>
  <c r="F44" i="45"/>
  <c r="F45" i="45"/>
  <c r="F46" i="45"/>
  <c r="F47" i="45"/>
  <c r="F60" i="45"/>
  <c r="F32" i="45"/>
  <c r="F68" i="45"/>
  <c r="F69" i="45"/>
  <c r="F70" i="45"/>
  <c r="F48" i="45"/>
  <c r="F49" i="45"/>
  <c r="F50" i="45"/>
  <c r="F51" i="45"/>
  <c r="F8" i="45"/>
  <c r="F9" i="45"/>
  <c r="F77" i="45"/>
  <c r="F78" i="45"/>
  <c r="F79" i="45"/>
  <c r="F52" i="45"/>
  <c r="F53" i="45"/>
  <c r="F33" i="45"/>
  <c r="F10" i="45"/>
  <c r="F11" i="45"/>
  <c r="F12" i="45"/>
  <c r="F13" i="45"/>
  <c r="F63" i="45"/>
  <c r="F61" i="45"/>
  <c r="F62" i="45"/>
  <c r="F14" i="45"/>
  <c r="F15" i="45"/>
  <c r="F54" i="45"/>
  <c r="F71" i="45"/>
  <c r="F72" i="45"/>
  <c r="F55" i="45"/>
  <c r="F56" i="45"/>
  <c r="F64" i="45"/>
  <c r="F65" i="45"/>
  <c r="F66" i="45"/>
  <c r="F73" i="45"/>
  <c r="F74" i="45"/>
  <c r="F75" i="45"/>
  <c r="F57" i="45"/>
  <c r="F58" i="45"/>
  <c r="F16" i="45"/>
  <c r="F17" i="45"/>
  <c r="F80" i="45"/>
  <c r="F81" i="45"/>
  <c r="F82" i="45"/>
  <c r="F83" i="45"/>
  <c r="F84" i="45"/>
  <c r="F85" i="45"/>
  <c r="F86" i="45"/>
  <c r="F87" i="45"/>
  <c r="F88" i="45"/>
  <c r="F89" i="45"/>
  <c r="F90" i="45"/>
  <c r="F91" i="45"/>
  <c r="H92" i="45"/>
  <c r="E92" i="45"/>
  <c r="G145" i="43"/>
  <c r="G111" i="43"/>
  <c r="G32" i="43"/>
  <c r="G33" i="43"/>
  <c r="G34" i="43"/>
  <c r="G35" i="43"/>
  <c r="G125" i="43"/>
  <c r="G14" i="43"/>
  <c r="G64" i="43"/>
  <c r="G30" i="43"/>
  <c r="G60" i="43"/>
  <c r="G25" i="43"/>
  <c r="G55" i="43"/>
  <c r="G36" i="43"/>
  <c r="G15" i="43"/>
  <c r="G16" i="43"/>
  <c r="G18" i="43"/>
  <c r="G46" i="43"/>
  <c r="G49" i="43"/>
  <c r="G40" i="43"/>
  <c r="G42" i="43"/>
  <c r="G44" i="43"/>
  <c r="G47" i="43"/>
  <c r="G41" i="43"/>
  <c r="G43" i="43"/>
  <c r="G45" i="43"/>
  <c r="G48" i="43"/>
  <c r="G50" i="43"/>
  <c r="G37" i="43"/>
  <c r="G38" i="43"/>
  <c r="G39" i="43"/>
  <c r="G13" i="43"/>
  <c r="G11" i="43"/>
  <c r="G12" i="43"/>
  <c r="G61" i="43"/>
  <c r="G87" i="43"/>
  <c r="G80" i="43"/>
  <c r="G75" i="43"/>
  <c r="G26" i="43"/>
  <c r="G146" i="43"/>
  <c r="G147" i="43"/>
  <c r="G151" i="43"/>
  <c r="G148" i="43"/>
  <c r="G149" i="43"/>
  <c r="G150" i="43"/>
  <c r="G82" i="43"/>
  <c r="G27" i="43"/>
  <c r="G97" i="43"/>
  <c r="G86" i="43"/>
  <c r="G73" i="43"/>
  <c r="G143" i="43"/>
  <c r="G70" i="43"/>
  <c r="G69" i="43"/>
  <c r="G68" i="43"/>
  <c r="G142" i="43"/>
  <c r="G140" i="43"/>
  <c r="G139" i="43"/>
  <c r="G138" i="43"/>
  <c r="G136" i="43"/>
  <c r="G141" i="43"/>
  <c r="G105" i="43"/>
  <c r="G104" i="43"/>
  <c r="G103" i="43"/>
  <c r="G102" i="43"/>
  <c r="G101" i="43"/>
  <c r="G100" i="43"/>
  <c r="G99" i="43"/>
  <c r="G98" i="43"/>
  <c r="G94" i="43"/>
  <c r="G93" i="43"/>
  <c r="G92" i="43"/>
  <c r="G91" i="43"/>
  <c r="G90" i="43"/>
  <c r="G89" i="43"/>
  <c r="G88" i="43"/>
  <c r="G83" i="43"/>
  <c r="G81" i="43"/>
  <c r="G79" i="43"/>
  <c r="G78" i="43"/>
  <c r="G77" i="43"/>
  <c r="G76" i="43"/>
  <c r="G74" i="43"/>
  <c r="G132" i="43"/>
  <c r="G131" i="43"/>
  <c r="G130" i="43"/>
  <c r="G129" i="43"/>
  <c r="G128" i="43"/>
  <c r="G127" i="43"/>
  <c r="G124" i="43"/>
  <c r="G133" i="43"/>
  <c r="G126" i="43"/>
  <c r="G123" i="43"/>
  <c r="G122" i="43"/>
  <c r="G115" i="43"/>
  <c r="G121" i="43"/>
  <c r="G120" i="43"/>
  <c r="G118" i="43"/>
  <c r="G119" i="43"/>
  <c r="G116" i="43"/>
  <c r="G117" i="43"/>
  <c r="G134" i="43"/>
  <c r="G135" i="43"/>
  <c r="G96" i="43"/>
  <c r="G95" i="43"/>
  <c r="G66" i="43"/>
  <c r="G85" i="43"/>
  <c r="G84" i="43"/>
  <c r="G72" i="43"/>
  <c r="G71" i="43"/>
  <c r="G65" i="43"/>
  <c r="G152" i="43"/>
  <c r="G144" i="43"/>
  <c r="G114" i="43"/>
  <c r="G113" i="43"/>
  <c r="G112" i="43"/>
  <c r="G110" i="43"/>
  <c r="G108" i="43"/>
  <c r="G109" i="43"/>
  <c r="G106" i="43"/>
  <c r="G31" i="43"/>
  <c r="G54" i="43"/>
  <c r="G53" i="43"/>
  <c r="G20" i="43"/>
  <c r="G19" i="43"/>
  <c r="G56" i="43"/>
  <c r="G29" i="43"/>
  <c r="G24" i="43"/>
  <c r="G23" i="43"/>
  <c r="G57" i="43"/>
  <c r="G21" i="43"/>
  <c r="G58" i="43"/>
  <c r="G22" i="43"/>
  <c r="G67" i="43"/>
  <c r="G7" i="43"/>
  <c r="G6" i="43"/>
  <c r="G5" i="43"/>
  <c r="G9" i="43"/>
  <c r="G3" i="43"/>
  <c r="G8" i="43"/>
  <c r="G10" i="43"/>
  <c r="G4" i="43"/>
  <c r="G2" i="43"/>
  <c r="F92" i="45" l="1"/>
  <c r="G92" i="45"/>
  <c r="G153" i="43"/>
</calcChain>
</file>

<file path=xl/sharedStrings.xml><?xml version="1.0" encoding="utf-8"?>
<sst xmlns="http://schemas.openxmlformats.org/spreadsheetml/2006/main" count="2002" uniqueCount="1101">
  <si>
    <t>Type</t>
  </si>
  <si>
    <t>Part</t>
  </si>
  <si>
    <t>Cut length</t>
  </si>
  <si>
    <t>Qty Required</t>
  </si>
  <si>
    <t>Pack Order Qty</t>
  </si>
  <si>
    <t>Pack Price $USD</t>
  </si>
  <si>
    <t>*Cost Price $USD</t>
  </si>
  <si>
    <t>Order Link</t>
  </si>
  <si>
    <t>Supplier</t>
  </si>
  <si>
    <t>Qty in a Pack</t>
  </si>
  <si>
    <t>DIN</t>
  </si>
  <si>
    <t>ISO</t>
  </si>
  <si>
    <t>Column1</t>
  </si>
  <si>
    <t>Bearing</t>
  </si>
  <si>
    <t>05x16x5 Bearing 625ZZ</t>
  </si>
  <si>
    <t>625ZZ - 10PCS</t>
  </si>
  <si>
    <t>APE</t>
  </si>
  <si>
    <t>06x17x6 Bearing F606ZZ</t>
  </si>
  <si>
    <t>F606ZZ - 10PCS</t>
  </si>
  <si>
    <t>08x16x5 Bearing 688ZZ</t>
  </si>
  <si>
    <t>688ZZ - 10PCS</t>
  </si>
  <si>
    <t>MGN 12H 350 Linear Rail</t>
  </si>
  <si>
    <t>C: L350 - MGN12H - PL None</t>
  </si>
  <si>
    <t>CNA</t>
  </si>
  <si>
    <t>MGN 12H 400 Linear Rail</t>
  </si>
  <si>
    <t>C: L400 - MGN12H - PL Light</t>
  </si>
  <si>
    <t>MGN 9H 400 Linear Rail</t>
  </si>
  <si>
    <t>C: L400 - MGN9H - PL Medium</t>
  </si>
  <si>
    <t>04.5mm Bearing Ball</t>
  </si>
  <si>
    <t>OD: 4.5mm G100 - N: 10PCS</t>
  </si>
  <si>
    <t>Gosenballs</t>
  </si>
  <si>
    <t>M4x10mm Ball Bearing tapped</t>
  </si>
  <si>
    <t>M4x10 Ball Bearing - 20PCS</t>
  </si>
  <si>
    <t>Mellow 3D</t>
  </si>
  <si>
    <t>16x400 DBX Draw Slides</t>
  </si>
  <si>
    <t>C: Buffer 16in - 40cm</t>
  </si>
  <si>
    <t>Naierdi</t>
  </si>
  <si>
    <t>Electrical</t>
  </si>
  <si>
    <t>Cable Blue 18AWG 200C 600V</t>
  </si>
  <si>
    <t>Color: Blue - L: 1M - S: 18AWG</t>
  </si>
  <si>
    <t>SkyCable store</t>
  </si>
  <si>
    <t>Cable Green 18AWG 200C 600V</t>
  </si>
  <si>
    <t>Cable Brown 18AWG 200C 600V</t>
  </si>
  <si>
    <t>Color: Brown L: 1M S: 18 AWG</t>
  </si>
  <si>
    <t>Lighting - 24v led strip 5M</t>
  </si>
  <si>
    <t>Color: DC 24V - L: 5M</t>
  </si>
  <si>
    <t>Dengsum</t>
  </si>
  <si>
    <t>Power Fuse 10A</t>
  </si>
  <si>
    <t>486-3322-ND</t>
  </si>
  <si>
    <t>Digikey</t>
  </si>
  <si>
    <t>Power Fuse holder 15A</t>
  </si>
  <si>
    <t>2298-PMA-DB-04-Q1S-ND</t>
  </si>
  <si>
    <t>Power IEC</t>
  </si>
  <si>
    <t>https://www.digikey.co.nz/en/products/detail/qualtek/703W-00-08/1164207</t>
  </si>
  <si>
    <t>Power Rocker  switch AC 15A</t>
  </si>
  <si>
    <t>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</t>
  </si>
  <si>
    <t>Load Cell 5kg</t>
  </si>
  <si>
    <t>Adafruit Industries LLC 4541</t>
  </si>
  <si>
    <t>Load cell amplifier HX711</t>
  </si>
  <si>
    <t>SparkFun Electronics 13879</t>
  </si>
  <si>
    <t>ESP32 + Expansion Board</t>
  </si>
  <si>
    <t>ESP32 + Expansion Board Combo</t>
  </si>
  <si>
    <t>EZ-Electro</t>
  </si>
  <si>
    <t>Buildplate Heater 750w</t>
  </si>
  <si>
    <t>300x300</t>
  </si>
  <si>
    <t>300x300 750W-120V/220V-NO GLUE!</t>
  </si>
  <si>
    <t>Keenovo</t>
  </si>
  <si>
    <t>GX20 flange mount &amp; Plug 10pin</t>
  </si>
  <si>
    <t>Color: 10Pin</t>
  </si>
  <si>
    <t>MannHwa</t>
  </si>
  <si>
    <t>GX20 flange mount &amp; Plug 6pin</t>
  </si>
  <si>
    <t>Color: 6Pin</t>
  </si>
  <si>
    <t>PSU 12V DC 75W meanwell</t>
  </si>
  <si>
    <t>Power (W): LRS-75-12</t>
  </si>
  <si>
    <t>MEANWELL</t>
  </si>
  <si>
    <t>Buffer - LLL Plus Filament Buffer</t>
  </si>
  <si>
    <t>Color: LLL Plus Buffer</t>
  </si>
  <si>
    <t>Fan Dual Ball Bearing 4010 24v</t>
  </si>
  <si>
    <t>Size: 24V</t>
  </si>
  <si>
    <t>Fan Dual Ball Bearing 4010 12v</t>
  </si>
  <si>
    <t>Size: 12V</t>
  </si>
  <si>
    <t>Heater - Cartridge Heater 24v 70W</t>
  </si>
  <si>
    <t>Solid State Relay</t>
  </si>
  <si>
    <t>DC5-24V Solid State Relay</t>
  </si>
  <si>
    <t>Temp Sensor PT 1000</t>
  </si>
  <si>
    <t>HT PT1000 Thermistor</t>
  </si>
  <si>
    <t>HDC-HE-10core HD connector female</t>
  </si>
  <si>
    <t>Color: 10 female core</t>
  </si>
  <si>
    <t>Shop4055013</t>
  </si>
  <si>
    <t>HDC-HE-10core HD connector male</t>
  </si>
  <si>
    <t>Color: 10 male core</t>
  </si>
  <si>
    <t>HDC-HE-4core HD connector female</t>
  </si>
  <si>
    <t>Color: 4 female core</t>
  </si>
  <si>
    <t>HDC-HE-4core HD connector male</t>
  </si>
  <si>
    <t>Color: 4 male core</t>
  </si>
  <si>
    <t>Power IEC extension lead</t>
  </si>
  <si>
    <t>Cable length: 1m - Color: Black</t>
  </si>
  <si>
    <t>Shop5884151</t>
  </si>
  <si>
    <t>Cable 2:1 Heat Shrink Tube 3mm</t>
  </si>
  <si>
    <t>Color: black - ID: 3mm - L: 1M</t>
  </si>
  <si>
    <t>Cable 2:1 Heat Shrink Tube 4mm</t>
  </si>
  <si>
    <t>Color: black - ID: 4mm - L: 1M</t>
  </si>
  <si>
    <t>Cable 2:1 Heat Shrink Tube 8mm</t>
  </si>
  <si>
    <t>Color: black - ID: 8mm - L: 1M</t>
  </si>
  <si>
    <t>Cable Black 20AWG</t>
  </si>
  <si>
    <t>Color: Black - L: 2M - S: 20AWG</t>
  </si>
  <si>
    <t>Cable Black 24AWG</t>
  </si>
  <si>
    <t>Color: Black - L: 5M - S: 24AWG</t>
  </si>
  <si>
    <t>Cable Blue 20AWG</t>
  </si>
  <si>
    <t>Color: Blue - L: 2M - S: 20AWG</t>
  </si>
  <si>
    <t>Cable Blue 24AWG</t>
  </si>
  <si>
    <t>Color: Blue - L: 5M - S: 24AWG</t>
  </si>
  <si>
    <t>Cable Green 20AWG</t>
  </si>
  <si>
    <t>Color: Green - L: 2M - S: 20AWG</t>
  </si>
  <si>
    <t>Cable Green 24AWG</t>
  </si>
  <si>
    <t>Color: Green - L: 5M - S: 24AWG</t>
  </si>
  <si>
    <t>Cable PET Braid sleeve</t>
  </si>
  <si>
    <t>Color: Black Silver - L: 5M</t>
  </si>
  <si>
    <t>Cable Red 20AWG</t>
  </si>
  <si>
    <t>Color: Red - L: 2M - S: 20AWG</t>
  </si>
  <si>
    <t>Cable Red 24AWG</t>
  </si>
  <si>
    <t>Color: Red - L: 5M - S: 24AWG</t>
  </si>
  <si>
    <t>Cable White 16AWG</t>
  </si>
  <si>
    <t>Color: White - L: 5M - S: 16AWG</t>
  </si>
  <si>
    <t>Cable White 24AWG</t>
  </si>
  <si>
    <t>Color: White - L: 5M - S: 24AWG</t>
  </si>
  <si>
    <t>Cable Red AWG 14</t>
  </si>
  <si>
    <t>Cable Black AWG 14</t>
  </si>
  <si>
    <t>Nema 17 40mm Z motor</t>
  </si>
  <si>
    <t>C: 17HS16 2004S1</t>
  </si>
  <si>
    <t>STEPPERONLINE</t>
  </si>
  <si>
    <t>Nema 17 48 S55 AB motor</t>
  </si>
  <si>
    <t>C: 17HS19-2504S</t>
  </si>
  <si>
    <t>PSU 24V DC 350W meanwell</t>
  </si>
  <si>
    <t>Output Voltage: 24V Power: LRS-350</t>
  </si>
  <si>
    <t>Heater - PTC 24V 300W dbx</t>
  </si>
  <si>
    <t>Color: 24V 300W</t>
  </si>
  <si>
    <t>Tony Tang Store</t>
  </si>
  <si>
    <t>Fan - CPAP Blower Robo</t>
  </si>
  <si>
    <t>Color: 20N704V170</t>
  </si>
  <si>
    <t>VCR Store</t>
  </si>
  <si>
    <t>DHT 22 temp/humid sensor</t>
  </si>
  <si>
    <t>C: 1PC DHT22 AM2302</t>
  </si>
  <si>
    <t>Wxinko ES</t>
  </si>
  <si>
    <t>Cable tie 80 x 2.5mm 150C rated</t>
  </si>
  <si>
    <t>PLT1M-C76</t>
  </si>
  <si>
    <t>Control Board Super8/Duet 3 6hc</t>
  </si>
  <si>
    <t>Color: Duet 3 6HC</t>
  </si>
  <si>
    <t>XJW TECH</t>
  </si>
  <si>
    <t>Cable Connector JST PH 6-Pin</t>
  </si>
  <si>
    <t>C: Straight pin socket PQ: 10set Pins: 6P</t>
  </si>
  <si>
    <t>ZSDZFYLLK</t>
  </si>
  <si>
    <t>used on extuder stepper</t>
  </si>
  <si>
    <t>Cable Connector JST PH 4-Pin</t>
  </si>
  <si>
    <t>C: Straight pin socket PQ: 10set Pins: 4P</t>
  </si>
  <si>
    <t>DC 5.5mmx2.1mm Power Jack</t>
  </si>
  <si>
    <t>?</t>
  </si>
  <si>
    <t>no supplier yet</t>
  </si>
  <si>
    <t>DIN Rail + terminal block kit UK2.5</t>
  </si>
  <si>
    <t>Din Rail Terminal Block</t>
  </si>
  <si>
    <t>Fastener</t>
  </si>
  <si>
    <t>M3 Nut Hammer</t>
  </si>
  <si>
    <t>Color: 20-M3</t>
  </si>
  <si>
    <t>BULK-MAN</t>
  </si>
  <si>
    <t>M5 Nut Hammer</t>
  </si>
  <si>
    <t>Color: 20-M5</t>
  </si>
  <si>
    <t>05x10 D5 Shaft Collar DIN 705</t>
  </si>
  <si>
    <t>ID: 5x10x6xM3</t>
  </si>
  <si>
    <t>Hui Xing HW</t>
  </si>
  <si>
    <t>05x08x1 Precision Shim</t>
  </si>
  <si>
    <t>M5x8x1mm - 50PCS</t>
  </si>
  <si>
    <t>TINGOO HS</t>
  </si>
  <si>
    <t>06x12x1 Precision Shim</t>
  </si>
  <si>
    <t>ID: M6x12x50PCS OD: 1mm</t>
  </si>
  <si>
    <t>08x12x1 Precision Shim</t>
  </si>
  <si>
    <t>ID: M8x12x50PCS OD: 1mm</t>
  </si>
  <si>
    <t>M3 Nut DIN 934</t>
  </si>
  <si>
    <t>S: 25pcs M3</t>
  </si>
  <si>
    <t>M3 Nut Locknut DIN 985</t>
  </si>
  <si>
    <t>S: 10pcs M3</t>
  </si>
  <si>
    <t>M3 Washer DIN 125</t>
  </si>
  <si>
    <t>ID: M3 50pcs</t>
  </si>
  <si>
    <t>M3x03 Set Screw DIN 913</t>
  </si>
  <si>
    <t>Size: 50pcs M3 L: 3mm</t>
  </si>
  <si>
    <t>M3x05 Set Screw DIN 916</t>
  </si>
  <si>
    <t>Size: 20pcs M3 L: 5mm</t>
  </si>
  <si>
    <t>M3x08 BH ISO 7380</t>
  </si>
  <si>
    <t>S: 25pcs M3 - L: 8mm</t>
  </si>
  <si>
    <t>M3x08 FH DIN 7991</t>
  </si>
  <si>
    <t>M3x08 SH DIN 912 ISO 4762</t>
  </si>
  <si>
    <t>S: 10pcs M3 - L: 8mm</t>
  </si>
  <si>
    <t>M3x10 SH DIN 912 ISO 4762</t>
  </si>
  <si>
    <t>S: 10pcs M3 - L: 10mm</t>
  </si>
  <si>
    <t>M3x12 FH DIN 7991</t>
  </si>
  <si>
    <t>Size: 25pcs M3 L: 12mm</t>
  </si>
  <si>
    <t>M3x12 SH DIN 912 ISO 4762</t>
  </si>
  <si>
    <t>S: 10pcs M3 - L: 12mm</t>
  </si>
  <si>
    <t>M3x20 HEX ISO 4017 DIN 933</t>
  </si>
  <si>
    <t>S: 25pcs M3 - L: 20mm</t>
  </si>
  <si>
    <t>M3x20 SH Din 912</t>
  </si>
  <si>
    <t>S: 10pcs M3 - L: 20mm</t>
  </si>
  <si>
    <t>M4 Nut DIN 934</t>
  </si>
  <si>
    <t>S: 25pcs M4</t>
  </si>
  <si>
    <t>M4 Nut Locknut</t>
  </si>
  <si>
    <t>S: 10pcs M4</t>
  </si>
  <si>
    <t>M4 Washer DIN 125</t>
  </si>
  <si>
    <t>ID: M4 50pcs</t>
  </si>
  <si>
    <t>M4x12 FH DIN 7991</t>
  </si>
  <si>
    <t>Size: 10pcs M4 L: 12mm</t>
  </si>
  <si>
    <t>M4x14 SH DIN 912 ISO 4762</t>
  </si>
  <si>
    <t>S: 10pcs M3 - L: 14mm</t>
  </si>
  <si>
    <t>M4x16 D5 Shoulder Screw</t>
  </si>
  <si>
    <t>S: D5-M4 L: 16</t>
  </si>
  <si>
    <t>M4x20 FH DIN 7991</t>
  </si>
  <si>
    <t>S: 10pcs M4 - L: 20mm</t>
  </si>
  <si>
    <t>M4x25 FH DIN 7991</t>
  </si>
  <si>
    <t>S: 10pcs M4 - L: 25mm</t>
  </si>
  <si>
    <t>M4x35 HEX ISO 4017 DIN 933</t>
  </si>
  <si>
    <t>S: 10pcs M4 - L: 35mm</t>
  </si>
  <si>
    <t>M4x50 FH DIN 7991</t>
  </si>
  <si>
    <t>S: 10pcs M4 - L: 50mm</t>
  </si>
  <si>
    <t>M4x55 D5 Shoulder Screw</t>
  </si>
  <si>
    <t>S: 5PCS 5-M4 - L: 55mm</t>
  </si>
  <si>
    <t>M5 Nut DIN 934</t>
  </si>
  <si>
    <t>S: 25pcs M5</t>
  </si>
  <si>
    <t>M5 Nut Locknut</t>
  </si>
  <si>
    <t>S: 10pcs M5</t>
  </si>
  <si>
    <t>M5 Washer DIN 125</t>
  </si>
  <si>
    <t>ID: M5 50pcs</t>
  </si>
  <si>
    <t>M5x10 BH ISO 7380</t>
  </si>
  <si>
    <t>S: 10pcs M5 - L: 10mm</t>
  </si>
  <si>
    <t>M5x16 BH ISO 7380</t>
  </si>
  <si>
    <t>S: 10pcs M5 - L: 16mm</t>
  </si>
  <si>
    <t>M5x20 BH ISO 7380</t>
  </si>
  <si>
    <t>S: 10pcs M5 - L: 20mm</t>
  </si>
  <si>
    <t>M5x30 BH ISO 7380</t>
  </si>
  <si>
    <t>S: 10pcs M5 - L: 30mm</t>
  </si>
  <si>
    <t>M5x30 HEX ISO 4017 DIN 933</t>
  </si>
  <si>
    <t>M5x40 HEX ISO 4017 DIN 933</t>
  </si>
  <si>
    <t>S: 10pcs M5 - L: 40mm</t>
  </si>
  <si>
    <t>change to 931 the supplier we use doesnt have 913</t>
  </si>
  <si>
    <t>M5x55 HEX ISO 4017 DIN 933</t>
  </si>
  <si>
    <t>S: 10pcs M5 - L: 55mm</t>
  </si>
  <si>
    <t>change to 931</t>
  </si>
  <si>
    <t>M6x10 BH ISO 7380</t>
  </si>
  <si>
    <t>S: 10pcs M6 - L: 10mm</t>
  </si>
  <si>
    <t>Kinematics</t>
  </si>
  <si>
    <t>GT2 Timing Pulley 16T 11mm</t>
  </si>
  <si>
    <t>BD: 5mm BW: 10mm PCS: 2</t>
  </si>
  <si>
    <t>POWGE</t>
  </si>
  <si>
    <t>GT2 Timing Pulley 16T 7mm</t>
  </si>
  <si>
    <t>BD: 5mm BW: 6mm PCS: 3</t>
  </si>
  <si>
    <t>GT2 Gear 20T(5mm)-80T(5mm)-W:6-200</t>
  </si>
  <si>
    <t>BD:20T(5mm)-80T(5mm)-W:6mm-200</t>
  </si>
  <si>
    <t>GT2 Pulley 20T 11mm</t>
  </si>
  <si>
    <t>BD: 5mm BW: 10mm N: 10PCS</t>
  </si>
  <si>
    <t>GT2 Timing Belt Z EPDM 9mm</t>
  </si>
  <si>
    <t>W: Red 9mm-EPDM L: 10M</t>
  </si>
  <si>
    <t>Magnet</t>
  </si>
  <si>
    <t>Buildplate Magnet 15x03</t>
  </si>
  <si>
    <t>15x03</t>
  </si>
  <si>
    <t>Color: 50pcs 15x3mm</t>
  </si>
  <si>
    <t>HW Store</t>
  </si>
  <si>
    <t>Magnet 06x05 SamCo HT</t>
  </si>
  <si>
    <t>Color: 6x5mm (10Pcs)</t>
  </si>
  <si>
    <t>Superb HW Store</t>
  </si>
  <si>
    <t>Magnet 20mm 10kg</t>
  </si>
  <si>
    <t>Color: 6PCS S: A20</t>
  </si>
  <si>
    <t>SZ-Ming</t>
  </si>
  <si>
    <t>Magnet Keeper 20x3</t>
  </si>
  <si>
    <t>Size: 5pcs M4</t>
  </si>
  <si>
    <t>Plumbing</t>
  </si>
  <si>
    <t>LC - Tubing 4x6 mm IDxOD 5M</t>
  </si>
  <si>
    <t>C: 4x6mm - L: 5M</t>
  </si>
  <si>
    <t>ANHI Store</t>
  </si>
  <si>
    <t>LC - Extruder radiator 30x30x9.5</t>
  </si>
  <si>
    <t>Color: 30x30</t>
  </si>
  <si>
    <t>Cynzo</t>
  </si>
  <si>
    <t>LC - 04mm ID Barb 1/4"</t>
  </si>
  <si>
    <t>S: 4mm Barb - TS: 1/4"</t>
  </si>
  <si>
    <t>EES Store</t>
  </si>
  <si>
    <t>LC - Flowmeter</t>
  </si>
  <si>
    <t>Flow Liquid Monitoring LSJ-ZNBJ</t>
  </si>
  <si>
    <t>FREEZEMOD</t>
  </si>
  <si>
    <t>LC - Fan - 120mm</t>
  </si>
  <si>
    <t>https://www.aliexpress.com/item/1005010455978564.html?</t>
  </si>
  <si>
    <t>get  2 wire fan</t>
  </si>
  <si>
    <t>LC - Pump</t>
  </si>
  <si>
    <t>C: 65mm-Black</t>
  </si>
  <si>
    <t>SysCooling</t>
  </si>
  <si>
    <t>LC - Radiator 120mm</t>
  </si>
  <si>
    <t>AS120-T 120mm radiator 22mm</t>
  </si>
  <si>
    <t>LC - M5-4ID Elbow Fitting</t>
  </si>
  <si>
    <t>C: WX-KPC4-M5</t>
  </si>
  <si>
    <t>ZGUA Store</t>
  </si>
  <si>
    <t>Profile</t>
  </si>
  <si>
    <t>15x15x1 Aluminum Tube L: 230mm</t>
  </si>
  <si>
    <t>L: 500mm - S: 15x15x1mm</t>
  </si>
  <si>
    <t>18th Gw</t>
  </si>
  <si>
    <t>20x20x1 Aluminum Tube L: 410mm</t>
  </si>
  <si>
    <t>L: 500mm - S: 20x20x1mm</t>
  </si>
  <si>
    <t>Plate - AL for DIN &amp; SSR</t>
  </si>
  <si>
    <t>180x150x3</t>
  </si>
  <si>
    <t>Color: 200x200mm - S: 3mm 1pc</t>
  </si>
  <si>
    <t>2020 Joining Plate 90 Deg</t>
  </si>
  <si>
    <t>Color: 2020 (4pcs)</t>
  </si>
  <si>
    <t>2020 T-Slot X Profile Top Rear</t>
  </si>
  <si>
    <t>Color: L 420mm - 2020</t>
  </si>
  <si>
    <t>HighQ Store</t>
  </si>
  <si>
    <t>2020 T-Slot Z Center Rear</t>
  </si>
  <si>
    <t>Color: L 368mm - 2020</t>
  </si>
  <si>
    <t>2020 T-Slot Z Center Rear Top</t>
  </si>
  <si>
    <t>Color: L 172mm - 2020</t>
  </si>
  <si>
    <t>2040 T-Slot X Length Profile</t>
  </si>
  <si>
    <t>Color: L 420mm - 2040</t>
  </si>
  <si>
    <t>2040 T-Slot Y Length Profile</t>
  </si>
  <si>
    <t>Color: L 480mm - 2040</t>
  </si>
  <si>
    <t>2040 T-Slot Z Height Profile</t>
  </si>
  <si>
    <t>Color: L 750mm - 2040</t>
  </si>
  <si>
    <t>2028 T-Slot L-Bracket</t>
  </si>
  <si>
    <t>Color: 10PCS 2028 Silver</t>
  </si>
  <si>
    <t>HTCC Store</t>
  </si>
  <si>
    <t>Buildplate Cast AL 5083 8mm</t>
  </si>
  <si>
    <t>350x350x8</t>
  </si>
  <si>
    <t>Source locally or ask MELLOW</t>
  </si>
  <si>
    <t>Local</t>
  </si>
  <si>
    <t>300x300x3mm - PC Sheet</t>
  </si>
  <si>
    <t>S: 300x300x3mm2</t>
  </si>
  <si>
    <t>Shop110</t>
  </si>
  <si>
    <t>Shaft</t>
  </si>
  <si>
    <t>05x40 Bearing Shaft</t>
  </si>
  <si>
    <t>S: 5x40 - 40PCS</t>
  </si>
  <si>
    <t>HE Material</t>
  </si>
  <si>
    <t>Might beable to replace the 40mm with 35, needs checking</t>
  </si>
  <si>
    <t>05x35 Bearing Shaft</t>
  </si>
  <si>
    <t>S: 5x35 - 40PCS</t>
  </si>
  <si>
    <t>05x50 Bearing Shaft</t>
  </si>
  <si>
    <t>S: 5x50 - 20PCS</t>
  </si>
  <si>
    <t>06x25 Bearing Shaft</t>
  </si>
  <si>
    <t>6x25 - 20PCS</t>
  </si>
  <si>
    <t>06x40 Bearing Shaft</t>
  </si>
  <si>
    <t>6x40 - 20PCS</t>
  </si>
  <si>
    <t>03x25 Bearing Shaft</t>
  </si>
  <si>
    <t>D: 10PCS M3 - L: 25mm</t>
  </si>
  <si>
    <t>08x400 Steel Rod - Door Link</t>
  </si>
  <si>
    <t>L: 400 D: 8mm</t>
  </si>
  <si>
    <t>YUNSHUO</t>
  </si>
  <si>
    <t>Spring</t>
  </si>
  <si>
    <t>07x10 Spring 0.4 WD</t>
  </si>
  <si>
    <t>L: 10mm(10pcs) - WD: 0.4 - OD: 7mm</t>
  </si>
  <si>
    <t>AZ-hw</t>
  </si>
  <si>
    <t>Toolpart</t>
  </si>
  <si>
    <t>Extruder - BIQU H2 V2X</t>
  </si>
  <si>
    <t>BTT H2 V2X Extruder</t>
  </si>
  <si>
    <t>BIGTREETECH</t>
  </si>
  <si>
    <t>Brush 40 x12.5 x 9.5mm</t>
  </si>
  <si>
    <t>Nozzle Cleaning Brush</t>
  </si>
  <si>
    <t>FYSETC</t>
  </si>
  <si>
    <t>V6 Bimetal Heatbreak</t>
  </si>
  <si>
    <t>Color: Bi-Metal Short</t>
  </si>
  <si>
    <t>Lerge</t>
  </si>
  <si>
    <t>Heater Block Copper NF-Crazy</t>
  </si>
  <si>
    <t>NF-Crazy Heater Block</t>
  </si>
  <si>
    <t>NF crazy Screw Kit</t>
  </si>
  <si>
    <t>Color: SET6</t>
  </si>
  <si>
    <t>NF crazy Tubes Kit</t>
  </si>
  <si>
    <t>Color: SET2</t>
  </si>
  <si>
    <t>Nozzle V6 Hardened 0.6</t>
  </si>
  <si>
    <t>Size: 0.6mm</t>
  </si>
  <si>
    <t>Mothend V2</t>
  </si>
  <si>
    <t>PCBWay</t>
  </si>
  <si>
    <t>PCB way</t>
  </si>
  <si>
    <t>CPAP Part Fan Tube 125C+</t>
  </si>
  <si>
    <t>PFA HT CPAP TUBE</t>
  </si>
  <si>
    <t>YouQin5 Store</t>
  </si>
  <si>
    <t>Price exl Taxes</t>
  </si>
  <si>
    <t>*shipping cost may vary</t>
  </si>
  <si>
    <t>Part name</t>
  </si>
  <si>
    <t>Description</t>
  </si>
  <si>
    <t>BOM Quantity</t>
  </si>
  <si>
    <t>Support Links:</t>
  </si>
  <si>
    <t>2020 T-Slot Profile</t>
  </si>
  <si>
    <t>X Top Rear</t>
  </si>
  <si>
    <t>DEV TEAM</t>
  </si>
  <si>
    <t>Buy Me a Coffee</t>
  </si>
  <si>
    <t>Z Center Rear</t>
  </si>
  <si>
    <t>Roy Berntsen</t>
  </si>
  <si>
    <t>By Patreon</t>
  </si>
  <si>
    <t>Z Center Rear Top</t>
  </si>
  <si>
    <t>Mark Bridgewater</t>
  </si>
  <si>
    <t>By PayPal</t>
  </si>
  <si>
    <t>2040 T-Slot Profile</t>
  </si>
  <si>
    <t>X Length Profile</t>
  </si>
  <si>
    <t>Chris Lombardi</t>
  </si>
  <si>
    <t>Y Length Profile</t>
  </si>
  <si>
    <t>Z Height Profile</t>
  </si>
  <si>
    <t>2820 L-Bracket</t>
  </si>
  <si>
    <t>Corner Bracket</t>
  </si>
  <si>
    <t>Joining Plate 90 Deg</t>
  </si>
  <si>
    <t>Joining plate 90</t>
  </si>
  <si>
    <t>M5 Nut Hammer Nut</t>
  </si>
  <si>
    <t>YouTube</t>
  </si>
  <si>
    <t>M5 WASHER DIN 125</t>
  </si>
  <si>
    <t>Printed Parts Link</t>
  </si>
  <si>
    <t>V2 Center Z Support Bracket_1x</t>
  </si>
  <si>
    <t>Print</t>
  </si>
  <si>
    <t>V2 DoorStop_4x</t>
  </si>
  <si>
    <t>Print/Buy</t>
  </si>
  <si>
    <t>V2 Leg Base_4x</t>
  </si>
  <si>
    <t>V2 Leg Nut_4x</t>
  </si>
  <si>
    <t>06x05 Magnet SmCo</t>
  </si>
  <si>
    <t>20x20x1 X Axis AL Tube 410</t>
  </si>
  <si>
    <t>Brush</t>
  </si>
  <si>
    <t>GT2 Pulley 16T 11mm</t>
  </si>
  <si>
    <t>GT2 Timing Belt AB</t>
  </si>
  <si>
    <t>M3 Nut Hammer Nut</t>
  </si>
  <si>
    <t>M3 Nut Lock Nut DIN 985</t>
  </si>
  <si>
    <t>V2 Drawings</t>
  </si>
  <si>
    <t>M3 Washer  DIN 125 ISO 7089</t>
  </si>
  <si>
    <t>M3x20 SH DIN 912 ISO 4762</t>
  </si>
  <si>
    <t>M5 LOCK NUT</t>
  </si>
  <si>
    <t>M5 Nut DIN</t>
  </si>
  <si>
    <t>MGN12H 400</t>
  </si>
  <si>
    <t>Preload - Light</t>
  </si>
  <si>
    <t>MGN9H 400</t>
  </si>
  <si>
    <t>Preload - Medium</t>
  </si>
  <si>
    <t>Nema 17 48 S55</t>
  </si>
  <si>
    <t>V2 AB Brace_1x</t>
  </si>
  <si>
    <t>V2 AB Idler Spacer_4x</t>
  </si>
  <si>
    <t>V2 AB Idler Tension Tower A</t>
  </si>
  <si>
    <t>V2 AB Idler Tension Tower B</t>
  </si>
  <si>
    <t>V2 AB Motor Bearing Buddy_2x</t>
  </si>
  <si>
    <t>V2 AB Motor Bracket</t>
  </si>
  <si>
    <t>V2 FlintZone Dock Bracket_1x</t>
  </si>
  <si>
    <t>V2 FlintZone Dock_1x</t>
  </si>
  <si>
    <t>V2 Idler Bracket Front A_1X</t>
  </si>
  <si>
    <t>V2 Idler Bracket Front B_1X</t>
  </si>
  <si>
    <t>V2 Idler Bracket Rear AB_2X</t>
  </si>
  <si>
    <t>V2 Idler Tension Fork_2x</t>
  </si>
  <si>
    <t>V2 Nozzle Brushing Bracket_1x</t>
  </si>
  <si>
    <t>V2 Nozzle Brushing Bucket_1x</t>
  </si>
  <si>
    <t>V2 Y Carrier A_1x</t>
  </si>
  <si>
    <t>V2 Y Carrier B_1x</t>
  </si>
  <si>
    <t>CPAP Tube HT</t>
  </si>
  <si>
    <t>Extruder radiator 30x30x9.5</t>
  </si>
  <si>
    <t>Fan 24V  - CPAP  cooler 4010</t>
  </si>
  <si>
    <t>need to ADD  CONNECTOR FOR CPAP FAN  PH4R+ crimps</t>
  </si>
  <si>
    <t>Fan Dual Ball Bearing 4010</t>
  </si>
  <si>
    <t xml:space="preserve">M3 Nut DIN 934 </t>
  </si>
  <si>
    <t>M3 Washer DIN 125 ISO 7089</t>
  </si>
  <si>
    <t>M3x03  Set Screw  DIN 913</t>
  </si>
  <si>
    <t>M3x10 SH DIN 912</t>
  </si>
  <si>
    <t>M3x12 SH DIN 912</t>
  </si>
  <si>
    <t xml:space="preserve">M3x20 HEX DIN 933 </t>
  </si>
  <si>
    <t>M3x25 Bearing shaft</t>
  </si>
  <si>
    <t xml:space="preserve">Ø7x10 Spring 0.4 WD </t>
  </si>
  <si>
    <t xml:space="preserve">V2 CPAP  Fan Buddy_1x </t>
  </si>
  <si>
    <t>tbd</t>
  </si>
  <si>
    <t>V2 Extruder cable buddy_1x</t>
  </si>
  <si>
    <t>V2 FlintZone Probe_1x</t>
  </si>
  <si>
    <t>V2 FlintZone_1x</t>
  </si>
  <si>
    <t>V2 Part Fan CPAP Chimney_1x</t>
  </si>
  <si>
    <t>V2 Part Fan Duct_1x</t>
  </si>
  <si>
    <t>V2 Toolhead Cover_1x</t>
  </si>
  <si>
    <t>V2 Tool Carrier_1x</t>
  </si>
  <si>
    <t>V2 Tool Plate _1x</t>
  </si>
  <si>
    <t>MOTHEND HOTEND BOM</t>
  </si>
  <si>
    <t>Heater Cartridge</t>
  </si>
  <si>
    <t>M5-6OD Elbow Fitting</t>
  </si>
  <si>
    <t>Mothend Ball plug Ø4.5</t>
  </si>
  <si>
    <t>PT 1000 - 1.3M</t>
  </si>
  <si>
    <t>05x16x05 625-2ZZ Bearing</t>
  </si>
  <si>
    <t>Buildplate Sheet Magnet</t>
  </si>
  <si>
    <t>15x3 SmCo</t>
  </si>
  <si>
    <t xml:space="preserve">GT2 EPDM 10mm +135℃ </t>
  </si>
  <si>
    <t>GT2 Gears 20T(5mm)-80T(5mm) - W: 6-200</t>
  </si>
  <si>
    <t>GT2 Pulley 16T 7mm</t>
  </si>
  <si>
    <t>Heater Pad - 300x300 750w</t>
  </si>
  <si>
    <t>M3 Nut Lock Nut</t>
  </si>
  <si>
    <t>M3 Washer DIN 433 ISO 7092</t>
  </si>
  <si>
    <t>M4 D5 L55 Shoulder Screw</t>
  </si>
  <si>
    <t>M4 LOCK NUT</t>
  </si>
  <si>
    <t>M4 Ø10 Ball tapped</t>
  </si>
  <si>
    <t>M5x30 HEX DIN 933 ISO 4017</t>
  </si>
  <si>
    <t>MGN12H 350 Linear Rail</t>
  </si>
  <si>
    <t>Nema 17 40mm</t>
  </si>
  <si>
    <t>V2 Gearbox Cover A_1x</t>
  </si>
  <si>
    <t>print</t>
  </si>
  <si>
    <t>V2 Gearbox Cover B_1x</t>
  </si>
  <si>
    <t>V2 Gearbox Cover C_1x</t>
  </si>
  <si>
    <t>V2 Z AB Belt Clamp_2x</t>
  </si>
  <si>
    <t>V2 Z C Belt Clamp_1x</t>
  </si>
  <si>
    <t>V2 Z Carrier Front A_1x</t>
  </si>
  <si>
    <t>V2 Z Carrier Front B_1x</t>
  </si>
  <si>
    <t>V2 Z Carrier Rear_1x</t>
  </si>
  <si>
    <t>V2 Z Gearbox  Bracket A_1x</t>
  </si>
  <si>
    <t>V2 Z Gearbox  Bracket B_1x</t>
  </si>
  <si>
    <t>V2 Z Gearbox  Bracket C_1x</t>
  </si>
  <si>
    <t>V2 Z Idler Pulley Fork_3x</t>
  </si>
  <si>
    <t>V2 Z Idler Tower A_1x</t>
  </si>
  <si>
    <t>V2 Z Idler Tower B_1x</t>
  </si>
  <si>
    <t>V2 Z Idler Tower C_1x</t>
  </si>
  <si>
    <t>no print surface  on BOM</t>
  </si>
  <si>
    <t xml:space="preserve">05x16x5 Bearing 625ZZ </t>
  </si>
  <si>
    <t xml:space="preserve">08x16x5 Bearing 688ZZ </t>
  </si>
  <si>
    <t>08x400 Doorlink Steel Rod</t>
  </si>
  <si>
    <t>15x15 AL Tube  L: 230mm</t>
  </si>
  <si>
    <t>20x03 Magnet Keepers</t>
  </si>
  <si>
    <t>20x06 Magnet 10kg</t>
  </si>
  <si>
    <t>286x286x3</t>
  </si>
  <si>
    <t>Buffer - Mellow LLL Plus Filament Buffer</t>
  </si>
  <si>
    <t xml:space="preserve">M3 Washer DIN 125 </t>
  </si>
  <si>
    <t xml:space="preserve">M3x05 Set Screw DIN 913 </t>
  </si>
  <si>
    <t>M4 NUT DIN 934</t>
  </si>
  <si>
    <t>M4 WASHER DIN 125</t>
  </si>
  <si>
    <t xml:space="preserve">M4x16 D5 Shoulder Screw </t>
  </si>
  <si>
    <t>M5 Lock Nut</t>
  </si>
  <si>
    <t>M5x40 HEX DIN 931</t>
  </si>
  <si>
    <t>M5x55 HEX DIN 931 ISO 4014</t>
  </si>
  <si>
    <t>V2 AB Motor Pocket Cover_1x</t>
  </si>
  <si>
    <t>Printed</t>
  </si>
  <si>
    <t>V2 Base Plate_1x</t>
  </si>
  <si>
    <t>MDF Base Plate 12 mm</t>
  </si>
  <si>
    <t>V2 Cable Gland Clamp_2x</t>
  </si>
  <si>
    <t>V2 Cable Gland Nut_1x</t>
  </si>
  <si>
    <t>V2 Cable Gland Tube_1x</t>
  </si>
  <si>
    <t>V2 Chamber Heater Buddy_1x</t>
  </si>
  <si>
    <t>TBD</t>
  </si>
  <si>
    <t>V2 Door Arm Hand  AB_4x</t>
  </si>
  <si>
    <t>V2 Door Arm Lower Elbow AB_2x</t>
  </si>
  <si>
    <t>V2 Door Arm Upper Elbow A_1x</t>
  </si>
  <si>
    <t>V2 Door Arm Upper Elbow B_1x</t>
  </si>
  <si>
    <t>V2 Door Magnet Bracket Lower_2x</t>
  </si>
  <si>
    <t>V2 Doorhinge Side Bracket A_1x</t>
  </si>
  <si>
    <t>V2 Doorhinge Side Bracket B_1x</t>
  </si>
  <si>
    <t>V2 Doorhinge Upper Bracket A_1x</t>
  </si>
  <si>
    <t>V2 Doorhinge Upper Bracket B_1x</t>
  </si>
  <si>
    <t>V2 Front Door Bracket A_1x</t>
  </si>
  <si>
    <t>V2 Front Door Bracket B_1x</t>
  </si>
  <si>
    <t>V2 Front Door Handle A_1x</t>
  </si>
  <si>
    <t>V2 Front Door Handle B_1x</t>
  </si>
  <si>
    <t>V2 GX20 Bracket_1x</t>
  </si>
  <si>
    <t>V2 GX20 Cover_1x</t>
  </si>
  <si>
    <t>V2 Insulation Base</t>
  </si>
  <si>
    <t>PIR 30mm</t>
  </si>
  <si>
    <t>V2 Insulation Door</t>
  </si>
  <si>
    <t>V2 Insulation Rear</t>
  </si>
  <si>
    <t>V2 Insulation Side A</t>
  </si>
  <si>
    <t>V2 Insulation Side B</t>
  </si>
  <si>
    <t>V2 Insulation Top</t>
  </si>
  <si>
    <t>V2 Panel Door Front</t>
  </si>
  <si>
    <t>ACM</t>
  </si>
  <si>
    <t>V2 Panel Door Side</t>
  </si>
  <si>
    <t>V2 Panel Door Top</t>
  </si>
  <si>
    <t>V2 Panel Rear Lower</t>
  </si>
  <si>
    <t>V2 Panel Rear Upper</t>
  </si>
  <si>
    <t>V2 Panel Side A Lower</t>
  </si>
  <si>
    <t>V2 Panel Side A Upper</t>
  </si>
  <si>
    <t>V2 Panel Side B Lower</t>
  </si>
  <si>
    <t>V2 Panel Side B Upper</t>
  </si>
  <si>
    <t>V2 Panel Spacer_6x</t>
  </si>
  <si>
    <t>V2 Panel Top</t>
  </si>
  <si>
    <t>V2 PTFE Gland</t>
  </si>
  <si>
    <t>V2 PTFE Gland Nut</t>
  </si>
  <si>
    <t>V2 Window Frame Inner_2x</t>
  </si>
  <si>
    <t>V2 Window Frame Outer_1x</t>
  </si>
  <si>
    <t xml:space="preserve">05x08x1 Precision Shim </t>
  </si>
  <si>
    <t>HW</t>
  </si>
  <si>
    <t>6</t>
  </si>
  <si>
    <t xml:space="preserve">07x10 Spring 0.4 WD </t>
  </si>
  <si>
    <t>DBX Drawer Slides 11435A14</t>
  </si>
  <si>
    <t>DHT 22/BME 280 temp/humid sensor</t>
  </si>
  <si>
    <t>Electronics</t>
  </si>
  <si>
    <t>Loadcell amplifier HX711</t>
  </si>
  <si>
    <t>M4 NUT</t>
  </si>
  <si>
    <t>M4 WASHER  DIN 125 iso 7089</t>
  </si>
  <si>
    <t>M4x35 HEX DIN 933 ISO 4017</t>
  </si>
  <si>
    <t xml:space="preserve">M5 Nut DIN 934 </t>
  </si>
  <si>
    <t xml:space="preserve">M5x20 BH ISO 7380 </t>
  </si>
  <si>
    <t>PTC 300W Heater w/fan</t>
  </si>
  <si>
    <t>Fan?</t>
  </si>
  <si>
    <t>V2 Carousel Bearing Plate_1x</t>
  </si>
  <si>
    <t>V2 Carousel Inner ring_1x</t>
  </si>
  <si>
    <t>V2 Carousel Loadcell Spacer</t>
  </si>
  <si>
    <t xml:space="preserve">V2 Carousel Outer Ring_1x </t>
  </si>
  <si>
    <t>V2 Carousel Spool adapter 54mm</t>
  </si>
  <si>
    <t>V2 Carousel unspool_ring_1x</t>
  </si>
  <si>
    <t>V2 dbx Aligning Spacer_2</t>
  </si>
  <si>
    <t>V2 dbx Draw Brackets_4x</t>
  </si>
  <si>
    <t>V2 dbx Draw Front Panel</t>
  </si>
  <si>
    <t>V2 dbx draw handle_1x</t>
  </si>
  <si>
    <t xml:space="preserve">V2 dbx insulation FB_2x </t>
  </si>
  <si>
    <t>Front/Back</t>
  </si>
  <si>
    <t>V2 dbx insulation side_2x</t>
  </si>
  <si>
    <t>Side</t>
  </si>
  <si>
    <t>V2 dbx insulation TB_2x</t>
  </si>
  <si>
    <t>Top/Bottom</t>
  </si>
  <si>
    <t>V2 dbx Panel FB_2x</t>
  </si>
  <si>
    <t>V2 dbx Panel Side_2x</t>
  </si>
  <si>
    <t>Left/Right</t>
  </si>
  <si>
    <t>V2 dbx Panel TB_2x</t>
  </si>
  <si>
    <t>V2 dbx PTC heater buddy_1x</t>
  </si>
  <si>
    <t>V2 desiccant Buddy_1x</t>
  </si>
  <si>
    <t>V2 desiccant container_1x</t>
  </si>
  <si>
    <t>V2 desiccant Knob_1x</t>
  </si>
  <si>
    <t>V2 desiccant Lid_1x</t>
  </si>
  <si>
    <t>V2 Esp 32 dev board Holder_1x</t>
  </si>
  <si>
    <t>V2 HX 711 board Holder_1x</t>
  </si>
  <si>
    <t>NEED TO ADD dc CONNECTOR LEAD FOR POWER CONNECTION TO esp 32</t>
  </si>
  <si>
    <t>LC - 1/4" Barb - 4mm</t>
  </si>
  <si>
    <t>LC - Pump P67D 12VDC</t>
  </si>
  <si>
    <t>LC - Radiator Fan - 120mm</t>
  </si>
  <si>
    <t>LC - Tubing 4x6mm IDxOD</t>
  </si>
  <si>
    <t>M3x08 SH DIN 912</t>
  </si>
  <si>
    <t>V2 LC Flowmeter Buddy_1x</t>
  </si>
  <si>
    <t>V2 Pump Bracket A_1x</t>
  </si>
  <si>
    <t>V2 Pump bracket B_1x</t>
  </si>
  <si>
    <t>V2 Radiator Bracket_2x</t>
  </si>
  <si>
    <t>Cable 2:1 Heat Shrink Tube </t>
  </si>
  <si>
    <t>3mm</t>
  </si>
  <si>
    <t>4mm</t>
  </si>
  <si>
    <t>8mm</t>
  </si>
  <si>
    <t>Cable Black</t>
  </si>
  <si>
    <t>AWG 20</t>
  </si>
  <si>
    <t>AWG 24</t>
  </si>
  <si>
    <t>Cable Blue</t>
  </si>
  <si>
    <t>JST PH Connector</t>
  </si>
  <si>
    <t>Cable Green</t>
  </si>
  <si>
    <t xml:space="preserve">Cable PET Braid sleeve </t>
  </si>
  <si>
    <t>Cable Loom</t>
  </si>
  <si>
    <t xml:space="preserve">Cable Red </t>
  </si>
  <si>
    <t>AWG 18</t>
  </si>
  <si>
    <t>Cable White</t>
  </si>
  <si>
    <t>AWG 16</t>
  </si>
  <si>
    <t>AWG 14</t>
  </si>
  <si>
    <t>Cable mains PVC Brown</t>
  </si>
  <si>
    <t>1.5mm^2</t>
  </si>
  <si>
    <t>Cable mains PVC RED</t>
  </si>
  <si>
    <t>Cable mains PVC green/yellow</t>
  </si>
  <si>
    <t>Chamber Heater??</t>
  </si>
  <si>
    <t>Motherboard</t>
  </si>
  <si>
    <t>DIN Rail + terminal block kit  UK2.5</t>
  </si>
  <si>
    <t>Power Main</t>
  </si>
  <si>
    <t>Power IEC + switch AC 15A </t>
  </si>
  <si>
    <t>Power Drybox</t>
  </si>
  <si>
    <t>PSU 12V DC  50W meanwell</t>
  </si>
  <si>
    <t>Power 12V</t>
  </si>
  <si>
    <t>Power 24V</t>
  </si>
  <si>
    <t>Power PWM Heaters</t>
  </si>
  <si>
    <t>V2 Duet MB Buddy_1x</t>
  </si>
  <si>
    <t>Bracket</t>
  </si>
  <si>
    <t>V2 MB BackPack_1x</t>
  </si>
  <si>
    <t>Cover</t>
  </si>
  <si>
    <t>V2 Plate_2x - Aluminium  for DIN/SSR</t>
  </si>
  <si>
    <t>180x150x3mm</t>
  </si>
  <si>
    <t>V2 PSU Buddy_1x</t>
  </si>
  <si>
    <t xml:space="preserve">grommets for  hole 14mm </t>
  </si>
  <si>
    <t xml:space="preserve">need to find from one of the current suppliers </t>
  </si>
  <si>
    <t>https://www.aliexpress.com/item/1005004478303545.html?</t>
  </si>
  <si>
    <t xml:space="preserve">earth stud hardware to add </t>
  </si>
  <si>
    <t>add 10k resistores x  2</t>
  </si>
  <si>
    <t>System</t>
  </si>
  <si>
    <t>Meters</t>
  </si>
  <si>
    <t>Weight</t>
  </si>
  <si>
    <t>Items</t>
  </si>
  <si>
    <t>weight Tot</t>
  </si>
  <si>
    <t>Cost/part</t>
  </si>
  <si>
    <t>Time estimate</t>
  </si>
  <si>
    <t>Material</t>
  </si>
  <si>
    <t>Cost/Kg</t>
  </si>
  <si>
    <t>Density</t>
  </si>
  <si>
    <t>Comment</t>
  </si>
  <si>
    <t>V2 AB Gantry</t>
  </si>
  <si>
    <t>Add your price</t>
  </si>
  <si>
    <t>PC PBT CF</t>
  </si>
  <si>
    <t>PPS CF</t>
  </si>
  <si>
    <t>PPA CF</t>
  </si>
  <si>
    <t>Print Settings</t>
  </si>
  <si>
    <t>Shell in mm</t>
  </si>
  <si>
    <t>Layer height</t>
  </si>
  <si>
    <t>Bottom Layers</t>
  </si>
  <si>
    <t>Top Layers</t>
  </si>
  <si>
    <t>Nozzle Size</t>
  </si>
  <si>
    <t>Perimiters</t>
  </si>
  <si>
    <t>Infill %</t>
  </si>
  <si>
    <t>Infill Type</t>
  </si>
  <si>
    <t>Grid or Gyroid</t>
  </si>
  <si>
    <t>V2 Drybox</t>
  </si>
  <si>
    <t>V2 Enclosure</t>
  </si>
  <si>
    <t>ELECTRONIC PARTS</t>
  </si>
  <si>
    <t>V2 Frame</t>
  </si>
  <si>
    <t>V2 Plumbing</t>
  </si>
  <si>
    <t>V2 Radiator Bracket_1x</t>
  </si>
  <si>
    <t>V2 Toolhead</t>
  </si>
  <si>
    <t>V2 Tools</t>
  </si>
  <si>
    <t>V2 Blind Joint Drilling Jig_1x</t>
  </si>
  <si>
    <t>V2 Z System</t>
  </si>
  <si>
    <t>V2 LRS-240 Buddy_1x.stl</t>
  </si>
  <si>
    <t>added missing</t>
  </si>
  <si>
    <t>V2 LRS-75 Buddy_1x.stl</t>
  </si>
  <si>
    <t>V2 HDC Buddy_1x.stl</t>
  </si>
  <si>
    <t>Things still to do</t>
  </si>
  <si>
    <t>owner</t>
  </si>
  <si>
    <t>status</t>
  </si>
  <si>
    <t>options</t>
  </si>
  <si>
    <t>Find HT magnets for door ( might have to make a holder for SMCO's instead of pot magnets)</t>
  </si>
  <si>
    <t>mark/Roy</t>
  </si>
  <si>
    <t>going to use Nynodinum for now</t>
  </si>
  <si>
    <t>20mm neodynium POT magnet in the oven at 115C for 2 hours it seems ok,</t>
  </si>
  <si>
    <t>Test new Chamber Heater &amp; Fan</t>
  </si>
  <si>
    <t>Roy</t>
  </si>
  <si>
    <t>WIP</t>
  </si>
  <si>
    <t>Mark to Find HT Fan for chamber heater or use external motor as per Roys previous design.</t>
  </si>
  <si>
    <t>Mark</t>
  </si>
  <si>
    <t xml:space="preserve">80mm 24v dc,  testing  with other fans </t>
  </si>
  <si>
    <t>https://www.aliexpress.com/item/1005008197099809.html</t>
  </si>
  <si>
    <t>make a list of basic macros</t>
  </si>
  <si>
    <t>WIP need to confirm a few</t>
  </si>
  <si>
    <t>make a basic config which boards ?</t>
  </si>
  <si>
    <t>M/R</t>
  </si>
  <si>
    <t>Work out gland sealing for cpap tube, water pipes , cable loom</t>
  </si>
  <si>
    <t>WIP, 2 options in folder</t>
  </si>
  <si>
    <t>toolhead cable entrance</t>
  </si>
  <si>
    <t>WIP/ needs testing / new idea in folder</t>
  </si>
  <si>
    <t>need brain storming session</t>
  </si>
  <si>
    <t>workout a way to get esp32 programmed easierly</t>
  </si>
  <si>
    <t>Chris</t>
  </si>
  <si>
    <t xml:space="preserve">3rd may Mark/chris  </t>
  </si>
  <si>
    <t xml:space="preserve">front door BOM and Drawings </t>
  </si>
  <si>
    <t>R/M</t>
  </si>
  <si>
    <t>finally finish the Hardware BOM when all above done</t>
  </si>
  <si>
    <t>Function</t>
  </si>
  <si>
    <t>Macro</t>
  </si>
  <si>
    <t>notes</t>
  </si>
  <si>
    <t xml:space="preserve">filament change  </t>
  </si>
  <si>
    <t>filament_change</t>
  </si>
  <si>
    <t>required if  filament needd changing while printing</t>
  </si>
  <si>
    <t>Homing startup</t>
  </si>
  <si>
    <t>home_startup</t>
  </si>
  <si>
    <t xml:space="preserve">Initial  setup at machine turn on, Home X,Y, ask if you want to home Z  </t>
  </si>
  <si>
    <t xml:space="preserve">Z homing at bottom of printer </t>
  </si>
  <si>
    <t>home_z_max</t>
  </si>
  <si>
    <t>Move bed to the Bottom of the Chamber</t>
  </si>
  <si>
    <t xml:space="preserve">Adaptive bed mesh </t>
  </si>
  <si>
    <t>mesh_adaptive</t>
  </si>
  <si>
    <t>G29 but will just bed mesh around the part thats being printed</t>
  </si>
  <si>
    <t>add "adaptive mesh settings" from the  gcode.text  file in config</t>
  </si>
  <si>
    <t xml:space="preserve">pich adaptive mesh or  mesh </t>
  </si>
  <si>
    <t>mesh_menu</t>
  </si>
  <si>
    <t>creat mesh just around part or the wholw bed</t>
  </si>
  <si>
    <t>Nozzle brush</t>
  </si>
  <si>
    <t>nozzle_brush</t>
  </si>
  <si>
    <t>Will brush the Nozzle</t>
  </si>
  <si>
    <t xml:space="preserve">move nozzel  over bucket </t>
  </si>
  <si>
    <t>nozzle_park</t>
  </si>
  <si>
    <t xml:space="preserve">park nozzle over bucket </t>
  </si>
  <si>
    <t>Z probe get</t>
  </si>
  <si>
    <t>probe_get</t>
  </si>
  <si>
    <t>Pick up the flint zone probe</t>
  </si>
  <si>
    <t>Z probe leave</t>
  </si>
  <si>
    <t>probe_leave</t>
  </si>
  <si>
    <t>Drop off the flint zone probe</t>
  </si>
  <si>
    <t>Z offset calibration</t>
  </si>
  <si>
    <t>z_offset</t>
  </si>
  <si>
    <t>Measure the differance between the nozzel tip and the Anvil</t>
  </si>
  <si>
    <t>tool change file</t>
  </si>
  <si>
    <t>tool_Hd_xxxxx</t>
  </si>
  <si>
    <t>setting required for each tool</t>
  </si>
  <si>
    <t>G32</t>
  </si>
  <si>
    <t>bed.g</t>
  </si>
  <si>
    <t xml:space="preserve">3 point leveling  of the bed  </t>
  </si>
  <si>
    <t>board.txt</t>
  </si>
  <si>
    <t>Needed for super 8/octopus  Define Pins for the sensors andd stepper motors</t>
  </si>
  <si>
    <t>cancel.g</t>
  </si>
  <si>
    <t>Cancel print and reset</t>
  </si>
  <si>
    <t>config.g</t>
  </si>
  <si>
    <t>Contains all the settings for the printer</t>
  </si>
  <si>
    <t>daemon.g</t>
  </si>
  <si>
    <t xml:space="preserve">Run  custom code and scripts </t>
  </si>
  <si>
    <t>filaments.csv</t>
  </si>
  <si>
    <t xml:space="preserve">somthing todo with upload/unload filaments </t>
  </si>
  <si>
    <t>global.g</t>
  </si>
  <si>
    <t xml:space="preserve">Need for scales </t>
  </si>
  <si>
    <t>Needs sorting out  with  scales</t>
  </si>
  <si>
    <t>G28</t>
  </si>
  <si>
    <t>homeall.g</t>
  </si>
  <si>
    <t xml:space="preserve">Set home point for all the axis </t>
  </si>
  <si>
    <t>now checks to see if X and Y have been homed</t>
  </si>
  <si>
    <t>homex.g</t>
  </si>
  <si>
    <t>Set X  home</t>
  </si>
  <si>
    <t>homey.g</t>
  </si>
  <si>
    <t>Set Y home</t>
  </si>
  <si>
    <t>homez.g</t>
  </si>
  <si>
    <t>Set Z home with Z probe</t>
  </si>
  <si>
    <t>G29</t>
  </si>
  <si>
    <t>mesh.g</t>
  </si>
  <si>
    <t xml:space="preserve">Bed mesh </t>
  </si>
  <si>
    <t>mesh here and in macro</t>
  </si>
  <si>
    <t>M600</t>
  </si>
  <si>
    <t>pause.g</t>
  </si>
  <si>
    <t>Pause comand  while printing and park  nozzle over bucket  M600  Menu &gt; filament_change</t>
  </si>
  <si>
    <t>resume.g</t>
  </si>
  <si>
    <t xml:space="preserve">Continue printing </t>
  </si>
  <si>
    <t>stop.g</t>
  </si>
  <si>
    <t>This macro is run when a print has "100%"  completed</t>
  </si>
  <si>
    <t>tool.g</t>
  </si>
  <si>
    <t xml:space="preserve">Define tool perameters set by the tool_hd_x .g  file </t>
  </si>
  <si>
    <t>Printer code</t>
  </si>
  <si>
    <t>Machine Gcode</t>
  </si>
  <si>
    <t>Machine start gcode</t>
  </si>
  <si>
    <t xml:space="preserve">txt file </t>
  </si>
  <si>
    <t>Machine end  gcode</t>
  </si>
  <si>
    <t>Before layer change gcode</t>
  </si>
  <si>
    <t>Change filament gcode</t>
  </si>
  <si>
    <t>Pause gcode</t>
  </si>
  <si>
    <t>mark</t>
  </si>
  <si>
    <t xml:space="preserve">Chris </t>
  </si>
  <si>
    <t xml:space="preserve">Also need  Btn Cmd  json file for scales </t>
  </si>
  <si>
    <t xml:space="preserve">need program for ESP 32  </t>
  </si>
  <si>
    <t>Filaments</t>
  </si>
  <si>
    <t>PLA</t>
  </si>
  <si>
    <t>ABS</t>
  </si>
  <si>
    <t>PETG</t>
  </si>
  <si>
    <t>PET-CF</t>
  </si>
  <si>
    <t>PPS-CF</t>
  </si>
  <si>
    <t>PC-CF</t>
  </si>
  <si>
    <t>PC PBT LCF</t>
  </si>
  <si>
    <t xml:space="preserve">txt file  </t>
  </si>
  <si>
    <t>PPA-CF</t>
  </si>
  <si>
    <t>PA6</t>
  </si>
  <si>
    <t>TPU</t>
  </si>
  <si>
    <t>Quantity M</t>
  </si>
  <si>
    <t>Column2</t>
  </si>
  <si>
    <t xml:space="preserve">EPDM foam </t>
  </si>
  <si>
    <t>5M</t>
  </si>
  <si>
    <t>Door seal / Dry Box</t>
  </si>
  <si>
    <t xml:space="preserve">local hardware store </t>
  </si>
  <si>
    <t>EPDM profile</t>
  </si>
  <si>
    <t xml:space="preserve">Square </t>
  </si>
  <si>
    <t>Engineers square</t>
  </si>
  <si>
    <t>Allen keys 1.27,2,3,4,mm 2.5mm ball ended</t>
  </si>
  <si>
    <t xml:space="preserve">steel Rule or  Equiverlant </t>
  </si>
  <si>
    <t xml:space="preserve">G or F clamp </t>
  </si>
  <si>
    <t xml:space="preserve">gust for putting the frame together </t>
  </si>
  <si>
    <t>Spanner  AF 7mm,</t>
  </si>
  <si>
    <t>Drill bits mm  5,4,3</t>
  </si>
  <si>
    <t xml:space="preserve">solder iron and solder </t>
  </si>
  <si>
    <t xml:space="preserve">crimp tool for  control board connection </t>
  </si>
  <si>
    <t xml:space="preserve">Taps M6 </t>
  </si>
  <si>
    <t xml:space="preserve">calipers </t>
  </si>
  <si>
    <t xml:space="preserve">Recomend Shahe </t>
  </si>
  <si>
    <t>Allen Key short shank 2.5mmfor moth end</t>
  </si>
  <si>
    <t>used on screws on moth end</t>
  </si>
  <si>
    <t>https://www.aliexpress.com/item/1005009139855730.html?</t>
  </si>
  <si>
    <t>Unclog Pin Specially Design </t>
  </si>
  <si>
    <t>https://www.aliexpress.com/item/1005002948629438.html?spm=a2g0o.order_list.order_list_main.192.45b518027U4htK</t>
  </si>
  <si>
    <t>Philips No. 2   ( screws in GX20)</t>
  </si>
  <si>
    <t xml:space="preserve">Good wire strippers  for the High temperature cable </t>
  </si>
  <si>
    <t xml:space="preserve">Lead/Tin Sloder 60/40 </t>
  </si>
  <si>
    <t xml:space="preserve">This will make the soldering much easier </t>
  </si>
  <si>
    <t>New  features and upgrades on the Valkyrie V2  HT 100+</t>
  </si>
  <si>
    <t>Tool Head upgrades</t>
  </si>
  <si>
    <t xml:space="preserve">Water flow monitoring with alarm </t>
  </si>
  <si>
    <t>The Hot end now water cooled</t>
  </si>
  <si>
    <t>Part cooling is now recycling the chamber hot air with a powerfull 0.76^3M/min</t>
  </si>
  <si>
    <t xml:space="preserve">Filament buffer added increase in max volumectric flow rate </t>
  </si>
  <si>
    <t xml:space="preserve"> Quick tool head disconnect (5 minutes to change over ) </t>
  </si>
  <si>
    <t>Chamber upgrades</t>
  </si>
  <si>
    <t>Chamber now has an active ?W heater to 100C</t>
  </si>
  <si>
    <t xml:space="preserve">Dry box temperature now up to 90C </t>
  </si>
  <si>
    <t>Motion system  upgrade</t>
  </si>
  <si>
    <t>x axis now has pre load to get more accurate nozzle control</t>
  </si>
  <si>
    <t xml:space="preserve">Idleler bearings  updated to larger diamenter for longer life and less play </t>
  </si>
  <si>
    <t xml:space="preserve">Belts now 1.5mm pitch to help with reducing artifcats </t>
  </si>
  <si>
    <t xml:space="preserve">A,B setepper motors are now upgraded to higherer current and long shafts with top bearing support </t>
  </si>
  <si>
    <t>MGN carr's now all  metal  rated  to 120C</t>
  </si>
  <si>
    <t>Auto z offset ajustment for nozzel height</t>
  </si>
  <si>
    <t>Other improvements</t>
  </si>
  <si>
    <t xml:space="preserve">High  temperature SmCo  Magnectics inseted into the printer  </t>
  </si>
  <si>
    <t>Connectors added to the Dry box drawer and heated bed for easy servicing</t>
  </si>
  <si>
    <t>Many updates to printer macros to improve performance</t>
  </si>
  <si>
    <t>Specifications</t>
  </si>
  <si>
    <t>Valkyrie V1</t>
  </si>
  <si>
    <t>Valkyrie V2</t>
  </si>
  <si>
    <t>Hevort</t>
  </si>
  <si>
    <t>Voron 2.4</t>
  </si>
  <si>
    <t>RatRig V3</t>
  </si>
  <si>
    <t>BNC3D Epsilon</t>
  </si>
  <si>
    <t>22 Idex V3</t>
  </si>
  <si>
    <t>number of extruders</t>
  </si>
  <si>
    <t>Idex</t>
  </si>
  <si>
    <t>Max print speed</t>
  </si>
  <si>
    <t>500mm/s</t>
  </si>
  <si>
    <t>500 mm/s</t>
  </si>
  <si>
    <t>Max extruder Tempreature</t>
  </si>
  <si>
    <t>245 std, 290 HT</t>
  </si>
  <si>
    <t>500C</t>
  </si>
  <si>
    <t>Max Bed Tempreature deg C</t>
  </si>
  <si>
    <t>120C</t>
  </si>
  <si>
    <t>150C</t>
  </si>
  <si>
    <t>250C</t>
  </si>
  <si>
    <t>Max chamber Temperatue</t>
  </si>
  <si>
    <t>100/active</t>
  </si>
  <si>
    <t>Print Volume X,Y,Z</t>
  </si>
  <si>
    <t>300x300x2xx</t>
  </si>
  <si>
    <t>300x300x300</t>
  </si>
  <si>
    <t>300 to 500 cubed</t>
  </si>
  <si>
    <t>3 sizes, 250,300,350 cubed</t>
  </si>
  <si>
    <t>3 sizes, 300,400,500 cubed</t>
  </si>
  <si>
    <t>420*300*400</t>
  </si>
  <si>
    <t>350 x350 x450</t>
  </si>
  <si>
    <t>self leving bed</t>
  </si>
  <si>
    <t>yes</t>
  </si>
  <si>
    <t>-</t>
  </si>
  <si>
    <t>NON</t>
  </si>
  <si>
    <t>3 point lead screw</t>
  </si>
  <si>
    <t>build plate</t>
  </si>
  <si>
    <t>builders choice</t>
  </si>
  <si>
    <t xml:space="preserve">builder choice </t>
  </si>
  <si>
    <t>energetic PEI magnectic</t>
  </si>
  <si>
    <t>FlexPlate Set - Powder Coated PEI</t>
  </si>
  <si>
    <t>carbon/Glass</t>
  </si>
  <si>
    <t>Bed</t>
  </si>
  <si>
    <t>8mm Aluminium cast 8053 / insulated</t>
  </si>
  <si>
    <t>8mm Aluminium cast 8053 with SmCo magnets</t>
  </si>
  <si>
    <t>builders choiice</t>
  </si>
  <si>
    <t>aluminium plate Rolled / uninsulated</t>
  </si>
  <si>
    <t>6mm cast aluminium tooling plate</t>
  </si>
  <si>
    <t>Glass Build Plate</t>
  </si>
  <si>
    <t>build surface screw fasteners</t>
  </si>
  <si>
    <t>bed probe</t>
  </si>
  <si>
    <t>custom</t>
  </si>
  <si>
    <t>Bltouch</t>
  </si>
  <si>
    <t>inductive</t>
  </si>
  <si>
    <t>BL touch</t>
  </si>
  <si>
    <t>control board</t>
  </si>
  <si>
    <t>Duet 6hc / octopus pro</t>
  </si>
  <si>
    <t>Duet 6HC</t>
  </si>
  <si>
    <t>DuetWifi + Duex5</t>
  </si>
  <si>
    <t>SKR1.4/Spider</t>
  </si>
  <si>
    <t>Duet3mini + Mini2+ or Duet3 6ch or SK pro 1.2</t>
  </si>
  <si>
    <t>Duet 3, 3HC Expansion Board</t>
  </si>
  <si>
    <t>Voltage AC</t>
  </si>
  <si>
    <t>110/230</t>
  </si>
  <si>
    <t>115 or 230</t>
  </si>
  <si>
    <t>84 to 240</t>
  </si>
  <si>
    <t>Enclosure type</t>
  </si>
  <si>
    <t>PIR skined in ACM</t>
  </si>
  <si>
    <t>DiBond</t>
  </si>
  <si>
    <t>acrylic</t>
  </si>
  <si>
    <t>4mm polycarbonate</t>
  </si>
  <si>
    <t>steel and acrylic</t>
  </si>
  <si>
    <t>insulation and steel</t>
  </si>
  <si>
    <t>Filament Runout Sensor</t>
  </si>
  <si>
    <t>Part cooling</t>
  </si>
  <si>
    <t>air /5015 fan 4.5CFM</t>
  </si>
  <si>
    <t>air/Robo fan 26CFM</t>
  </si>
  <si>
    <t>compressor</t>
  </si>
  <si>
    <t>fan</t>
  </si>
  <si>
    <t>air 5015</t>
  </si>
  <si>
    <t>extruder cooling</t>
  </si>
  <si>
    <t>air</t>
  </si>
  <si>
    <t>Water</t>
  </si>
  <si>
    <t>water</t>
  </si>
  <si>
    <t>Belt size A/B</t>
  </si>
  <si>
    <t>9mm/2mm pitch</t>
  </si>
  <si>
    <t>9mm/2.0mm pitch</t>
  </si>
  <si>
    <t>6mm std ,9mm HT(mellow)</t>
  </si>
  <si>
    <t>9mm</t>
  </si>
  <si>
    <t>9mm Belts</t>
  </si>
  <si>
    <t>12mm kevlar</t>
  </si>
  <si>
    <t>Z Axis</t>
  </si>
  <si>
    <t>9mm belts</t>
  </si>
  <si>
    <t>lead screw</t>
  </si>
  <si>
    <t>Belt 6 or 9mm</t>
  </si>
  <si>
    <t>lead screw T8 x8</t>
  </si>
  <si>
    <t>Position Accuracy/resolution</t>
  </si>
  <si>
    <t>X/Y: 12.5 μm, Z: 3.125 μm</t>
  </si>
  <si>
    <t>X/Y:10.0 μm, Z: 2.5 μm</t>
  </si>
  <si>
    <t>X/Y: 1.25µm Z: 1µm</t>
  </si>
  <si>
    <t>X/Y: 10 μm, Z: 7 μm</t>
  </si>
  <si>
    <t>Filter</t>
  </si>
  <si>
    <t>Non</t>
  </si>
  <si>
    <t>non</t>
  </si>
  <si>
    <t>H13 HEPA filter, Active Carbon filter</t>
  </si>
  <si>
    <t>Optional HEPA + Active Carbon Filter System (sold separately)</t>
  </si>
  <si>
    <t>Filament Box</t>
  </si>
  <si>
    <t>humidity &amp; tempreature 1kg roll 70C</t>
  </si>
  <si>
    <t>humidity &amp; tempreature 1kg roll 90C</t>
  </si>
  <si>
    <t>humidity control 5 rolls</t>
  </si>
  <si>
    <t>extra</t>
  </si>
  <si>
    <t>Built in UPS</t>
  </si>
  <si>
    <t>YES</t>
  </si>
  <si>
    <t>Raspberry Pi</t>
  </si>
  <si>
    <t>Print Resoloution layer height</t>
  </si>
  <si>
    <t>Screen</t>
  </si>
  <si>
    <t>option , new Duet release soon</t>
  </si>
  <si>
    <t>yes type?</t>
  </si>
  <si>
    <t>touch 5"</t>
  </si>
  <si>
    <t>Controller Firmware</t>
  </si>
  <si>
    <t>REPRAP</t>
  </si>
  <si>
    <t>klipper/Marrlin</t>
  </si>
  <si>
    <t>Slicer</t>
  </si>
  <si>
    <t>Any</t>
  </si>
  <si>
    <t>any</t>
  </si>
  <si>
    <t>CURA</t>
  </si>
  <si>
    <t>Bodum or direct drive</t>
  </si>
  <si>
    <t>direct</t>
  </si>
  <si>
    <t>Direct plus Filament buffer</t>
  </si>
  <si>
    <t>builder choice</t>
  </si>
  <si>
    <t>bodun</t>
  </si>
  <si>
    <t>Direct</t>
  </si>
  <si>
    <t>Extruder</t>
  </si>
  <si>
    <t>BTT H2V2S</t>
  </si>
  <si>
    <t>BTT H2V2</t>
  </si>
  <si>
    <t>LGX Pro High-Temp</t>
  </si>
  <si>
    <t>connectivity WIFI USB</t>
  </si>
  <si>
    <t>wifi/LAN</t>
  </si>
  <si>
    <t>Wifi &amp; LAN</t>
  </si>
  <si>
    <t>internal light</t>
  </si>
  <si>
    <t>LED</t>
  </si>
  <si>
    <t>Blue LED</t>
  </si>
  <si>
    <t>RGB</t>
  </si>
  <si>
    <t>Hot end</t>
  </si>
  <si>
    <t>Solid copper</t>
  </si>
  <si>
    <t>Solid Copper</t>
  </si>
  <si>
    <t>Std E3D clone</t>
  </si>
  <si>
    <t>e3D</t>
  </si>
  <si>
    <t>Slice Engineering Copperhead</t>
  </si>
  <si>
    <t>Price Approximately USA $</t>
  </si>
  <si>
    <t>~2000</t>
  </si>
  <si>
    <t>~2400</t>
  </si>
  <si>
    <t>filament Dia</t>
  </si>
  <si>
    <t>High-Performance Filaments with HDT  (2026 Reference)</t>
  </si>
  <si>
    <t>Note: The values maybe different depending on the brands - Check</t>
  </si>
  <si>
    <t>C</t>
  </si>
  <si>
    <t>Hr</t>
  </si>
  <si>
    <t>UnAnnealed</t>
  </si>
  <si>
    <t>Annealed</t>
  </si>
  <si>
    <t>E</t>
  </si>
  <si>
    <t>Filament Name</t>
  </si>
  <si>
    <t>Build Sheet</t>
  </si>
  <si>
    <t>Cooling Fan Speed</t>
  </si>
  <si>
    <t>Tg</t>
  </si>
  <si>
    <t>Nozzle Temp</t>
  </si>
  <si>
    <t>Bed Temp</t>
  </si>
  <si>
    <t>Chamber Temp</t>
  </si>
  <si>
    <t>Drying Temp</t>
  </si>
  <si>
    <t>Drying Time</t>
  </si>
  <si>
    <t>HDT at 0.45 Mpa</t>
  </si>
  <si>
    <t>Annealed HDT at 0.45 Mpa2</t>
  </si>
  <si>
    <t>Bending Modulus MPa</t>
  </si>
  <si>
    <t>PEI</t>
  </si>
  <si>
    <t>Low</t>
  </si>
  <si>
    <t>ULTEM 1010</t>
  </si>
  <si>
    <t>PC/PEI</t>
  </si>
  <si>
    <t>PPSU</t>
  </si>
  <si>
    <t>PC BLEND LCF*</t>
  </si>
  <si>
    <t>PEKK</t>
  </si>
  <si>
    <t>CF/PEI</t>
  </si>
  <si>
    <t>PEKK CF</t>
  </si>
  <si>
    <t>ULTEM 9085</t>
  </si>
  <si>
    <t>PSU</t>
  </si>
  <si>
    <t>FR4</t>
  </si>
  <si>
    <t>PVDF</t>
  </si>
  <si>
    <t>PA 6</t>
  </si>
  <si>
    <t>G10/FR4</t>
  </si>
  <si>
    <t>PA6 GF</t>
  </si>
  <si>
    <t>PEEK</t>
  </si>
  <si>
    <t>PA12 CF</t>
  </si>
  <si>
    <t>PA12 GF</t>
  </si>
  <si>
    <t>PC</t>
  </si>
  <si>
    <t>PC CF/GF</t>
  </si>
  <si>
    <t>PC + ABS</t>
  </si>
  <si>
    <t>PC + ASA</t>
  </si>
  <si>
    <t>TPC FLEX</t>
  </si>
  <si>
    <t>Medium</t>
  </si>
  <si>
    <t>PC Blend CF Prusa</t>
  </si>
  <si>
    <t>PC Polymax</t>
  </si>
  <si>
    <t>PC BambuLab</t>
  </si>
  <si>
    <t>PET CF</t>
  </si>
  <si>
    <t>PA ePA CF</t>
  </si>
  <si>
    <t>PEI/Glass</t>
  </si>
  <si>
    <t>ASA</t>
  </si>
  <si>
    <t>PPS</t>
  </si>
  <si>
    <t>HIPS</t>
  </si>
  <si>
    <t>CPE</t>
  </si>
  <si>
    <t>High</t>
  </si>
  <si>
    <t xml:space="preserve">*Add North </t>
  </si>
  <si>
    <t>NOTE:</t>
  </si>
  <si>
    <t>Abrasive Protection:</t>
  </si>
  <si>
    <t xml:space="preserve"> Glass Fiber (GF) and Carbon Fiber (CF) will destroy brass nozzles. A hardened steel or tungsten carbide nozzle is mandatory</t>
  </si>
  <si>
    <t>Thermal Treatment:</t>
  </si>
  <si>
    <t>Semi-crystalline polymers like PPS-CF and PPA-CF often require annealing (baking at ~140°C) to reach their maximum rated HDT</t>
  </si>
  <si>
    <t>Active Drying:</t>
  </si>
  <si>
    <t>These materials must be dried at 80°C–120°C for 8+ hours before printing to prevent structural defects</t>
  </si>
  <si>
    <r>
      <t>Amorphous Materials (PC, ABS, ASA, PETG, ULTEM)</t>
    </r>
    <r>
      <rPr>
        <sz val="12"/>
        <color rgb="FF0A0A0A"/>
        <rFont val="Calibri"/>
        <scheme val="minor"/>
      </rPr>
      <t>: These materials generally do not benefit from annealing in terms of HDT. Annealing is used here primarily to </t>
    </r>
    <r>
      <rPr>
        <sz val="12"/>
        <color rgb="FF0A0A0A"/>
        <rFont val="Calibri"/>
        <scheme val="minor"/>
      </rPr>
      <t>reduce internal stresses</t>
    </r>
    <r>
      <rPr>
        <sz val="12"/>
        <color rgb="FF0A0A0A"/>
        <rFont val="Calibri"/>
        <scheme val="minor"/>
      </rPr>
      <t> and prevent warping later on. </t>
    </r>
  </si>
  <si>
    <r>
      <t>Semi-Crystalline Materials (PLA, PPS, Nylon, PEEK)</t>
    </r>
    <r>
      <rPr>
        <sz val="12"/>
        <color rgb="FF0A0A0A"/>
        <rFont val="Calibri"/>
        <scheme val="minor"/>
      </rPr>
      <t>: Annealing is </t>
    </r>
    <r>
      <rPr>
        <sz val="12"/>
        <color rgb="FF0A0A0A"/>
        <rFont val="Calibri"/>
        <scheme val="minor"/>
      </rPr>
      <t>required</t>
    </r>
    <r>
      <rPr>
        <sz val="12"/>
        <color rgb="FF0A0A0A"/>
        <rFont val="Calibri"/>
        <scheme val="minor"/>
      </rPr>
      <t> to reach the high HDT values listed. Without annealing, these parts will soften significantly at much lower temperatures.</t>
    </r>
  </si>
  <si>
    <t>make scrafitial layers in the gearbox</t>
  </si>
  <si>
    <t>R</t>
  </si>
  <si>
    <t>adapt the PSU 350 buddy to the LRS-350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</si>
</sst>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[Red]\(&quot;$&quot;#,##0\)"/>
    <numFmt numFmtId="165" formatCode="_-[$$-409]* #,##0.00_ ;_-[$$-409]* \-#,##0.00\ ;_-[$$-409]* &quot;-&quot;??_ ;_-@_ "/>
    <numFmt numFmtId="166" formatCode="_-[$$-409]* #,##0_ ;_-[$$-409]* \-#,##0\ ;_-[$$-409]* &quot;-&quot;_ ;_-@_ "/>
    <numFmt numFmtId="167" formatCode="&quot;$&quot;#,##0.00"/>
    <numFmt numFmtId="168" formatCode="_-[$$-409]* #,##0_ ;_-[$$-409]* \-#,##0.00\ ;_-[$$-409]* &quot;-&quot;??_ ;_-@_ "/>
    <numFmt numFmtId="169" formatCode="_([$$-409]* #,##0_);_([$$-409]* \(#,##0\);_([$$-409]* &quot;-&quot;_);_(@_)"/>
    <numFmt numFmtId="170" formatCode="[$]hh:mm;@" x16r2:formatCode16="[$-en-150,1]hh:mm;@"/>
    <numFmt numFmtId="171" formatCode="[h]:mm:ss;@"/>
  </numFmts>
  <fonts count="69"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1"/>
      <color rgb="FF222222"/>
      <name val="Calibri"/>
      <family val="2"/>
      <scheme val="minor"/>
    </font>
    <font>
      <sz val="11"/>
      <name val="Calibri"/>
      <family val="2"/>
    </font>
    <font>
      <b/>
      <sz val="12"/>
      <color rgb="FF0070C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u/>
      <sz val="11"/>
      <color rgb="FF00B050"/>
      <name val="Calibri"/>
      <family val="2"/>
    </font>
    <font>
      <u/>
      <sz val="11"/>
      <color rgb="FF00B0F0"/>
      <name val="Calibri"/>
      <family val="2"/>
    </font>
    <font>
      <b/>
      <u/>
      <sz val="11"/>
      <color rgb="FF00B0F0"/>
      <name val="Calibri"/>
      <family val="2"/>
    </font>
    <font>
      <sz val="14"/>
      <color theme="1"/>
      <name val="Aptos Black"/>
      <family val="2"/>
    </font>
    <font>
      <b/>
      <sz val="14"/>
      <color theme="1"/>
      <name val="Aptos Black"/>
      <family val="2"/>
    </font>
    <font>
      <sz val="8"/>
      <name val="Calibri"/>
      <family val="2"/>
    </font>
    <font>
      <sz val="11"/>
      <color rgb="FF191919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u/>
      <sz val="12"/>
      <color rgb="FF0000FF"/>
      <name val="Calibri"/>
      <family val="2"/>
    </font>
    <font>
      <sz val="11"/>
      <color rgb="FF242424"/>
      <name val="Aptos Narrow"/>
      <charset val="1"/>
    </font>
    <font>
      <sz val="11"/>
      <color rgb="FF000000"/>
      <name val="Consolas"/>
      <charset val="1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333333"/>
      <name val="Calibri"/>
      <family val="2"/>
      <scheme val="minor"/>
    </font>
    <font>
      <sz val="10"/>
      <color rgb="FF555555"/>
      <name val="Segoe U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A0A0A"/>
      <name val="Arial"/>
      <family val="2"/>
    </font>
    <font>
      <sz val="12"/>
      <color rgb="FF0A0A0A"/>
      <name val="Arial"/>
      <family val="2"/>
    </font>
    <font>
      <b/>
      <sz val="10"/>
      <color rgb="FF000000"/>
      <name val="Calibri"/>
      <family val="2"/>
      <scheme val="minor"/>
    </font>
    <font>
      <sz val="9"/>
      <color rgb="FF000000"/>
      <name val="Calibri"/>
      <scheme val="minor"/>
    </font>
    <font>
      <b/>
      <sz val="10"/>
      <color theme="1"/>
      <name val="Arial"/>
      <family val="2"/>
    </font>
    <font>
      <b/>
      <sz val="10"/>
      <color rgb="FF0A0A0A"/>
      <name val="Arial"/>
      <family val="2"/>
    </font>
    <font>
      <sz val="10"/>
      <color theme="1"/>
      <name val="Arial"/>
      <family val="2"/>
    </font>
    <font>
      <b/>
      <sz val="10"/>
      <color rgb="FF0A0A0A"/>
      <name val="&quot;Google Sans&quot;"/>
    </font>
    <font>
      <b/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2"/>
      <color rgb="FF0A0A0A"/>
      <name val="Calibri"/>
      <scheme val="minor"/>
    </font>
    <font>
      <b/>
      <sz val="10"/>
      <color rgb="FF000000"/>
      <name val="Calibri"/>
      <scheme val="minor"/>
    </font>
    <font>
      <sz val="8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0000"/>
      <name val="Calibri"/>
      <charset val="1"/>
    </font>
    <font>
      <sz val="11"/>
      <color rgb="FF1F2328"/>
      <name val="Calibri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5" fillId="0" borderId="0" applyNumberForma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3" fillId="0" borderId="0"/>
    <xf numFmtId="0" fontId="48" fillId="0" borderId="0"/>
  </cellStyleXfs>
  <cellXfs count="318">
    <xf numFmtId="0" fontId="0" fillId="0" borderId="0" xfId="0"/>
    <xf numFmtId="0" fontId="14" fillId="0" borderId="0" xfId="0" applyFont="1"/>
    <xf numFmtId="0" fontId="12" fillId="0" borderId="0" xfId="2"/>
    <xf numFmtId="0" fontId="21" fillId="0" borderId="10" xfId="5" applyFont="1" applyBorder="1"/>
    <xf numFmtId="0" fontId="0" fillId="0" borderId="0" xfId="0" applyAlignment="1">
      <alignment wrapText="1"/>
    </xf>
    <xf numFmtId="0" fontId="24" fillId="0" borderId="0" xfId="0" applyFont="1"/>
    <xf numFmtId="0" fontId="0" fillId="2" borderId="0" xfId="0" applyFill="1"/>
    <xf numFmtId="0" fontId="26" fillId="0" borderId="0" xfId="0" applyFont="1" applyAlignment="1">
      <alignment wrapText="1"/>
    </xf>
    <xf numFmtId="49" fontId="12" fillId="0" borderId="0" xfId="2" applyNumberFormat="1" applyAlignment="1">
      <alignment wrapText="1"/>
    </xf>
    <xf numFmtId="0" fontId="5" fillId="0" borderId="0" xfId="8" applyFont="1"/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16" fillId="0" borderId="0" xfId="0" applyFont="1" applyAlignment="1">
      <alignment vertical="top"/>
    </xf>
    <xf numFmtId="1" fontId="12" fillId="0" borderId="0" xfId="2" applyNumberFormat="1"/>
    <xf numFmtId="167" fontId="0" fillId="0" borderId="0" xfId="0" applyNumberFormat="1" applyAlignment="1">
      <alignment vertical="top"/>
    </xf>
    <xf numFmtId="0" fontId="14" fillId="0" borderId="4" xfId="0" applyFont="1" applyBorder="1" applyAlignment="1">
      <alignment vertical="top"/>
    </xf>
    <xf numFmtId="0" fontId="0" fillId="0" borderId="4" xfId="0" applyBorder="1"/>
    <xf numFmtId="49" fontId="12" fillId="0" borderId="1" xfId="2" applyNumberFormat="1" applyBorder="1" applyAlignment="1">
      <alignment wrapText="1"/>
    </xf>
    <xf numFmtId="0" fontId="14" fillId="0" borderId="4" xfId="0" applyFont="1" applyBorder="1"/>
    <xf numFmtId="0" fontId="30" fillId="0" borderId="1" xfId="2" applyFont="1" applyBorder="1"/>
    <xf numFmtId="0" fontId="31" fillId="0" borderId="2" xfId="2" applyFont="1" applyBorder="1" applyAlignment="1">
      <alignment horizontal="center"/>
    </xf>
    <xf numFmtId="49" fontId="12" fillId="0" borderId="4" xfId="2" applyNumberFormat="1" applyBorder="1" applyAlignment="1">
      <alignment wrapText="1"/>
    </xf>
    <xf numFmtId="0" fontId="8" fillId="0" borderId="4" xfId="7" applyBorder="1"/>
    <xf numFmtId="0" fontId="12" fillId="0" borderId="4" xfId="2" applyBorder="1"/>
    <xf numFmtId="0" fontId="14" fillId="0" borderId="4" xfId="7" applyFont="1" applyBorder="1"/>
    <xf numFmtId="0" fontId="0" fillId="0" borderId="4" xfId="7" applyFont="1" applyBorder="1"/>
    <xf numFmtId="0" fontId="0" fillId="0" borderId="0" xfId="2" applyFont="1"/>
    <xf numFmtId="1" fontId="18" fillId="0" borderId="0" xfId="1" applyNumberFormat="1" applyFont="1" applyFill="1" applyBorder="1" applyAlignment="1">
      <alignment horizontal="center" vertical="top"/>
    </xf>
    <xf numFmtId="0" fontId="0" fillId="0" borderId="4" xfId="2" applyFont="1" applyBorder="1"/>
    <xf numFmtId="0" fontId="23" fillId="0" borderId="4" xfId="0" applyFont="1" applyBorder="1"/>
    <xf numFmtId="0" fontId="4" fillId="0" borderId="0" xfId="0" applyFont="1" applyAlignment="1">
      <alignment vertical="top"/>
    </xf>
    <xf numFmtId="0" fontId="0" fillId="0" borderId="4" xfId="0" applyBorder="1" applyAlignment="1">
      <alignment vertical="top"/>
    </xf>
    <xf numFmtId="0" fontId="19" fillId="0" borderId="8" xfId="0" applyFont="1" applyBorder="1" applyAlignment="1">
      <alignment vertical="top"/>
    </xf>
    <xf numFmtId="0" fontId="19" fillId="0" borderId="9" xfId="0" applyFont="1" applyBorder="1" applyAlignment="1">
      <alignment vertical="top"/>
    </xf>
    <xf numFmtId="167" fontId="19" fillId="0" borderId="9" xfId="0" applyNumberFormat="1" applyFont="1" applyBorder="1" applyAlignment="1">
      <alignment vertical="top"/>
    </xf>
    <xf numFmtId="168" fontId="19" fillId="0" borderId="9" xfId="0" applyNumberFormat="1" applyFont="1" applyBorder="1" applyAlignment="1">
      <alignment vertical="top"/>
    </xf>
    <xf numFmtId="0" fontId="14" fillId="0" borderId="0" xfId="2" applyFont="1"/>
    <xf numFmtId="0" fontId="0" fillId="0" borderId="5" xfId="0" applyBorder="1"/>
    <xf numFmtId="0" fontId="22" fillId="0" borderId="0" xfId="0" applyFont="1" applyAlignment="1">
      <alignment wrapText="1"/>
    </xf>
    <xf numFmtId="0" fontId="14" fillId="0" borderId="11" xfId="0" applyFont="1" applyBorder="1"/>
    <xf numFmtId="0" fontId="14" fillId="0" borderId="6" xfId="0" applyFont="1" applyBorder="1"/>
    <xf numFmtId="0" fontId="14" fillId="0" borderId="0" xfId="9" applyFont="1" applyAlignment="1">
      <alignment vertical="top"/>
    </xf>
    <xf numFmtId="0" fontId="31" fillId="0" borderId="3" xfId="2" applyFont="1" applyBorder="1" applyAlignment="1">
      <alignment horizontal="center"/>
    </xf>
    <xf numFmtId="1" fontId="12" fillId="0" borderId="5" xfId="2" applyNumberFormat="1" applyBorder="1"/>
    <xf numFmtId="1" fontId="12" fillId="0" borderId="7" xfId="2" applyNumberFormat="1" applyBorder="1"/>
    <xf numFmtId="0" fontId="0" fillId="0" borderId="6" xfId="0" applyBorder="1"/>
    <xf numFmtId="0" fontId="12" fillId="0" borderId="3" xfId="2" applyBorder="1"/>
    <xf numFmtId="0" fontId="27" fillId="0" borderId="4" xfId="1" applyFont="1" applyBorder="1"/>
    <xf numFmtId="0" fontId="12" fillId="0" borderId="6" xfId="2" applyBorder="1"/>
    <xf numFmtId="0" fontId="12" fillId="0" borderId="1" xfId="2" applyBorder="1"/>
    <xf numFmtId="0" fontId="13" fillId="0" borderId="4" xfId="0" applyFont="1" applyBorder="1"/>
    <xf numFmtId="0" fontId="21" fillId="0" borderId="5" xfId="8" applyFont="1" applyBorder="1"/>
    <xf numFmtId="0" fontId="12" fillId="0" borderId="5" xfId="2" applyBorder="1"/>
    <xf numFmtId="1" fontId="12" fillId="3" borderId="0" xfId="2" applyNumberFormat="1" applyFill="1"/>
    <xf numFmtId="0" fontId="34" fillId="0" borderId="0" xfId="0" applyFont="1"/>
    <xf numFmtId="0" fontId="23" fillId="0" borderId="0" xfId="0" applyFont="1" applyAlignment="1">
      <alignment wrapText="1"/>
    </xf>
    <xf numFmtId="0" fontId="0" fillId="0" borderId="0" xfId="7" applyFont="1" applyAlignment="1">
      <alignment vertical="top"/>
    </xf>
    <xf numFmtId="0" fontId="12" fillId="0" borderId="11" xfId="2" applyBorder="1"/>
    <xf numFmtId="1" fontId="12" fillId="0" borderId="6" xfId="2" applyNumberFormat="1" applyBorder="1"/>
    <xf numFmtId="0" fontId="12" fillId="0" borderId="7" xfId="2" applyBorder="1"/>
    <xf numFmtId="0" fontId="13" fillId="0" borderId="0" xfId="0" applyFont="1"/>
    <xf numFmtId="0" fontId="0" fillId="0" borderId="0" xfId="9" applyFont="1" applyAlignment="1">
      <alignment vertical="top"/>
    </xf>
    <xf numFmtId="49" fontId="12" fillId="0" borderId="2" xfId="2" applyNumberFormat="1" applyBorder="1" applyAlignment="1">
      <alignment wrapText="1"/>
    </xf>
    <xf numFmtId="0" fontId="8" fillId="0" borderId="0" xfId="7"/>
    <xf numFmtId="0" fontId="14" fillId="3" borderId="0" xfId="0" applyFont="1" applyFill="1"/>
    <xf numFmtId="0" fontId="14" fillId="0" borderId="0" xfId="7" applyFont="1"/>
    <xf numFmtId="0" fontId="0" fillId="0" borderId="0" xfId="7" applyFont="1"/>
    <xf numFmtId="0" fontId="12" fillId="0" borderId="2" xfId="2" applyBorder="1"/>
    <xf numFmtId="0" fontId="0" fillId="0" borderId="5" xfId="0" applyBorder="1" applyAlignment="1">
      <alignment vertical="top"/>
    </xf>
    <xf numFmtId="1" fontId="0" fillId="0" borderId="0" xfId="0" applyNumberFormat="1" applyAlignment="1">
      <alignment vertical="top"/>
    </xf>
    <xf numFmtId="1" fontId="0" fillId="0" borderId="5" xfId="0" applyNumberFormat="1" applyBorder="1" applyAlignment="1">
      <alignment vertical="top"/>
    </xf>
    <xf numFmtId="0" fontId="17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2" fillId="0" borderId="5" xfId="0" applyFont="1" applyBorder="1" applyAlignment="1">
      <alignment vertical="top"/>
    </xf>
    <xf numFmtId="165" fontId="19" fillId="0" borderId="6" xfId="0" applyNumberFormat="1" applyFont="1" applyBorder="1" applyAlignment="1">
      <alignment vertical="top"/>
    </xf>
    <xf numFmtId="165" fontId="36" fillId="0" borderId="6" xfId="0" applyNumberFormat="1" applyFont="1" applyBorder="1" applyAlignment="1">
      <alignment vertical="top"/>
    </xf>
    <xf numFmtId="165" fontId="19" fillId="0" borderId="7" xfId="0" applyNumberFormat="1" applyFont="1" applyBorder="1" applyAlignment="1">
      <alignment vertical="top"/>
    </xf>
    <xf numFmtId="0" fontId="19" fillId="0" borderId="12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6" fillId="0" borderId="9" xfId="0" applyFont="1" applyBorder="1" applyAlignment="1">
      <alignment horizontal="left" vertical="top"/>
    </xf>
    <xf numFmtId="1" fontId="22" fillId="0" borderId="0" xfId="1" applyNumberFormat="1" applyFont="1" applyFill="1" applyBorder="1" applyAlignment="1">
      <alignment horizontal="center" vertical="top"/>
    </xf>
    <xf numFmtId="0" fontId="12" fillId="0" borderId="13" xfId="2" applyBorder="1"/>
    <xf numFmtId="0" fontId="21" fillId="0" borderId="14" xfId="8" applyFont="1" applyBorder="1"/>
    <xf numFmtId="0" fontId="12" fillId="0" borderId="14" xfId="2" applyBorder="1"/>
    <xf numFmtId="0" fontId="28" fillId="0" borderId="14" xfId="1" applyFont="1" applyBorder="1"/>
    <xf numFmtId="0" fontId="28" fillId="0" borderId="0" xfId="1" applyFont="1" applyBorder="1"/>
    <xf numFmtId="0" fontId="14" fillId="0" borderId="0" xfId="8" applyFont="1"/>
    <xf numFmtId="49" fontId="12" fillId="0" borderId="14" xfId="2" applyNumberFormat="1" applyBorder="1"/>
    <xf numFmtId="49" fontId="0" fillId="0" borderId="14" xfId="2" applyNumberFormat="1" applyFont="1" applyBorder="1"/>
    <xf numFmtId="49" fontId="12" fillId="0" borderId="15" xfId="2" applyNumberFormat="1" applyBorder="1"/>
    <xf numFmtId="49" fontId="0" fillId="0" borderId="8" xfId="2" applyNumberFormat="1" applyFont="1" applyBorder="1" applyAlignment="1">
      <alignment wrapText="1"/>
    </xf>
    <xf numFmtId="0" fontId="28" fillId="0" borderId="14" xfId="1" applyFont="1" applyFill="1" applyBorder="1" applyAlignment="1">
      <alignment horizontal="center"/>
    </xf>
    <xf numFmtId="0" fontId="28" fillId="0" borderId="14" xfId="1" applyFont="1" applyBorder="1" applyAlignment="1">
      <alignment horizontal="center"/>
    </xf>
    <xf numFmtId="0" fontId="25" fillId="0" borderId="0" xfId="0" applyFont="1" applyAlignment="1">
      <alignment wrapText="1"/>
    </xf>
    <xf numFmtId="1" fontId="35" fillId="0" borderId="0" xfId="1" applyNumberFormat="1" applyFont="1" applyFill="1" applyBorder="1" applyAlignment="1">
      <alignment horizontal="center" vertical="top"/>
    </xf>
    <xf numFmtId="0" fontId="37" fillId="0" borderId="0" xfId="2" applyFont="1"/>
    <xf numFmtId="0" fontId="12" fillId="0" borderId="17" xfId="2" applyBorder="1"/>
    <xf numFmtId="49" fontId="12" fillId="0" borderId="18" xfId="2" applyNumberFormat="1" applyBorder="1" applyAlignment="1">
      <alignment wrapText="1"/>
    </xf>
    <xf numFmtId="0" fontId="12" fillId="0" borderId="19" xfId="2" applyBorder="1"/>
    <xf numFmtId="0" fontId="13" fillId="0" borderId="20" xfId="0" applyFont="1" applyBorder="1"/>
    <xf numFmtId="0" fontId="21" fillId="0" borderId="21" xfId="8" applyFont="1" applyBorder="1"/>
    <xf numFmtId="0" fontId="27" fillId="0" borderId="20" xfId="1" applyFont="1" applyBorder="1"/>
    <xf numFmtId="0" fontId="12" fillId="0" borderId="20" xfId="2" applyBorder="1"/>
    <xf numFmtId="0" fontId="12" fillId="0" borderId="21" xfId="2" applyBorder="1"/>
    <xf numFmtId="0" fontId="28" fillId="0" borderId="21" xfId="1" applyFont="1" applyBorder="1"/>
    <xf numFmtId="0" fontId="12" fillId="0" borderId="22" xfId="2" applyBorder="1"/>
    <xf numFmtId="1" fontId="12" fillId="0" borderId="16" xfId="2" applyNumberFormat="1" applyBorder="1"/>
    <xf numFmtId="0" fontId="12" fillId="0" borderId="23" xfId="2" applyBorder="1"/>
    <xf numFmtId="0" fontId="1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14" fillId="3" borderId="0" xfId="2" applyFont="1" applyFill="1"/>
    <xf numFmtId="170" fontId="14" fillId="0" borderId="0" xfId="0" applyNumberFormat="1" applyFont="1"/>
    <xf numFmtId="1" fontId="0" fillId="0" borderId="0" xfId="0" applyNumberFormat="1" applyAlignment="1">
      <alignment horizontal="right"/>
    </xf>
    <xf numFmtId="1" fontId="14" fillId="0" borderId="0" xfId="2" applyNumberFormat="1" applyFont="1"/>
    <xf numFmtId="1" fontId="14" fillId="0" borderId="0" xfId="0" applyNumberFormat="1" applyFont="1"/>
    <xf numFmtId="1" fontId="14" fillId="3" borderId="0" xfId="2" applyNumberFormat="1" applyFont="1" applyFill="1"/>
    <xf numFmtId="1" fontId="14" fillId="0" borderId="0" xfId="9" applyNumberFormat="1" applyFont="1" applyAlignment="1">
      <alignment vertical="top"/>
    </xf>
    <xf numFmtId="1" fontId="14" fillId="0" borderId="0" xfId="7" applyNumberFormat="1" applyFont="1"/>
    <xf numFmtId="171" fontId="0" fillId="0" borderId="0" xfId="0" applyNumberFormat="1"/>
    <xf numFmtId="1" fontId="0" fillId="0" borderId="0" xfId="0" applyNumberFormat="1"/>
    <xf numFmtId="9" fontId="0" fillId="0" borderId="0" xfId="0" applyNumberFormat="1"/>
    <xf numFmtId="0" fontId="39" fillId="0" borderId="0" xfId="0" applyFont="1"/>
    <xf numFmtId="0" fontId="0" fillId="5" borderId="0" xfId="0" applyFill="1"/>
    <xf numFmtId="0" fontId="0" fillId="5" borderId="0" xfId="0" applyFill="1" applyAlignment="1">
      <alignment wrapText="1"/>
    </xf>
    <xf numFmtId="0" fontId="14" fillId="5" borderId="0" xfId="0" applyFont="1" applyFill="1"/>
    <xf numFmtId="0" fontId="12" fillId="3" borderId="0" xfId="2" applyFill="1"/>
    <xf numFmtId="0" fontId="12" fillId="0" borderId="0" xfId="2" applyAlignment="1">
      <alignment wrapText="1"/>
    </xf>
    <xf numFmtId="0" fontId="40" fillId="0" borderId="0" xfId="2" applyFont="1" applyAlignment="1">
      <alignment wrapText="1"/>
    </xf>
    <xf numFmtId="49" fontId="0" fillId="0" borderId="0" xfId="0" applyNumberFormat="1" applyAlignment="1">
      <alignment vertical="top"/>
    </xf>
    <xf numFmtId="49" fontId="16" fillId="0" borderId="0" xfId="0" applyNumberFormat="1" applyFont="1" applyAlignment="1">
      <alignment vertical="top"/>
    </xf>
    <xf numFmtId="0" fontId="12" fillId="0" borderId="16" xfId="2" applyBorder="1"/>
    <xf numFmtId="49" fontId="0" fillId="0" borderId="0" xfId="0" applyNumberFormat="1" applyAlignment="1">
      <alignment vertical="top" wrapText="1"/>
    </xf>
    <xf numFmtId="1" fontId="41" fillId="0" borderId="5" xfId="1" applyNumberFormat="1" applyFont="1" applyFill="1" applyBorder="1" applyAlignment="1">
      <alignment horizontal="left" vertical="top"/>
    </xf>
    <xf numFmtId="0" fontId="15" fillId="0" borderId="0" xfId="1"/>
    <xf numFmtId="0" fontId="18" fillId="0" borderId="4" xfId="0" applyFont="1" applyBorder="1" applyAlignment="1">
      <alignment vertical="top"/>
    </xf>
    <xf numFmtId="0" fontId="18" fillId="0" borderId="0" xfId="0" applyFont="1" applyAlignment="1">
      <alignment vertical="top"/>
    </xf>
    <xf numFmtId="0" fontId="18" fillId="0" borderId="5" xfId="0" applyFont="1" applyBorder="1" applyAlignment="1">
      <alignment vertical="top"/>
    </xf>
    <xf numFmtId="49" fontId="18" fillId="0" borderId="0" xfId="0" applyNumberFormat="1" applyFont="1" applyAlignment="1">
      <alignment vertical="top"/>
    </xf>
    <xf numFmtId="0" fontId="0" fillId="0" borderId="0" xfId="7" applyFont="1" applyAlignment="1">
      <alignment horizontal="left" vertical="top"/>
    </xf>
    <xf numFmtId="3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9" fontId="17" fillId="0" borderId="5" xfId="0" applyNumberFormat="1" applyFont="1" applyBorder="1" applyAlignment="1">
      <alignment vertical="top"/>
    </xf>
    <xf numFmtId="49" fontId="23" fillId="0" borderId="5" xfId="0" applyNumberFormat="1" applyFont="1" applyBorder="1" applyAlignment="1">
      <alignment vertical="top"/>
    </xf>
    <xf numFmtId="49" fontId="33" fillId="0" borderId="5" xfId="0" applyNumberFormat="1" applyFont="1" applyBorder="1" applyAlignment="1">
      <alignment vertical="top"/>
    </xf>
    <xf numFmtId="0" fontId="33" fillId="4" borderId="5" xfId="0" applyFont="1" applyFill="1" applyBorder="1" applyAlignment="1">
      <alignment wrapText="1"/>
    </xf>
    <xf numFmtId="0" fontId="17" fillId="0" borderId="5" xfId="0" applyFont="1" applyBorder="1"/>
    <xf numFmtId="0" fontId="33" fillId="0" borderId="5" xfId="0" applyFont="1" applyBorder="1"/>
    <xf numFmtId="49" fontId="35" fillId="0" borderId="5" xfId="0" applyNumberFormat="1" applyFont="1" applyBorder="1" applyAlignment="1">
      <alignment vertical="top"/>
    </xf>
    <xf numFmtId="49" fontId="23" fillId="0" borderId="5" xfId="0" applyNumberFormat="1" applyFont="1" applyBorder="1"/>
    <xf numFmtId="49" fontId="33" fillId="0" borderId="5" xfId="0" applyNumberFormat="1" applyFont="1" applyBorder="1"/>
    <xf numFmtId="0" fontId="14" fillId="0" borderId="0" xfId="0" applyFont="1" applyAlignment="1">
      <alignment horizontal="left" vertical="top"/>
    </xf>
    <xf numFmtId="0" fontId="29" fillId="0" borderId="5" xfId="1" applyFont="1" applyFill="1" applyBorder="1" applyAlignment="1">
      <alignment vertical="top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top"/>
    </xf>
    <xf numFmtId="0" fontId="7" fillId="0" borderId="0" xfId="9" applyAlignment="1">
      <alignment vertical="top"/>
    </xf>
    <xf numFmtId="0" fontId="12" fillId="0" borderId="0" xfId="2" applyAlignment="1">
      <alignment horizontal="left" vertical="top"/>
    </xf>
    <xf numFmtId="0" fontId="12" fillId="0" borderId="0" xfId="2" applyAlignment="1">
      <alignment vertical="top"/>
    </xf>
    <xf numFmtId="0" fontId="8" fillId="0" borderId="0" xfId="7" applyAlignment="1">
      <alignment vertical="top"/>
    </xf>
    <xf numFmtId="0" fontId="22" fillId="0" borderId="0" xfId="0" applyFont="1" applyAlignment="1">
      <alignment horizontal="left"/>
    </xf>
    <xf numFmtId="0" fontId="12" fillId="0" borderId="0" xfId="2" applyAlignment="1">
      <alignment horizontal="left"/>
    </xf>
    <xf numFmtId="0" fontId="9" fillId="0" borderId="0" xfId="5" applyAlignment="1">
      <alignment vertical="top"/>
    </xf>
    <xf numFmtId="0" fontId="9" fillId="0" borderId="0" xfId="5" applyAlignment="1">
      <alignment horizontal="left" vertical="top"/>
    </xf>
    <xf numFmtId="0" fontId="14" fillId="0" borderId="0" xfId="7" applyFont="1" applyAlignment="1">
      <alignment horizontal="left" vertical="top"/>
    </xf>
    <xf numFmtId="0" fontId="8" fillId="0" borderId="0" xfId="7" applyAlignment="1">
      <alignment horizontal="left" vertical="top"/>
    </xf>
    <xf numFmtId="0" fontId="23" fillId="0" borderId="0" xfId="0" applyFont="1"/>
    <xf numFmtId="0" fontId="0" fillId="0" borderId="0" xfId="0" applyAlignment="1">
      <alignment horizontal="left"/>
    </xf>
    <xf numFmtId="0" fontId="29" fillId="0" borderId="5" xfId="1" applyFont="1" applyBorder="1"/>
    <xf numFmtId="0" fontId="28" fillId="0" borderId="5" xfId="1" applyFont="1" applyFill="1" applyBorder="1" applyAlignment="1">
      <alignment vertical="top"/>
    </xf>
    <xf numFmtId="0" fontId="29" fillId="0" borderId="5" xfId="1" applyFont="1" applyFill="1" applyBorder="1"/>
    <xf numFmtId="0" fontId="18" fillId="0" borderId="0" xfId="0" applyFont="1" applyAlignment="1">
      <alignment horizontal="left" vertical="top"/>
    </xf>
    <xf numFmtId="0" fontId="18" fillId="0" borderId="0" xfId="2" applyFont="1" applyAlignment="1">
      <alignment vertical="top"/>
    </xf>
    <xf numFmtId="0" fontId="18" fillId="0" borderId="0" xfId="7" applyFont="1" applyAlignment="1">
      <alignment horizontal="left" vertical="top"/>
    </xf>
    <xf numFmtId="1" fontId="18" fillId="0" borderId="0" xfId="0" applyNumberFormat="1" applyFont="1" applyAlignment="1">
      <alignment vertical="top"/>
    </xf>
    <xf numFmtId="3" fontId="18" fillId="0" borderId="0" xfId="0" applyNumberFormat="1" applyFont="1" applyAlignment="1">
      <alignment vertical="top"/>
    </xf>
    <xf numFmtId="166" fontId="18" fillId="0" borderId="0" xfId="0" applyNumberFormat="1" applyFont="1" applyAlignment="1">
      <alignment vertical="top"/>
    </xf>
    <xf numFmtId="0" fontId="23" fillId="0" borderId="0" xfId="0" applyFont="1" applyAlignment="1">
      <alignment vertical="top"/>
    </xf>
    <xf numFmtId="0" fontId="14" fillId="0" borderId="0" xfId="6" applyFont="1" applyAlignment="1">
      <alignment vertical="top"/>
    </xf>
    <xf numFmtId="0" fontId="0" fillId="0" borderId="0" xfId="6" applyFont="1" applyAlignment="1">
      <alignment horizontal="left" vertical="top"/>
    </xf>
    <xf numFmtId="0" fontId="8" fillId="0" borderId="0" xfId="6" applyAlignment="1">
      <alignment vertical="top"/>
    </xf>
    <xf numFmtId="0" fontId="8" fillId="0" borderId="0" xfId="6" applyAlignment="1">
      <alignment horizontal="left" vertical="top"/>
    </xf>
    <xf numFmtId="0" fontId="22" fillId="0" borderId="0" xfId="7" applyFont="1" applyAlignment="1">
      <alignment vertical="top"/>
    </xf>
    <xf numFmtId="0" fontId="10" fillId="0" borderId="0" xfId="4" applyAlignment="1">
      <alignment horizontal="left" vertical="top"/>
    </xf>
    <xf numFmtId="0" fontId="10" fillId="0" borderId="0" xfId="4" applyAlignment="1">
      <alignment vertical="top"/>
    </xf>
    <xf numFmtId="0" fontId="23" fillId="0" borderId="0" xfId="7" applyFont="1" applyAlignment="1">
      <alignment vertical="top"/>
    </xf>
    <xf numFmtId="0" fontId="8" fillId="0" borderId="0" xfId="8" applyAlignment="1">
      <alignment horizontal="left" vertical="top"/>
    </xf>
    <xf numFmtId="169" fontId="0" fillId="0" borderId="0" xfId="0" applyNumberFormat="1" applyAlignment="1">
      <alignment vertical="top"/>
    </xf>
    <xf numFmtId="0" fontId="38" fillId="0" borderId="5" xfId="1" applyFont="1" applyBorder="1"/>
    <xf numFmtId="0" fontId="14" fillId="0" borderId="0" xfId="0" applyFont="1" applyAlignment="1">
      <alignment horizontal="left"/>
    </xf>
    <xf numFmtId="0" fontId="22" fillId="0" borderId="11" xfId="0" applyFont="1" applyBorder="1" applyAlignment="1">
      <alignment vertical="top"/>
    </xf>
    <xf numFmtId="0" fontId="23" fillId="0" borderId="6" xfId="7" applyFont="1" applyBorder="1" applyAlignment="1">
      <alignment vertical="top"/>
    </xf>
    <xf numFmtId="0" fontId="22" fillId="0" borderId="6" xfId="0" applyFont="1" applyBorder="1" applyAlignment="1">
      <alignment horizontal="left" vertical="top"/>
    </xf>
    <xf numFmtId="0" fontId="22" fillId="0" borderId="6" xfId="0" applyFont="1" applyBorder="1" applyAlignment="1">
      <alignment vertical="top"/>
    </xf>
    <xf numFmtId="3" fontId="22" fillId="0" borderId="6" xfId="0" applyNumberFormat="1" applyFont="1" applyBorder="1" applyAlignment="1">
      <alignment vertical="top"/>
    </xf>
    <xf numFmtId="166" fontId="22" fillId="0" borderId="6" xfId="0" applyNumberFormat="1" applyFont="1" applyBorder="1" applyAlignment="1">
      <alignment vertical="top"/>
    </xf>
    <xf numFmtId="0" fontId="29" fillId="0" borderId="7" xfId="1" applyFont="1" applyBorder="1"/>
    <xf numFmtId="0" fontId="19" fillId="0" borderId="24" xfId="0" applyFont="1" applyBorder="1" applyAlignment="1">
      <alignment horizontal="left" vertical="top"/>
    </xf>
    <xf numFmtId="0" fontId="15" fillId="0" borderId="5" xfId="1" applyFill="1" applyBorder="1" applyAlignment="1">
      <alignment vertical="top"/>
    </xf>
    <xf numFmtId="0" fontId="29" fillId="6" borderId="5" xfId="1" applyFont="1" applyFill="1" applyBorder="1" applyAlignment="1">
      <alignment vertical="top"/>
    </xf>
    <xf numFmtId="1" fontId="12" fillId="0" borderId="0" xfId="2" applyNumberFormat="1" applyAlignment="1">
      <alignment vertical="top"/>
    </xf>
    <xf numFmtId="166" fontId="0" fillId="0" borderId="0" xfId="2" applyNumberFormat="1" applyFont="1" applyAlignment="1">
      <alignment vertical="top"/>
    </xf>
    <xf numFmtId="0" fontId="42" fillId="0" borderId="0" xfId="0" applyFont="1"/>
    <xf numFmtId="1" fontId="15" fillId="0" borderId="5" xfId="1" applyNumberFormat="1" applyFill="1" applyBorder="1" applyAlignment="1">
      <alignment horizontal="left" vertical="top"/>
    </xf>
    <xf numFmtId="0" fontId="43" fillId="0" borderId="0" xfId="0" applyFont="1"/>
    <xf numFmtId="0" fontId="3" fillId="0" borderId="0" xfId="11"/>
    <xf numFmtId="0" fontId="23" fillId="0" borderId="0" xfId="11" applyFont="1"/>
    <xf numFmtId="0" fontId="44" fillId="0" borderId="0" xfId="11" applyFont="1"/>
    <xf numFmtId="0" fontId="45" fillId="0" borderId="0" xfId="11" applyFont="1"/>
    <xf numFmtId="0" fontId="35" fillId="0" borderId="0" xfId="11" applyFont="1" applyAlignment="1">
      <alignment horizontal="center"/>
    </xf>
    <xf numFmtId="0" fontId="3" fillId="7" borderId="0" xfId="11" applyFill="1" applyAlignment="1">
      <alignment horizontal="center"/>
    </xf>
    <xf numFmtId="0" fontId="3" fillId="0" borderId="0" xfId="11" applyAlignment="1">
      <alignment horizontal="center"/>
    </xf>
    <xf numFmtId="3" fontId="3" fillId="7" borderId="0" xfId="11" applyNumberFormat="1" applyFill="1" applyAlignment="1">
      <alignment horizontal="center"/>
    </xf>
    <xf numFmtId="0" fontId="46" fillId="7" borderId="0" xfId="11" applyFont="1" applyFill="1" applyAlignment="1">
      <alignment horizontal="center"/>
    </xf>
    <xf numFmtId="0" fontId="35" fillId="0" borderId="0" xfId="11" applyFont="1"/>
    <xf numFmtId="0" fontId="47" fillId="0" borderId="0" xfId="11" applyFont="1" applyAlignment="1">
      <alignment horizontal="center" vertical="center" wrapText="1"/>
    </xf>
    <xf numFmtId="0" fontId="3" fillId="0" borderId="0" xfId="11" applyAlignment="1">
      <alignment horizontal="center" vertical="center"/>
    </xf>
    <xf numFmtId="0" fontId="3" fillId="0" borderId="0" xfId="11" applyAlignment="1">
      <alignment vertical="center"/>
    </xf>
    <xf numFmtId="0" fontId="46" fillId="7" borderId="0" xfId="11" applyFont="1" applyFill="1" applyAlignment="1">
      <alignment horizontal="center" vertical="center" wrapText="1"/>
    </xf>
    <xf numFmtId="0" fontId="3" fillId="0" borderId="0" xfId="11" applyAlignment="1">
      <alignment horizontal="center" wrapText="1"/>
    </xf>
    <xf numFmtId="0" fontId="47" fillId="0" borderId="0" xfId="11" applyFont="1" applyAlignment="1">
      <alignment horizontal="center"/>
    </xf>
    <xf numFmtId="0" fontId="48" fillId="0" borderId="0" xfId="12"/>
    <xf numFmtId="164" fontId="3" fillId="0" borderId="0" xfId="11" applyNumberFormat="1" applyAlignment="1">
      <alignment horizontal="center"/>
    </xf>
    <xf numFmtId="0" fontId="48" fillId="0" borderId="0" xfId="12" applyProtection="1">
      <protection locked="0"/>
    </xf>
    <xf numFmtId="0" fontId="52" fillId="0" borderId="0" xfId="12" applyFont="1"/>
    <xf numFmtId="0" fontId="61" fillId="0" borderId="0" xfId="12" applyFont="1"/>
    <xf numFmtId="0" fontId="54" fillId="0" borderId="0" xfId="12" applyFont="1"/>
    <xf numFmtId="0" fontId="48" fillId="0" borderId="0" xfId="12" applyAlignment="1">
      <alignment horizontal="center"/>
    </xf>
    <xf numFmtId="0" fontId="54" fillId="0" borderId="0" xfId="12" applyFont="1" applyProtection="1">
      <protection locked="0"/>
    </xf>
    <xf numFmtId="0" fontId="48" fillId="0" borderId="0" xfId="12" applyAlignment="1" applyProtection="1">
      <alignment horizontal="center"/>
      <protection locked="0"/>
    </xf>
    <xf numFmtId="0" fontId="51" fillId="0" borderId="0" xfId="12" applyFont="1" applyProtection="1">
      <protection locked="0"/>
    </xf>
    <xf numFmtId="0" fontId="49" fillId="0" borderId="0" xfId="12" applyFont="1" applyAlignment="1" applyProtection="1">
      <alignment horizontal="center"/>
      <protection locked="0"/>
    </xf>
    <xf numFmtId="0" fontId="51" fillId="0" borderId="0" xfId="12" applyFont="1"/>
    <xf numFmtId="0" fontId="49" fillId="0" borderId="0" xfId="12" applyFont="1" applyAlignment="1">
      <alignment horizontal="center"/>
    </xf>
    <xf numFmtId="0" fontId="50" fillId="0" borderId="0" xfId="12" applyFont="1"/>
    <xf numFmtId="0" fontId="50" fillId="0" borderId="0" xfId="12" applyFont="1" applyAlignment="1">
      <alignment horizontal="center"/>
    </xf>
    <xf numFmtId="0" fontId="55" fillId="0" borderId="0" xfId="12" applyFont="1"/>
    <xf numFmtId="0" fontId="45" fillId="0" borderId="0" xfId="12" applyFont="1" applyAlignment="1">
      <alignment horizontal="center"/>
    </xf>
    <xf numFmtId="0" fontId="57" fillId="0" borderId="0" xfId="12" applyFont="1" applyAlignment="1" applyProtection="1">
      <alignment vertical="top"/>
      <protection locked="0"/>
    </xf>
    <xf numFmtId="0" fontId="58" fillId="0" borderId="0" xfId="12" applyFont="1" applyAlignment="1">
      <alignment horizontal="left"/>
    </xf>
    <xf numFmtId="0" fontId="58" fillId="0" borderId="0" xfId="12" applyFont="1" applyAlignment="1">
      <alignment horizontal="right"/>
    </xf>
    <xf numFmtId="0" fontId="58" fillId="0" borderId="0" xfId="12" applyFont="1" applyAlignment="1">
      <alignment horizontal="center"/>
    </xf>
    <xf numFmtId="0" fontId="58" fillId="0" borderId="0" xfId="12" applyFont="1" applyAlignment="1">
      <alignment horizontal="right" wrapText="1"/>
    </xf>
    <xf numFmtId="0" fontId="60" fillId="0" borderId="8" xfId="12" applyFont="1" applyBorder="1" applyAlignment="1">
      <alignment horizontal="center" wrapText="1"/>
    </xf>
    <xf numFmtId="0" fontId="60" fillId="0" borderId="9" xfId="12" applyFont="1" applyBorder="1" applyAlignment="1">
      <alignment horizontal="center" wrapText="1"/>
    </xf>
    <xf numFmtId="0" fontId="56" fillId="0" borderId="9" xfId="12" applyFont="1" applyBorder="1" applyAlignment="1">
      <alignment horizontal="center" wrapText="1"/>
    </xf>
    <xf numFmtId="0" fontId="56" fillId="0" borderId="24" xfId="12" applyFont="1" applyBorder="1" applyAlignment="1">
      <alignment horizontal="center" wrapText="1"/>
    </xf>
    <xf numFmtId="0" fontId="54" fillId="0" borderId="0" xfId="12" applyFont="1" applyAlignment="1" applyProtection="1">
      <alignment horizontal="center"/>
      <protection locked="0"/>
    </xf>
    <xf numFmtId="0" fontId="53" fillId="0" borderId="0" xfId="12" applyFont="1" applyAlignment="1" applyProtection="1">
      <alignment horizontal="center"/>
      <protection locked="0"/>
    </xf>
    <xf numFmtId="0" fontId="56" fillId="0" borderId="0" xfId="12" applyFont="1" applyProtection="1">
      <protection locked="0"/>
    </xf>
    <xf numFmtId="0" fontId="59" fillId="0" borderId="0" xfId="12" applyFont="1" applyAlignment="1" applyProtection="1">
      <alignment vertical="top"/>
      <protection locked="0"/>
    </xf>
    <xf numFmtId="0" fontId="62" fillId="4" borderId="0" xfId="0" applyFont="1" applyFill="1"/>
    <xf numFmtId="0" fontId="63" fillId="0" borderId="0" xfId="12" applyFont="1"/>
    <xf numFmtId="0" fontId="64" fillId="0" borderId="0" xfId="12" applyFont="1" applyAlignment="1">
      <alignment horizontal="center"/>
    </xf>
    <xf numFmtId="0" fontId="65" fillId="0" borderId="0" xfId="0" applyFont="1"/>
    <xf numFmtId="0" fontId="66" fillId="0" borderId="0" xfId="0" applyFont="1"/>
    <xf numFmtId="0" fontId="2" fillId="0" borderId="0" xfId="2" applyFont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9" xfId="2" applyNumberFormat="1" applyFont="1" applyBorder="1" applyAlignment="1">
      <alignment wrapText="1"/>
    </xf>
    <xf numFmtId="49" fontId="2" fillId="0" borderId="9" xfId="2" applyNumberFormat="1" applyFont="1" applyBorder="1" applyAlignment="1">
      <alignment horizontal="left" wrapText="1"/>
    </xf>
    <xf numFmtId="0" fontId="2" fillId="0" borderId="24" xfId="2" applyFont="1" applyBorder="1"/>
    <xf numFmtId="0" fontId="2" fillId="0" borderId="24" xfId="0" applyFont="1" applyBorder="1"/>
    <xf numFmtId="49" fontId="2" fillId="0" borderId="2" xfId="2" applyNumberFormat="1" applyFont="1" applyBorder="1" applyAlignment="1">
      <alignment wrapText="1"/>
    </xf>
    <xf numFmtId="0" fontId="2" fillId="0" borderId="0" xfId="9" applyFont="1" applyAlignment="1">
      <alignment vertical="top"/>
    </xf>
    <xf numFmtId="0" fontId="2" fillId="0" borderId="0" xfId="7" applyFont="1" applyAlignment="1">
      <alignment vertical="top"/>
    </xf>
    <xf numFmtId="0" fontId="2" fillId="0" borderId="5" xfId="2" applyFont="1" applyBorder="1"/>
    <xf numFmtId="0" fontId="2" fillId="0" borderId="0" xfId="6" applyFont="1" applyAlignment="1">
      <alignment vertical="top"/>
    </xf>
    <xf numFmtId="0" fontId="2" fillId="0" borderId="0" xfId="2" applyFont="1"/>
    <xf numFmtId="0" fontId="2" fillId="0" borderId="0" xfId="2" applyFont="1" applyAlignment="1">
      <alignment horizontal="left"/>
    </xf>
    <xf numFmtId="0" fontId="2" fillId="0" borderId="0" xfId="2" applyFont="1" applyAlignment="1">
      <alignment wrapText="1"/>
    </xf>
    <xf numFmtId="0" fontId="2" fillId="0" borderId="5" xfId="2" applyFont="1" applyBorder="1" applyAlignment="1">
      <alignment wrapText="1"/>
    </xf>
    <xf numFmtId="0" fontId="2" fillId="0" borderId="0" xfId="5" applyFont="1" applyAlignment="1">
      <alignment vertical="top"/>
    </xf>
    <xf numFmtId="0" fontId="2" fillId="0" borderId="0" xfId="5" applyFont="1" applyAlignment="1">
      <alignment horizontal="left" vertical="top"/>
    </xf>
    <xf numFmtId="1" fontId="2" fillId="0" borderId="0" xfId="2" applyNumberFormat="1" applyFont="1"/>
    <xf numFmtId="49" fontId="2" fillId="0" borderId="5" xfId="0" applyNumberFormat="1" applyFont="1" applyBorder="1"/>
    <xf numFmtId="0" fontId="2" fillId="0" borderId="0" xfId="4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8" applyFont="1" applyAlignment="1">
      <alignment horizontal="right"/>
    </xf>
    <xf numFmtId="0" fontId="2" fillId="0" borderId="0" xfId="8" applyFont="1"/>
    <xf numFmtId="0" fontId="2" fillId="0" borderId="14" xfId="8" applyFont="1" applyBorder="1"/>
    <xf numFmtId="0" fontId="2" fillId="0" borderId="6" xfId="8" applyFont="1" applyBorder="1" applyAlignment="1">
      <alignment horizontal="right"/>
    </xf>
    <xf numFmtId="49" fontId="2" fillId="0" borderId="18" xfId="2" applyNumberFormat="1" applyFont="1" applyBorder="1" applyAlignment="1">
      <alignment wrapText="1"/>
    </xf>
    <xf numFmtId="0" fontId="2" fillId="0" borderId="21" xfId="8" applyFont="1" applyBorder="1"/>
    <xf numFmtId="0" fontId="2" fillId="0" borderId="16" xfId="2" applyFont="1" applyBorder="1"/>
    <xf numFmtId="0" fontId="2" fillId="0" borderId="5" xfId="8" applyFont="1" applyBorder="1"/>
    <xf numFmtId="0" fontId="2" fillId="3" borderId="0" xfId="2" applyFont="1" applyFill="1"/>
    <xf numFmtId="0" fontId="2" fillId="0" borderId="0" xfId="7" applyFont="1"/>
    <xf numFmtId="49" fontId="2" fillId="0" borderId="0" xfId="2" applyNumberFormat="1" applyFont="1" applyAlignment="1">
      <alignment wrapText="1"/>
    </xf>
    <xf numFmtId="49" fontId="2" fillId="0" borderId="5" xfId="2" applyNumberFormat="1" applyFont="1" applyBorder="1" applyAlignment="1">
      <alignment wrapText="1"/>
    </xf>
    <xf numFmtId="0" fontId="2" fillId="0" borderId="0" xfId="2" applyFont="1" applyAlignment="1">
      <alignment horizontal="right"/>
    </xf>
    <xf numFmtId="0" fontId="2" fillId="0" borderId="6" xfId="2" applyFont="1" applyBorder="1"/>
    <xf numFmtId="0" fontId="2" fillId="0" borderId="4" xfId="6" applyFont="1" applyBorder="1" applyAlignment="1">
      <alignment vertical="top"/>
    </xf>
    <xf numFmtId="0" fontId="2" fillId="0" borderId="4" xfId="2" applyFont="1" applyBorder="1"/>
    <xf numFmtId="0" fontId="2" fillId="0" borderId="0" xfId="12" applyFont="1" applyAlignment="1">
      <alignment horizontal="center"/>
    </xf>
    <xf numFmtId="49" fontId="16" fillId="3" borderId="0" xfId="0" applyNumberFormat="1" applyFont="1" applyFill="1" applyAlignment="1">
      <alignment vertical="top"/>
    </xf>
    <xf numFmtId="49" fontId="16" fillId="3" borderId="0" xfId="0" applyNumberFormat="1" applyFont="1" applyFill="1" applyAlignment="1">
      <alignment vertical="top" wrapText="1"/>
    </xf>
    <xf numFmtId="0" fontId="67" fillId="0" borderId="0" xfId="0" applyFont="1" applyAlignment="1">
      <alignment wrapText="1"/>
    </xf>
    <xf numFmtId="0" fontId="0" fillId="3" borderId="4" xfId="0" applyFill="1" applyBorder="1" applyAlignment="1">
      <alignment vertical="top"/>
    </xf>
    <xf numFmtId="0" fontId="12" fillId="3" borderId="0" xfId="2" applyFill="1" applyAlignment="1">
      <alignment vertical="top"/>
    </xf>
    <xf numFmtId="0" fontId="12" fillId="3" borderId="0" xfId="2" applyFill="1" applyAlignment="1">
      <alignment horizontal="left" vertical="top"/>
    </xf>
    <xf numFmtId="3" fontId="0" fillId="3" borderId="0" xfId="0" applyNumberFormat="1" applyFill="1" applyAlignment="1">
      <alignment vertical="top"/>
    </xf>
    <xf numFmtId="166" fontId="0" fillId="3" borderId="0" xfId="0" applyNumberFormat="1" applyFill="1" applyAlignment="1">
      <alignment vertical="top"/>
    </xf>
    <xf numFmtId="0" fontId="28" fillId="3" borderId="5" xfId="1" applyFont="1" applyFill="1" applyBorder="1" applyAlignment="1">
      <alignment vertical="top"/>
    </xf>
    <xf numFmtId="49" fontId="33" fillId="3" borderId="5" xfId="0" applyNumberFormat="1" applyFont="1" applyFill="1" applyBorder="1" applyAlignment="1">
      <alignment vertical="top"/>
    </xf>
    <xf numFmtId="1" fontId="18" fillId="3" borderId="0" xfId="1" applyNumberFormat="1" applyFont="1" applyFill="1" applyBorder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5" xfId="0" applyFill="1" applyBorder="1" applyAlignment="1">
      <alignment vertical="top"/>
    </xf>
    <xf numFmtId="49" fontId="0" fillId="3" borderId="0" xfId="0" applyNumberFormat="1" applyFill="1" applyAlignment="1">
      <alignment vertical="top"/>
    </xf>
    <xf numFmtId="0" fontId="51" fillId="0" borderId="0" xfId="12" applyFont="1" applyAlignment="1">
      <alignment horizontal="left"/>
    </xf>
    <xf numFmtId="0" fontId="68" fillId="0" borderId="0" xfId="0" applyFont="1"/>
    <xf numFmtId="0" fontId="14" fillId="5" borderId="0" xfId="0" applyFont="1" applyFill="1" applyAlignment="1">
      <alignment wrapText="1"/>
    </xf>
    <xf numFmtId="0" fontId="15" fillId="2" borderId="0" xfId="1" applyFill="1"/>
    <xf numFmtId="49" fontId="1" fillId="0" borderId="5" xfId="2" applyNumberFormat="1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/>
    <xf numFmtId="0" fontId="51" fillId="0" borderId="0" xfId="12" applyFont="1" applyAlignment="1" applyProtection="1">
      <alignment horizontal="left"/>
      <protection locked="0"/>
    </xf>
    <xf numFmtId="0" fontId="48" fillId="0" borderId="0" xfId="12" applyProtection="1">
      <protection locked="0"/>
    </xf>
    <xf numFmtId="0" fontId="51" fillId="0" borderId="0" xfId="12" applyFont="1" applyAlignment="1">
      <alignment horizontal="left"/>
    </xf>
    <xf numFmtId="0" fontId="48" fillId="0" borderId="0" xfId="12"/>
  </cellXfs>
  <cellStyles count="13">
    <cellStyle name="Hyperlink" xfId="1" builtinId="8"/>
    <cellStyle name="Normal" xfId="0" builtinId="0"/>
    <cellStyle name="Normal 10" xfId="10" xr:uid="{CF8359E4-5FF1-4D32-B3AA-B6BC6191B6C0}"/>
    <cellStyle name="Normal 11" xfId="11" xr:uid="{C337A965-2E9B-4D05-8509-B2B059740503}"/>
    <cellStyle name="Normal 12" xfId="12" xr:uid="{6DBAFC6B-F393-4C20-B0F9-FA3087FE6564}"/>
    <cellStyle name="Normal 2" xfId="2" xr:uid="{1DC3D77C-7AFF-4F90-B2B7-3E13075D82B8}"/>
    <cellStyle name="Normal 3" xfId="3" xr:uid="{F3AE2A3A-6C07-4199-9658-1CFC5CDAAF07}"/>
    <cellStyle name="Normal 4" xfId="4" xr:uid="{84FFD53C-FD2B-42EA-87CA-AFD206ABEB12}"/>
    <cellStyle name="Normal 5" xfId="5" xr:uid="{0A8D205A-C2DA-4517-9B41-5FB46052F1B9}"/>
    <cellStyle name="Normal 6" xfId="6" xr:uid="{267FDCE9-DF9D-48AF-AA74-50193FB104B5}"/>
    <cellStyle name="Normal 7" xfId="7" xr:uid="{E067CCC3-37E1-4AF4-8448-FC5769A3ADF1}"/>
    <cellStyle name="Normal 8" xfId="8" xr:uid="{081623DE-E46D-4C5A-9B4A-C0DC2A05C210}"/>
    <cellStyle name="Normal 9" xfId="9" xr:uid="{40B67649-AC0A-4FC1-B41E-42AB5C2B58C9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numFmt numFmtId="171" formatCode="[h]:mm:ss;@"/>
    </dxf>
    <dxf>
      <numFmt numFmtId="170" formatCode="[$]hh:mm;@" x16r2:formatCode16="[$-en-150,1]hh:mm;@"/>
    </dxf>
    <dxf>
      <numFmt numFmtId="166" formatCode="_-[$$-409]* #,##0_ ;_-[$$-409]* \-#,##0\ ;_-[$$-409]* &quot;-&quot;_ ;_-@_ "/>
    </dxf>
    <dxf>
      <numFmt numFmtId="166" formatCode="_-[$$-409]* #,##0_ ;_-[$$-409]* \-#,##0\ ;_-[$$-409]* &quot;-&quot;_ ;_-@_ 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rgb="FF000000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/>
        <u/>
        <sz val="12"/>
        <color rgb="FF0000FF"/>
        <family val="2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6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numFmt numFmtId="30" formatCode="@"/>
      <fill>
        <patternFill patternType="none">
          <fgColor rgb="FF000000"/>
          <bgColor auto="1"/>
        </patternFill>
      </fill>
      <alignment horizontal="general" vertical="top" textRotation="0" wrapText="0" indent="0" justifyLastLine="0" shrinkToFit="0" readingOrder="0"/>
    </dxf>
    <dxf>
      <border>
        <bottom style="medium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4CF6298A-4B6C-4443-B77E-42C67F0C3BC0}">
      <tableStyleElement type="wholeTable" dxfId="103"/>
    </tableStyle>
  </tableStyles>
  <colors>
    <mruColors>
      <color rgb="FFDDB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treon.com/pro3d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ypal.com/donate/?hosted_button_id=LZ7RAQGSE4SS8" TargetMode="Externa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00070-50F2-4721-BCA5-514169E4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6</xdr:row>
      <xdr:rowOff>47625</xdr:rowOff>
    </xdr:from>
    <xdr:to>
      <xdr:col>5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91042-E9F9-4C05-BB9A-980A502F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65785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8F944-8B5F-46E8-A66E-6F141E64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4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38144D-496F-4EFF-935E-7B00F7D7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0006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A174E-1A74-430E-8639-7EF27DAF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F036-623E-4693-BFD1-894FE6E3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1530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740FD-F0E1-4532-9AA9-EEF8B374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7C34C-632B-480C-9FF8-274B3B60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591175" y="1457325"/>
          <a:ext cx="719086" cy="719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50D46-7991-4AD9-BA16-D8E9BD1C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2FE51-7548-4E4A-9941-AA8D8BA7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60293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46384-2C89-4048-8B3A-C35599EC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E3AB2-B311-4228-A89B-0DFD494C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23875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28B94-B297-419B-B13B-C7551E64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A906DC-FB4B-49FF-82FF-B9130E0F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3435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F7D21-0FF2-46F6-B00A-4F6BDDCD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DB0E5-1EC9-445A-920F-B4650B01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8640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2</xdr:row>
      <xdr:rowOff>57150</xdr:rowOff>
    </xdr:from>
    <xdr:to>
      <xdr:col>4</xdr:col>
      <xdr:colOff>2000250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CE7E6-B909-3563-C8D7-20BE8E8C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0050" y="438150"/>
          <a:ext cx="1676400" cy="1371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29</xdr:row>
      <xdr:rowOff>0</xdr:rowOff>
    </xdr:from>
    <xdr:to>
      <xdr:col>12</xdr:col>
      <xdr:colOff>438150</xdr:colOff>
      <xdr:row>30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B3B98-4EEB-1065-FD61-D80A8607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6375" y="7239000"/>
          <a:ext cx="438150" cy="2286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7F7A75C-E459-4D9D-9A0C-6BE28065E6EE}">
    <nsvFilter filterId="{00000000-000C-0000-FFFF-FFFF00000000}" ref="A1:M152" tableId="20">
      <sortRules>
        <sortRule colId="0" id="{E596F2F7-CDFF-486E-86F5-053FDD2A2A5C}">
          <sortCondition ref="A1:A152"/>
        </sortRule>
      </sortRules>
    </nsvFilter>
  </namedSheetView>
  <namedSheetView name="View2" id="{691FBDBE-F5E7-40EF-BEDE-449439764C7B}">
    <nsvFilter filterId="{00000000-000C-0000-FFFF-FFFF00000000}" ref="A1:M152" tableId="20">
      <sortRules>
        <sortRule colId="0" id="{E596F2F7-CDFF-486E-86F5-053FDD2A2A5C}">
          <sortCondition ref="A1:A15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E5977A-0070-4907-B3F1-83B3E9D3EAF9}" name="Table1321" displayName="Table1321" ref="A1:M152" totalsRowShown="0" dataDxfId="101" headerRowBorderDxfId="102" tableBorderDxfId="100" headerRowCellStyle="Normal 2">
  <autoFilter ref="A1:M152" xr:uid="{00000000-000C-0000-FFFF-FFFF00000000}"/>
  <sortState xmlns:xlrd2="http://schemas.microsoft.com/office/spreadsheetml/2017/richdata2" ref="A2:L152">
    <sortCondition ref="A1:A152"/>
  </sortState>
  <tableColumns count="13">
    <tableColumn id="3" xr3:uid="{E596F2F7-CDFF-486E-86F5-053FDD2A2A5C}" name="Type" dataDxfId="99"/>
    <tableColumn id="4" xr3:uid="{21BB2F02-45DC-4E39-9123-FC046A8DFC11}" name="Part" dataDxfId="98"/>
    <tableColumn id="1" xr3:uid="{277C1F1F-DAAE-4C91-9EDC-C8D501677DE9}" name="Cut length" dataDxfId="97" dataCellStyle="Normal 7"/>
    <tableColumn id="7" xr3:uid="{47852F97-FC81-4943-BFF5-71D7E867A237}" name="Qty Required" dataDxfId="96"/>
    <tableColumn id="5" xr3:uid="{5C2A44A8-DE4F-4B5A-930C-443716E7E898}" name="Pack Order Qty" dataDxfId="95"/>
    <tableColumn id="8" xr3:uid="{07FAA242-B582-4790-9720-A5DC124D6B2D}" name="Pack Price $USD" dataDxfId="94"/>
    <tableColumn id="10" xr3:uid="{B3F33643-2531-4917-B84D-BE4983A99A8C}" name="*Cost Price $USD" dataDxfId="93">
      <calculatedColumnFormula>E2*F2</calculatedColumnFormula>
    </tableColumn>
    <tableColumn id="2" xr3:uid="{2B3304EF-95F3-4EA3-9A24-E520BCF247B0}" name="Order Link" dataDxfId="92" dataCellStyle="Hyperlink"/>
    <tableColumn id="12" xr3:uid="{53A14610-D497-4DD1-8CFF-F20E191D3317}" name="Supplier" dataDxfId="91"/>
    <tableColumn id="11" xr3:uid="{A7F10A10-A127-43E0-B65C-9F538B8DD15E}" name="Qty in a Pack" dataDxfId="90" dataCellStyle="Hyperlink"/>
    <tableColumn id="13" xr3:uid="{DE4564AA-6825-49A5-B67A-A550AFECDCA7}" name="DIN" dataDxfId="89"/>
    <tableColumn id="14" xr3:uid="{63E8BC06-DC55-407C-B167-F3CA5B6EBA86}" name="ISO" dataDxfId="88"/>
    <tableColumn id="6" xr3:uid="{20868F13-EF4A-4C62-958A-6FEB2EB595D7}" name="Column1" dataDxfId="8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CF4A79-156B-41FF-A555-9328C94776F1}" name="Table112" displayName="Table112" ref="B1:E19" totalsRowShown="0" headerRowDxfId="86" dataDxfId="85" tableBorderDxfId="84" headerRowCellStyle="Normal 2">
  <autoFilter ref="B1:E19" xr:uid="{9FCF4A79-156B-41FF-A555-9328C94776F1}"/>
  <sortState xmlns:xlrd2="http://schemas.microsoft.com/office/spreadsheetml/2017/richdata2" ref="B2:E19">
    <sortCondition ref="B1:B19"/>
  </sortState>
  <tableColumns count="4">
    <tableColumn id="1" xr3:uid="{12342F44-8220-45C2-AC30-328741D516AB}" name="Part name" dataDxfId="83"/>
    <tableColumn id="3" xr3:uid="{2385B826-F8C8-4362-89A6-95A38D685D6B}" name="Description" dataDxfId="82"/>
    <tableColumn id="4" xr3:uid="{0FBBE615-D864-4E30-B741-3BE35C30458E}" name="Cut length" dataDxfId="81" dataCellStyle="Normal 8"/>
    <tableColumn id="2" xr3:uid="{59176566-F320-409F-9AA9-17486015A49A}" name="BOM Quantity" dataDxfId="8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D2131D-41B2-42EA-A67B-FBB781AD12E7}" name="Table9" displayName="Table9" ref="B1:D44" totalsRowShown="0" headerRowDxfId="79" tableBorderDxfId="78" headerRowCellStyle="Normal 2" dataCellStyle="Normal 2">
  <autoFilter ref="B1:D44" xr:uid="{BAD2131D-41B2-42EA-A67B-FBB781AD12E7}"/>
  <sortState xmlns:xlrd2="http://schemas.microsoft.com/office/spreadsheetml/2017/richdata2" ref="B2:D44">
    <sortCondition ref="B1:B44"/>
  </sortState>
  <tableColumns count="3">
    <tableColumn id="1" xr3:uid="{C5533925-B810-4F05-9221-5D5DC08A3846}" name="Part name" totalsRowDxfId="77" dataCellStyle="Normal 2" totalsRowCellStyle="Normal 2"/>
    <tableColumn id="7" xr3:uid="{13C33B91-92BB-4F0B-8B89-D7D5416E5479}" name="Description" totalsRowDxfId="76" dataCellStyle="Normal 2" totalsRowCellStyle="Normal 2"/>
    <tableColumn id="2" xr3:uid="{684CEE11-8A68-45FD-871F-FFCFA808FEBD}" name="BOM Quantity" dataDxfId="75" totalsRowDxfId="74" dataCellStyle="Normal 2" totalsRowCellStyle="Normal 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081A3B-5ADC-4D38-A88B-EBE88E8EC051}" name="Table916" displayName="Table916" ref="B1:D26" totalsRowShown="0" headerRowDxfId="73" tableBorderDxfId="72" headerRowCellStyle="Normal 2" dataCellStyle="Normal 2">
  <autoFilter ref="B1:D26" xr:uid="{BAD2131D-41B2-42EA-A67B-FBB781AD12E7}"/>
  <sortState xmlns:xlrd2="http://schemas.microsoft.com/office/spreadsheetml/2017/richdata2" ref="B2:D26">
    <sortCondition ref="B1:B26"/>
  </sortState>
  <tableColumns count="3">
    <tableColumn id="1" xr3:uid="{0F292740-142C-4538-B6E0-04426284E315}" name="Part name" totalsRowDxfId="71" dataCellStyle="Normal 2" totalsRowCellStyle="Normal 2"/>
    <tableColumn id="7" xr3:uid="{150C9F57-34E9-40EB-9D7E-4F2F4DC1A13F}" name="Description" totalsRowDxfId="70" totalsRowCellStyle="Normal 2"/>
    <tableColumn id="2" xr3:uid="{A7D6434D-4498-49EB-9D73-D244744029D3}" name="BOM Quantity" dataDxfId="69" totalsRowDxfId="68" dataCellStyle="Normal 2" totalsRowCellStyle="Normal 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456747-D398-4471-8B86-AB700DA339AD}" name="Table91629" displayName="Table91629" ref="B29:D39" totalsRowShown="0" headerRowDxfId="67" tableBorderDxfId="66" headerRowCellStyle="Normal 2" dataCellStyle="Normal 2">
  <autoFilter ref="B29:D39" xr:uid="{DA456747-D398-4471-8B86-AB700DA339AD}"/>
  <sortState xmlns:xlrd2="http://schemas.microsoft.com/office/spreadsheetml/2017/richdata2" ref="B30:D39">
    <sortCondition ref="B29:B39"/>
  </sortState>
  <tableColumns count="3">
    <tableColumn id="1" xr3:uid="{B397B237-34CC-4F05-A03A-172D9B10CC01}" name="Part name" totalsRowDxfId="65" dataCellStyle="Normal 2" totalsRowCellStyle="Normal 2"/>
    <tableColumn id="7" xr3:uid="{A1AF3E5A-9878-43E6-8325-6EA13891B687}" name="Description" totalsRowDxfId="64" totalsRowCellStyle="Normal 2"/>
    <tableColumn id="2" xr3:uid="{1585E650-1008-4DC9-8D1C-8F6E78001D58}" name="BOM Quantity" dataDxfId="63" totalsRowDxfId="62" dataCellStyle="Normal 2" totalsRowCellStyle="Normal 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85C34-0DBE-4411-B49C-86BFD99B3F62}" name="Table913" displayName="Table913" ref="B1:D45" totalsRowShown="0" headerRowDxfId="61" tableBorderDxfId="60" headerRowCellStyle="Normal 2" dataCellStyle="Normal 2">
  <autoFilter ref="B1:D45" xr:uid="{BAD2131D-41B2-42EA-A67B-FBB781AD12E7}"/>
  <sortState xmlns:xlrd2="http://schemas.microsoft.com/office/spreadsheetml/2017/richdata2" ref="B2:D45">
    <sortCondition ref="B1:B45"/>
  </sortState>
  <tableColumns count="3">
    <tableColumn id="1" xr3:uid="{1CE47076-A60D-4220-8B3D-C6D4BAFB1164}" name="Part name" totalsRowDxfId="59" dataCellStyle="Normal 2" totalsRowCellStyle="Normal 2"/>
    <tableColumn id="7" xr3:uid="{D41EBA7C-1A32-4553-871C-D0C5C96C9E90}" name="Description" totalsRowDxfId="58" dataCellStyle="Normal 2" totalsRowCellStyle="Normal 2"/>
    <tableColumn id="2" xr3:uid="{1A8F0BE6-05F1-4339-9CFB-0F9B7B4E13D4}" name="BOM Quantity" dataDxfId="57" totalsRowDxfId="56" dataCellStyle="Normal 2" totalsRowCellStyle="Normal 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9E0A99-CDD4-4F70-BA5B-784249346C24}" name="Table91317" displayName="Table91317" ref="B1:D74" totalsRowShown="0" headerRowDxfId="55" tableBorderDxfId="54" headerRowCellStyle="Normal 2" dataCellStyle="Normal 2">
  <autoFilter ref="B1:D74" xr:uid="{BAD2131D-41B2-42EA-A67B-FBB781AD12E7}"/>
  <sortState xmlns:xlrd2="http://schemas.microsoft.com/office/spreadsheetml/2017/richdata2" ref="B2:D74">
    <sortCondition ref="B1:B74"/>
  </sortState>
  <tableColumns count="3">
    <tableColumn id="1" xr3:uid="{FEDEBDB4-D2A0-4044-865C-6B89D3CC7592}" name="Part name" totalsRowDxfId="53" dataCellStyle="Normal 2" totalsRowCellStyle="Normal 2"/>
    <tableColumn id="7" xr3:uid="{4C265877-F081-4975-80F2-6B962EBD7F5B}" name="Description" totalsRowDxfId="52" dataCellStyle="Normal 2" totalsRowCellStyle="Normal 2"/>
    <tableColumn id="2" xr3:uid="{C58356B1-645B-4209-9365-0DE732AD7AAF}" name="BOM Quantity" dataDxfId="51" totalsRowDxfId="50" dataCellStyle="Normal 2" totalsRowCellStyle="Normal 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146AFF-010D-476D-80AD-DFB7130CCD89}" name="Table9131718" displayName="Table9131718" ref="B1:D44" totalsRowShown="0" headerRowDxfId="49" tableBorderDxfId="48" headerRowCellStyle="Normal 2" dataCellStyle="Normal 2">
  <autoFilter ref="B1:D44" xr:uid="{BAD2131D-41B2-42EA-A67B-FBB781AD12E7}"/>
  <sortState xmlns:xlrd2="http://schemas.microsoft.com/office/spreadsheetml/2017/richdata2" ref="B2:D44">
    <sortCondition ref="B1:B44"/>
  </sortState>
  <tableColumns count="3">
    <tableColumn id="1" xr3:uid="{3C370705-9D71-4B07-907E-72DEACEAFBA2}" name="Part name" totalsRowDxfId="47" dataCellStyle="Normal 2" totalsRowCellStyle="Normal 2"/>
    <tableColumn id="7" xr3:uid="{D11DB86B-2519-40CE-A3B1-2DFF1E8D8BAF}" name="Description" totalsRowDxfId="46" dataCellStyle="Normal 2" totalsRowCellStyle="Normal 2"/>
    <tableColumn id="2" xr3:uid="{030B0BC7-E7B6-43C0-9200-DE84B404D5FA}" name="BOM Quantity" dataDxfId="45" totalsRowDxfId="44" dataCellStyle="Normal 2" totalsRowCellStyle="Normal 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31348F-CB75-44A7-A48C-4BBEA19837B3}" name="Table913171819" displayName="Table913171819" ref="B1:D18" totalsRowShown="0" headerRowDxfId="43" tableBorderDxfId="42" headerRowCellStyle="Normal 2" dataCellStyle="Normal 2">
  <autoFilter ref="B1:D18" xr:uid="{BAD2131D-41B2-42EA-A67B-FBB781AD12E7}"/>
  <sortState xmlns:xlrd2="http://schemas.microsoft.com/office/spreadsheetml/2017/richdata2" ref="B2:D18">
    <sortCondition ref="B1:B18"/>
  </sortState>
  <tableColumns count="3">
    <tableColumn id="1" xr3:uid="{D7153C23-8479-4254-BF69-2A4089CB71C0}" name="Part name" totalsRowDxfId="41" dataCellStyle="Normal 2" totalsRowCellStyle="Normal 2"/>
    <tableColumn id="7" xr3:uid="{5CF4E952-095C-46AE-A57F-99A26E57C478}" name="Description" totalsRowDxfId="40" dataCellStyle="Normal 2" totalsRowCellStyle="Normal 2"/>
    <tableColumn id="2" xr3:uid="{8AE4D1C0-7F70-4D1E-B6EC-42038CE642DF}" name="BOM Quantity" dataDxfId="39" totalsRowDxfId="38" dataCellStyle="Normal 2" totalsRowCellStyle="Normal 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4B429D-E2E1-4265-83DF-FBAD19483C12}" name="Table91317181920" displayName="Table91317181920" ref="B1:D51" totalsRowShown="0" headerRowDxfId="37" tableBorderDxfId="36" headerRowCellStyle="Normal 2" dataCellStyle="Normal 2">
  <autoFilter ref="B1:D51" xr:uid="{BAD2131D-41B2-42EA-A67B-FBB781AD12E7}"/>
  <sortState xmlns:xlrd2="http://schemas.microsoft.com/office/spreadsheetml/2017/richdata2" ref="B2:D51">
    <sortCondition ref="B1:B51"/>
  </sortState>
  <tableColumns count="3">
    <tableColumn id="1" xr3:uid="{E0A0C165-2589-4FA7-A356-93EEE88B2095}" name="Part name" totalsRowDxfId="35" dataCellStyle="Normal 2" totalsRowCellStyle="Normal 2"/>
    <tableColumn id="7" xr3:uid="{49376C16-406D-4D5F-8B92-3BFE5FB962B9}" name="Description" totalsRowDxfId="34" dataCellStyle="Normal 2" totalsRowCellStyle="Normal 2"/>
    <tableColumn id="2" xr3:uid="{6252F354-5A67-4DD7-A1AA-3DADB5EF6BF7}" name="BOM Quantity" dataDxfId="33" totalsRowDxfId="32" dataCellStyle="Normal 2" totalsRowCellStyle="Normal 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4D57F-6E20-42C2-A7CF-65378FC03170}" name="Table6" displayName="Table6" ref="A1:H92" totalsRowCount="1" headerRowDxfId="31">
  <autoFilter ref="A1:H91" xr:uid="{02B4D57F-6E20-42C2-A7CF-65378FC03170}"/>
  <sortState xmlns:xlrd2="http://schemas.microsoft.com/office/spreadsheetml/2017/richdata2" ref="A2:H91">
    <sortCondition ref="A1:A91"/>
  </sortState>
  <tableColumns count="8">
    <tableColumn id="1" xr3:uid="{C89F3025-C91C-4D89-A5CC-8772042DE324}" name="System" dataDxfId="30" totalsRowDxfId="29"/>
    <tableColumn id="2" xr3:uid="{FCE9DC81-99C5-4DE1-AE60-3B3DE0EE8421}" name="Part" dataDxfId="28" totalsRowDxfId="27"/>
    <tableColumn id="3" xr3:uid="{6512942A-B4C3-4998-AA54-D3A429CF1394}" name="Meters"/>
    <tableColumn id="6" xr3:uid="{672D19F0-1E84-4954-AA80-1A756FF64B85}" name="Weight" dataDxfId="26"/>
    <tableColumn id="11" xr3:uid="{B345B84F-64A2-4E92-BB95-3C9B14E2A5EA}" name="Items" totalsRowFunction="sum" dataDxfId="25" totalsRowDxfId="24" dataCellStyle="Normal 7"/>
    <tableColumn id="4" xr3:uid="{8A449E36-4741-4576-8011-21C1B3D5DB29}" name="weight Tot" totalsRowFunction="custom" dataDxfId="23" totalsRowDxfId="22" dataCellStyle="Normal 7">
      <calculatedColumnFormula>SUM(Table6[[#This Row],[Weight]]*Table6[[#This Row],[Items]])</calculatedColumnFormula>
      <totalsRowFormula>SUBTOTAL(109,Table6[weight Tot])&amp;"g"</totalsRowFormula>
    </tableColumn>
    <tableColumn id="9" xr3:uid="{DF7CF065-4550-4DB7-B341-EF87320D0C8E}" name="Cost/part" totalsRowFunction="sum" dataDxfId="21" totalsRowDxfId="20">
      <calculatedColumnFormula>$K$2/1000*Table6[[#This Row],[Weight]]*Table6[[#This Row],[Items]]</calculatedColumnFormula>
    </tableColumn>
    <tableColumn id="10" xr3:uid="{84F519DD-FB90-4299-8700-857D723260B1}" name="Time estimate" totalsRowFunction="sum" dataDxfId="19" totalsRowDxfId="1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A74962-DE02-40B7-84D1-EBA03C7907E7}" name="Table3" displayName="Table3" ref="A1:D12" totalsRowShown="0">
  <autoFilter ref="A1:D12" xr:uid="{08A74962-DE02-40B7-84D1-EBA03C7907E7}"/>
  <sortState xmlns:xlrd2="http://schemas.microsoft.com/office/spreadsheetml/2017/richdata2" ref="A2:D11">
    <sortCondition ref="B2:B11"/>
  </sortState>
  <tableColumns count="4">
    <tableColumn id="1" xr3:uid="{E1FF070C-6993-4332-802B-B4D29E1606E7}" name="Function"/>
    <tableColumn id="2" xr3:uid="{54776E09-074A-46D8-A8AF-0675792CABF2}" name="Macro" dataDxfId="17"/>
    <tableColumn id="3" xr3:uid="{8FBB1689-4854-43C5-AC93-F6E571CF242D}" name="Description"/>
    <tableColumn id="4" xr3:uid="{8BF21A82-1921-4BE2-9EDE-151E7264E122}" name="notes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C0901-A1E8-42BF-83D2-CD8909D9E84D}" name="Table4" displayName="Table4" ref="A14:D31" totalsRowShown="0">
  <autoFilter ref="A14:D31" xr:uid="{22CC0901-A1E8-42BF-83D2-CD8909D9E84D}"/>
  <sortState xmlns:xlrd2="http://schemas.microsoft.com/office/spreadsheetml/2017/richdata2" ref="A15:D31">
    <sortCondition ref="B15:B31"/>
  </sortState>
  <tableColumns count="4">
    <tableColumn id="1" xr3:uid="{72FB4F94-B23A-4D8C-9115-4A4A22828CD8}" name="Function"/>
    <tableColumn id="2" xr3:uid="{72E39D2F-151A-44B2-BA84-B7F34C14C282}" name="System" dataDxfId="16"/>
    <tableColumn id="3" xr3:uid="{5B376876-1002-41A2-9B1B-97FBB74534E9}" name="Description"/>
    <tableColumn id="4" xr3:uid="{B8821D9B-B31B-482C-A94B-3E00C4020734}" name="Column1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AAB1FE-3FF5-4932-83DF-59F4C29F97F6}" name="Table5" displayName="Table5" ref="A33:C39" totalsRowShown="0">
  <autoFilter ref="A33:C39" xr:uid="{65AAB1FE-3FF5-4932-83DF-59F4C29F97F6}"/>
  <tableColumns count="3">
    <tableColumn id="1" xr3:uid="{E54889A3-633F-4685-B8E1-B4DB7E01A94A}" name="Printer code"/>
    <tableColumn id="2" xr3:uid="{9B5CA5FD-9D48-460B-8000-5A3DECA0A58C}" name="Machine Gcode"/>
    <tableColumn id="3" xr3:uid="{122CB247-7719-4458-B0BE-E37243F62675}" name="Description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5B9BA2-9874-4909-AB93-96FB850EFBDB}" name="Table58" displayName="Table58" ref="A44:C54" totalsRowShown="0">
  <autoFilter ref="A44:C54" xr:uid="{255B9BA2-9874-4909-AB93-96FB850EFBDB}"/>
  <tableColumns count="3">
    <tableColumn id="1" xr3:uid="{D1A0D768-AEE9-4B9C-AC96-95895F8F742C}" name="Printer code"/>
    <tableColumn id="2" xr3:uid="{646EABC4-F408-4AD0-8ED9-44B19D7B9F30}" name="Filaments"/>
    <tableColumn id="3" xr3:uid="{3A0D9E05-1841-4C78-AF52-AADA952E6277}" name="Description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10450C-E6FD-466B-B787-D7901F240217}" name="Table14" displayName="Table14" ref="A4:L37" totalsRowShown="0" headerRowDxfId="15" dataDxfId="13" headerRowBorderDxfId="14" tableBorderDxfId="12" headerRowCellStyle="Normal 12" dataCellStyle="Normal 12">
  <autoFilter ref="A4:L37" xr:uid="{3F10450C-E6FD-466B-B787-D7901F2402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5:L37">
    <sortCondition descending="1" ref="J5:J37"/>
  </sortState>
  <tableColumns count="12">
    <tableColumn id="1" xr3:uid="{197BC419-568C-45F9-A938-BCB10710A201}" name="Filament Name" dataDxfId="11" dataCellStyle="Normal 12"/>
    <tableColumn id="2" xr3:uid="{AF3208FB-C432-479D-9CC1-34948B0D1C5F}" name="Build Sheet" dataDxfId="10" dataCellStyle="Normal 12"/>
    <tableColumn id="4" xr3:uid="{FF9DC98D-9012-4B85-A61B-230EFCA62E94}" name="Cooling Fan Speed" dataDxfId="9" dataCellStyle="Normal 12"/>
    <tableColumn id="5" xr3:uid="{6FC298B8-D32B-492D-BD10-401FC09A08D1}" name="Tg" dataDxfId="8" dataCellStyle="Normal 12"/>
    <tableColumn id="6" xr3:uid="{8CBD91F1-4D45-4A1E-A8F8-EE3D4C691E6E}" name="Nozzle Temp" dataDxfId="7" dataCellStyle="Normal 12"/>
    <tableColumn id="7" xr3:uid="{8281603E-57B6-4F65-AF6B-69F4FB88F5E0}" name="Bed Temp" dataDxfId="6" dataCellStyle="Normal 12"/>
    <tableColumn id="8" xr3:uid="{DF87AE05-A3BC-421E-9BB7-23A2ABF4C361}" name="Chamber Temp" dataDxfId="5" dataCellStyle="Normal 12"/>
    <tableColumn id="9" xr3:uid="{845BBCDF-F13A-47FB-8E5D-2AECC511780B}" name="Drying Temp" dataDxfId="4" dataCellStyle="Normal 12"/>
    <tableColumn id="10" xr3:uid="{D362A04F-6A04-476D-AC24-1BCA0C4F59DB}" name="Drying Time" dataDxfId="3" dataCellStyle="Normal 12"/>
    <tableColumn id="11" xr3:uid="{6994BD7F-8192-40FA-9548-36A5EE628106}" name="HDT at 0.45 Mpa" dataDxfId="2" dataCellStyle="Normal 12"/>
    <tableColumn id="12" xr3:uid="{0856005B-5B46-415C-BB48-BE1984071133}" name="Annealed HDT at 0.45 Mpa2" dataDxfId="1" dataCellStyle="Normal 12"/>
    <tableColumn id="13" xr3:uid="{AC83266E-6805-4F79-BED7-5D3490D455AA}" name="Bending Modulus MPa" dataDxfId="0" dataCellStyle="Normal 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4dxXCIr" TargetMode="External"/><Relationship Id="rId21" Type="http://schemas.openxmlformats.org/officeDocument/2006/relationships/hyperlink" Target="https://s.click.aliexpress.com/e/_c3WYOqRb" TargetMode="External"/><Relationship Id="rId42" Type="http://schemas.openxmlformats.org/officeDocument/2006/relationships/hyperlink" Target="https://s.click.aliexpress.com/e/_c3Fj3Z4D" TargetMode="External"/><Relationship Id="rId63" Type="http://schemas.openxmlformats.org/officeDocument/2006/relationships/hyperlink" Target="https://s.click.aliexpress.com/e/_c3cl4lSV" TargetMode="External"/><Relationship Id="rId84" Type="http://schemas.openxmlformats.org/officeDocument/2006/relationships/hyperlink" Target="https://s.click.aliexpress.com/e/_c3cl4lSV" TargetMode="External"/><Relationship Id="rId138" Type="http://schemas.openxmlformats.org/officeDocument/2006/relationships/hyperlink" Target="https://s.click.aliexpress.com/e/_c3ISQAPh" TargetMode="External"/><Relationship Id="rId107" Type="http://schemas.openxmlformats.org/officeDocument/2006/relationships/hyperlink" Target="https://s.click.aliexpress.com/e/_c3mx73QL" TargetMode="External"/><Relationship Id="rId11" Type="http://schemas.openxmlformats.org/officeDocument/2006/relationships/hyperlink" Target="https://s.click.aliexpress.com/e/_c3NPtXxJ" TargetMode="External"/><Relationship Id="rId32" Type="http://schemas.openxmlformats.org/officeDocument/2006/relationships/hyperlink" Target="https://s.click.aliexpress.com/e/_c2wfnsB3" TargetMode="External"/><Relationship Id="rId53" Type="http://schemas.openxmlformats.org/officeDocument/2006/relationships/hyperlink" Target="https://s.click.aliexpress.com/e/_c2zAwdsp" TargetMode="External"/><Relationship Id="rId74" Type="http://schemas.openxmlformats.org/officeDocument/2006/relationships/hyperlink" Target="https://s.click.aliexpress.com/e/_c4050O4H" TargetMode="External"/><Relationship Id="rId128" Type="http://schemas.openxmlformats.org/officeDocument/2006/relationships/hyperlink" Target="https://www.aliexpress.com/item/1005007567533885.html" TargetMode="External"/><Relationship Id="rId149" Type="http://schemas.openxmlformats.org/officeDocument/2006/relationships/hyperlink" Target="https://www.aliexpress.com/item/1005010455978564.html" TargetMode="External"/><Relationship Id="rId5" Type="http://schemas.openxmlformats.org/officeDocument/2006/relationships/hyperlink" Target="https://s.click.aliexpress.com/e/_c3a6JZfX" TargetMode="External"/><Relationship Id="rId95" Type="http://schemas.openxmlformats.org/officeDocument/2006/relationships/hyperlink" Target="https://s.click.aliexpress.com/e/_c3dOeMYH" TargetMode="External"/><Relationship Id="rId22" Type="http://schemas.openxmlformats.org/officeDocument/2006/relationships/hyperlink" Target="https://s.click.aliexpress.com/e/_c3WYOqRb" TargetMode="External"/><Relationship Id="rId27" Type="http://schemas.openxmlformats.org/officeDocument/2006/relationships/hyperlink" Target="https://s.click.aliexpress.com/e/_c2yfvwDX" TargetMode="External"/><Relationship Id="rId43" Type="http://schemas.openxmlformats.org/officeDocument/2006/relationships/hyperlink" Target="https://s.click.aliexpress.com/e/_c3SWMl29" TargetMode="External"/><Relationship Id="rId48" Type="http://schemas.openxmlformats.org/officeDocument/2006/relationships/hyperlink" Target="https://s.click.aliexpress.com/e/_c4rtJlUD" TargetMode="External"/><Relationship Id="rId64" Type="http://schemas.openxmlformats.org/officeDocument/2006/relationships/hyperlink" Target="https://s.click.aliexpress.com/e/_c3DnGI3T" TargetMode="External"/><Relationship Id="rId69" Type="http://schemas.openxmlformats.org/officeDocument/2006/relationships/hyperlink" Target="https://s.click.aliexpress.com/e/_c3jfSpKV" TargetMode="External"/><Relationship Id="rId113" Type="http://schemas.openxmlformats.org/officeDocument/2006/relationships/hyperlink" Target="https://s.click.aliexpress.com/e/_c4dxXCIr" TargetMode="External"/><Relationship Id="rId118" Type="http://schemas.openxmlformats.org/officeDocument/2006/relationships/hyperlink" Target="https://s.click.aliexpress.com/e/_c4dxXCIr" TargetMode="External"/><Relationship Id="rId134" Type="http://schemas.openxmlformats.org/officeDocument/2006/relationships/hyperlink" Target="https://s.click.aliexpress.com/e/_c38RQspz" TargetMode="External"/><Relationship Id="rId139" Type="http://schemas.openxmlformats.org/officeDocument/2006/relationships/hyperlink" Target="https://s.click.aliexpress.com/e/_c3ISQAPh" TargetMode="External"/><Relationship Id="rId80" Type="http://schemas.openxmlformats.org/officeDocument/2006/relationships/hyperlink" Target="https://s.click.aliexpress.com/e/_c3gsXE2t" TargetMode="External"/><Relationship Id="rId85" Type="http://schemas.openxmlformats.org/officeDocument/2006/relationships/hyperlink" Target="https://s.click.aliexpress.com/e/_c3cl4lSV" TargetMode="External"/><Relationship Id="rId150" Type="http://schemas.openxmlformats.org/officeDocument/2006/relationships/hyperlink" Target="https://s.click.aliexpress.com/e/_c3mx73QL" TargetMode="External"/><Relationship Id="rId155" Type="http://schemas.openxmlformats.org/officeDocument/2006/relationships/table" Target="../tables/table1.xml"/><Relationship Id="rId12" Type="http://schemas.openxmlformats.org/officeDocument/2006/relationships/hyperlink" Target="https://s.click.aliexpress.com/e/_c2wVuKPT" TargetMode="External"/><Relationship Id="rId17" Type="http://schemas.openxmlformats.org/officeDocument/2006/relationships/hyperlink" Target="https://s.click.aliexpress.com/e/_c3suoWc5" TargetMode="External"/><Relationship Id="rId33" Type="http://schemas.openxmlformats.org/officeDocument/2006/relationships/hyperlink" Target="https://s.click.aliexpress.com/e/_c4EuleVP" TargetMode="External"/><Relationship Id="rId38" Type="http://schemas.openxmlformats.org/officeDocument/2006/relationships/hyperlink" Target="https://s.click.aliexpress.com/e/_c4tOygL7" TargetMode="External"/><Relationship Id="rId59" Type="http://schemas.openxmlformats.org/officeDocument/2006/relationships/hyperlink" Target="https://s.click.aliexpress.com/e/_c30wfREH" TargetMode="External"/><Relationship Id="rId103" Type="http://schemas.openxmlformats.org/officeDocument/2006/relationships/hyperlink" Target="https://s.click.aliexpress.com/e/_c3KpXEQR" TargetMode="External"/><Relationship Id="rId108" Type="http://schemas.openxmlformats.org/officeDocument/2006/relationships/hyperlink" Target="https://s.click.aliexpress.com/e/_c3fEINlt" TargetMode="External"/><Relationship Id="rId124" Type="http://schemas.openxmlformats.org/officeDocument/2006/relationships/hyperlink" Target="https://s.click.aliexpress.com/e/_c3Ou6gqJ" TargetMode="External"/><Relationship Id="rId129" Type="http://schemas.openxmlformats.org/officeDocument/2006/relationships/hyperlink" Target="https://s.click.aliexpress.com/e/_c4SPo8x7" TargetMode="External"/><Relationship Id="rId54" Type="http://schemas.openxmlformats.org/officeDocument/2006/relationships/hyperlink" Target="https://s.click.aliexpress.com/e/_c3WyUNHL" TargetMode="External"/><Relationship Id="rId70" Type="http://schemas.openxmlformats.org/officeDocument/2006/relationships/hyperlink" Target="https://www.aliexpress.com/item/1005008848776055.html" TargetMode="External"/><Relationship Id="rId75" Type="http://schemas.openxmlformats.org/officeDocument/2006/relationships/hyperlink" Target="https://s.click.aliexpress.com/e/_c2zvHf0p" TargetMode="External"/><Relationship Id="rId91" Type="http://schemas.openxmlformats.org/officeDocument/2006/relationships/hyperlink" Target="https://s.click.aliexpress.com/e/_c3wmkaMH" TargetMode="External"/><Relationship Id="rId96" Type="http://schemas.openxmlformats.org/officeDocument/2006/relationships/hyperlink" Target="https://www.pcbway.com/" TargetMode="External"/><Relationship Id="rId140" Type="http://schemas.openxmlformats.org/officeDocument/2006/relationships/hyperlink" Target="https://s.click.aliexpress.com/e/_c3DVJucF" TargetMode="External"/><Relationship Id="rId145" Type="http://schemas.openxmlformats.org/officeDocument/2006/relationships/hyperlink" Target="https://s.click.aliexpress.com/e/_c4nPpAD9" TargetMode="External"/><Relationship Id="rId1" Type="http://schemas.openxmlformats.org/officeDocument/2006/relationships/hyperlink" Target="https://s.click.aliexpress.com/e/_9gB9LL" TargetMode="External"/><Relationship Id="rId6" Type="http://schemas.openxmlformats.org/officeDocument/2006/relationships/hyperlink" Target="https://www.aliexpress.com/item/1005010042779749.html" TargetMode="External"/><Relationship Id="rId23" Type="http://schemas.openxmlformats.org/officeDocument/2006/relationships/hyperlink" Target="https://s.click.aliexpress.com/e/_c3DzwoAD" TargetMode="External"/><Relationship Id="rId28" Type="http://schemas.openxmlformats.org/officeDocument/2006/relationships/hyperlink" Target="https://s.click.aliexpress.com/e/_c2yfvwDX" TargetMode="External"/><Relationship Id="rId49" Type="http://schemas.openxmlformats.org/officeDocument/2006/relationships/hyperlink" Target="https://s.click.aliexpress.com/e/_c4rtJlUD" TargetMode="External"/><Relationship Id="rId114" Type="http://schemas.openxmlformats.org/officeDocument/2006/relationships/hyperlink" Target="https://s.click.aliexpress.com/e/_c4dxXCIr" TargetMode="External"/><Relationship Id="rId119" Type="http://schemas.openxmlformats.org/officeDocument/2006/relationships/hyperlink" Target="https://s.click.aliexpress.com/e/_c4dxXCIr" TargetMode="External"/><Relationship Id="rId44" Type="http://schemas.openxmlformats.org/officeDocument/2006/relationships/hyperlink" Target="https://s.click.aliexpress.com/e/_c4rtJlUD" TargetMode="External"/><Relationship Id="rId60" Type="http://schemas.openxmlformats.org/officeDocument/2006/relationships/hyperlink" Target="https://s.click.aliexpress.com/e/_c44XY1Gx" TargetMode="External"/><Relationship Id="rId65" Type="http://schemas.openxmlformats.org/officeDocument/2006/relationships/hyperlink" Target="https://s.click.aliexpress.com/e/_c3gsXE2t" TargetMode="External"/><Relationship Id="rId81" Type="http://schemas.openxmlformats.org/officeDocument/2006/relationships/hyperlink" Target="https://s.click.aliexpress.com/e/_c3gsXE2t" TargetMode="External"/><Relationship Id="rId86" Type="http://schemas.openxmlformats.org/officeDocument/2006/relationships/hyperlink" Target="https://s.click.aliexpress.com/e/_c3cl4lSV" TargetMode="External"/><Relationship Id="rId130" Type="http://schemas.openxmlformats.org/officeDocument/2006/relationships/hyperlink" Target="https://s.click.aliexpress.com/e/_c43Ypp7z" TargetMode="External"/><Relationship Id="rId135" Type="http://schemas.openxmlformats.org/officeDocument/2006/relationships/hyperlink" Target="https://s.click.aliexpress.com/e/_c38RQspz" TargetMode="External"/><Relationship Id="rId151" Type="http://schemas.openxmlformats.org/officeDocument/2006/relationships/hyperlink" Target="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" TargetMode="External"/><Relationship Id="rId156" Type="http://schemas.microsoft.com/office/2019/04/relationships/namedSheetView" Target="../namedSheetViews/namedSheetView1.xml"/><Relationship Id="rId13" Type="http://schemas.openxmlformats.org/officeDocument/2006/relationships/hyperlink" Target="https://s.click.aliexpress.com/e/_c4LSWWWD" TargetMode="External"/><Relationship Id="rId18" Type="http://schemas.openxmlformats.org/officeDocument/2006/relationships/hyperlink" Target="https://www.aliexpress.com/item/1005003339030118.html" TargetMode="External"/><Relationship Id="rId39" Type="http://schemas.openxmlformats.org/officeDocument/2006/relationships/hyperlink" Target="https://s.click.aliexpress.com/e/_c3cdEeg9" TargetMode="External"/><Relationship Id="rId109" Type="http://schemas.openxmlformats.org/officeDocument/2006/relationships/hyperlink" Target="https://s.click.aliexpress.com/e/_c3ISQAPh" TargetMode="External"/><Relationship Id="rId34" Type="http://schemas.openxmlformats.org/officeDocument/2006/relationships/hyperlink" Target="https://s.click.aliexpress.com/e/_c2uyw02v" TargetMode="External"/><Relationship Id="rId50" Type="http://schemas.openxmlformats.org/officeDocument/2006/relationships/hyperlink" Target="https://s.click.aliexpress.com/e/_c4E1qB2Z" TargetMode="External"/><Relationship Id="rId55" Type="http://schemas.openxmlformats.org/officeDocument/2006/relationships/hyperlink" Target="https://s.click.aliexpress.com/e/_c3WyUNHL" TargetMode="External"/><Relationship Id="rId76" Type="http://schemas.openxmlformats.org/officeDocument/2006/relationships/hyperlink" Target="https://s.click.aliexpress.com/e/_c3bbKMFL" TargetMode="External"/><Relationship Id="rId97" Type="http://schemas.openxmlformats.org/officeDocument/2006/relationships/hyperlink" Target="https://s.click.aliexpress.com/e/_c4UAsjvZ" TargetMode="External"/><Relationship Id="rId104" Type="http://schemas.openxmlformats.org/officeDocument/2006/relationships/hyperlink" Target="https://www.aliexpress.com/item/1005004714550250.html" TargetMode="External"/><Relationship Id="rId120" Type="http://schemas.openxmlformats.org/officeDocument/2006/relationships/hyperlink" Target="https://s.click.aliexpress.com/e/_c4dxXCIr" TargetMode="External"/><Relationship Id="rId125" Type="http://schemas.openxmlformats.org/officeDocument/2006/relationships/hyperlink" Target="https://www.digikey.co.nz/en/products/detail/optifuse/PMA-DB-04-Q1S/13146953" TargetMode="External"/><Relationship Id="rId141" Type="http://schemas.openxmlformats.org/officeDocument/2006/relationships/hyperlink" Target="https://s.click.aliexpress.com/e/_c4TkoBx1" TargetMode="External"/><Relationship Id="rId146" Type="http://schemas.openxmlformats.org/officeDocument/2006/relationships/hyperlink" Target="https://s.click.aliexpress.com/e/_c3BBmwdR" TargetMode="External"/><Relationship Id="rId7" Type="http://schemas.openxmlformats.org/officeDocument/2006/relationships/hyperlink" Target="https://s.click.aliexpress.com/e/_c39y0zzF" TargetMode="External"/><Relationship Id="rId71" Type="http://schemas.openxmlformats.org/officeDocument/2006/relationships/hyperlink" Target="https://www.aliexpress.com/item/1005008848776055.html" TargetMode="External"/><Relationship Id="rId92" Type="http://schemas.openxmlformats.org/officeDocument/2006/relationships/hyperlink" Target="https://s.click.aliexpress.com/e/_c3h7Zh5j" TargetMode="External"/><Relationship Id="rId2" Type="http://schemas.openxmlformats.org/officeDocument/2006/relationships/hyperlink" Target="https://s.click.aliexpress.com/e/_c3L3d1ir" TargetMode="External"/><Relationship Id="rId29" Type="http://schemas.openxmlformats.org/officeDocument/2006/relationships/hyperlink" Target="https://s.click.aliexpress.com/e/_c37g5ZPJ" TargetMode="External"/><Relationship Id="rId24" Type="http://schemas.openxmlformats.org/officeDocument/2006/relationships/hyperlink" Target="https://s.click.aliexpress.com/e/_c4CALJIH" TargetMode="External"/><Relationship Id="rId40" Type="http://schemas.openxmlformats.org/officeDocument/2006/relationships/hyperlink" Target="https://s.click.aliexpress.com/e/_c3mGH8Fj" TargetMode="External"/><Relationship Id="rId45" Type="http://schemas.openxmlformats.org/officeDocument/2006/relationships/hyperlink" Target="https://s.click.aliexpress.com/e/_c4rtJlUD" TargetMode="External"/><Relationship Id="rId66" Type="http://schemas.openxmlformats.org/officeDocument/2006/relationships/hyperlink" Target="https://s.click.aliexpress.com/e/_c3jfSpKV" TargetMode="External"/><Relationship Id="rId87" Type="http://schemas.openxmlformats.org/officeDocument/2006/relationships/hyperlink" Target="https://s.click.aliexpress.com/e/_c3cl4lSV" TargetMode="External"/><Relationship Id="rId110" Type="http://schemas.openxmlformats.org/officeDocument/2006/relationships/hyperlink" Target="https://s.click.aliexpress.com/e/_c3p4OtLd" TargetMode="External"/><Relationship Id="rId115" Type="http://schemas.openxmlformats.org/officeDocument/2006/relationships/hyperlink" Target="https://s.click.aliexpress.com/e/_c4dxXCIr" TargetMode="External"/><Relationship Id="rId131" Type="http://schemas.openxmlformats.org/officeDocument/2006/relationships/hyperlink" Target="https://s.click.aliexpress.com/e/_c2uZPf8t" TargetMode="External"/><Relationship Id="rId136" Type="http://schemas.openxmlformats.org/officeDocument/2006/relationships/hyperlink" Target="https://s.click.aliexpress.com/e/_c38RQspz" TargetMode="External"/><Relationship Id="rId61" Type="http://schemas.openxmlformats.org/officeDocument/2006/relationships/hyperlink" Target="https://s.click.aliexpress.com/e/_c37g5ZPJ" TargetMode="External"/><Relationship Id="rId82" Type="http://schemas.openxmlformats.org/officeDocument/2006/relationships/hyperlink" Target="https://s.click.aliexpress.com/e/_c3jfSpKV" TargetMode="External"/><Relationship Id="rId152" Type="http://schemas.openxmlformats.org/officeDocument/2006/relationships/hyperlink" Target="https://www.digikey.co.nz/en/products/detail/qualtek/703W-00-08/1164207" TargetMode="External"/><Relationship Id="rId19" Type="http://schemas.openxmlformats.org/officeDocument/2006/relationships/hyperlink" Target="https://s.click.aliexpress.com/e/_c4NTrrnn" TargetMode="External"/><Relationship Id="rId14" Type="http://schemas.openxmlformats.org/officeDocument/2006/relationships/hyperlink" Target="https://s.click.aliexpress.com/e/_c3pEjVRB" TargetMode="External"/><Relationship Id="rId30" Type="http://schemas.openxmlformats.org/officeDocument/2006/relationships/hyperlink" Target="https://s.click.aliexpress.com/e/_c3cRHpi9" TargetMode="External"/><Relationship Id="rId35" Type="http://schemas.openxmlformats.org/officeDocument/2006/relationships/hyperlink" Target="https://s.click.aliexpress.com/e/_c3seEKjb" TargetMode="External"/><Relationship Id="rId56" Type="http://schemas.openxmlformats.org/officeDocument/2006/relationships/hyperlink" Target="https://www.digikey.co.nz/en/products/detail/adafruit-industries-llc/4541/12323573?s=N4IgTCBcDaIIIBMCGAzATgVwJYBcAEAkgHYIYDOOaWApmXgDL0DCeALAKysCMIAugL5A" TargetMode="External"/><Relationship Id="rId77" Type="http://schemas.openxmlformats.org/officeDocument/2006/relationships/hyperlink" Target="https://s.click.aliexpress.com/e/_c3LzJrff" TargetMode="External"/><Relationship Id="rId100" Type="http://schemas.openxmlformats.org/officeDocument/2006/relationships/hyperlink" Target="https://s.click.aliexpress.com/e/_c42QxBlt" TargetMode="External"/><Relationship Id="rId105" Type="http://schemas.openxmlformats.org/officeDocument/2006/relationships/hyperlink" Target="https://s.click.aliexpress.com/e/_c3Rt5HhD" TargetMode="External"/><Relationship Id="rId126" Type="http://schemas.openxmlformats.org/officeDocument/2006/relationships/hyperlink" Target="https://www.digikey.co.nz/en/products/detail/schurter-inc/8020-5078/6588337" TargetMode="External"/><Relationship Id="rId147" Type="http://schemas.openxmlformats.org/officeDocument/2006/relationships/hyperlink" Target="https://s.click.aliexpress.com/e/_c2wfnsB3" TargetMode="External"/><Relationship Id="rId8" Type="http://schemas.openxmlformats.org/officeDocument/2006/relationships/hyperlink" Target="https://s.click.aliexpress.com/e/_c4sg0aCl" TargetMode="External"/><Relationship Id="rId51" Type="http://schemas.openxmlformats.org/officeDocument/2006/relationships/hyperlink" Target="https://s.click.aliexpress.com/e/_c2wZSX8N" TargetMode="External"/><Relationship Id="rId72" Type="http://schemas.openxmlformats.org/officeDocument/2006/relationships/hyperlink" Target="https://www.aliexpress.com/item/1005008848776055.html" TargetMode="External"/><Relationship Id="rId93" Type="http://schemas.openxmlformats.org/officeDocument/2006/relationships/hyperlink" Target="https://s.click.aliexpress.com/e/_c4EuleVP" TargetMode="External"/><Relationship Id="rId98" Type="http://schemas.openxmlformats.org/officeDocument/2006/relationships/hyperlink" Target="https://s.click.aliexpress.com/e/_c2v1mREz" TargetMode="External"/><Relationship Id="rId121" Type="http://schemas.openxmlformats.org/officeDocument/2006/relationships/hyperlink" Target="https://s.click.aliexpress.com/e/_c4dxXCIr" TargetMode="External"/><Relationship Id="rId142" Type="http://schemas.openxmlformats.org/officeDocument/2006/relationships/hyperlink" Target="https://s.click.aliexpress.com/e/_c3gyR3k7" TargetMode="External"/><Relationship Id="rId3" Type="http://schemas.openxmlformats.org/officeDocument/2006/relationships/hyperlink" Target="https://s.click.aliexpress.com/e/_c3PsUJcZ" TargetMode="External"/><Relationship Id="rId25" Type="http://schemas.openxmlformats.org/officeDocument/2006/relationships/hyperlink" Target="https://s.click.aliexpress.com/e/_c4050O4H" TargetMode="External"/><Relationship Id="rId46" Type="http://schemas.openxmlformats.org/officeDocument/2006/relationships/hyperlink" Target="https://s.click.aliexpress.com/e/_c4rtJlUD" TargetMode="External"/><Relationship Id="rId67" Type="http://schemas.openxmlformats.org/officeDocument/2006/relationships/hyperlink" Target="https://s.click.aliexpress.com/e/_c3jfSpKV" TargetMode="External"/><Relationship Id="rId116" Type="http://schemas.openxmlformats.org/officeDocument/2006/relationships/hyperlink" Target="https://s.click.aliexpress.com/e/_c4dxXCIr" TargetMode="External"/><Relationship Id="rId137" Type="http://schemas.openxmlformats.org/officeDocument/2006/relationships/hyperlink" Target="https://s.click.aliexpress.com/e/_c38RQspz" TargetMode="External"/><Relationship Id="rId20" Type="http://schemas.openxmlformats.org/officeDocument/2006/relationships/hyperlink" Target="https://s.click.aliexpress.com/e/_c3WYOqRb" TargetMode="External"/><Relationship Id="rId41" Type="http://schemas.openxmlformats.org/officeDocument/2006/relationships/hyperlink" Target="https://s.click.aliexpress.com/e/_c3TqIw33" TargetMode="External"/><Relationship Id="rId62" Type="http://schemas.openxmlformats.org/officeDocument/2006/relationships/hyperlink" Target="https://s.click.aliexpress.com/e/_c3DnGI3T" TargetMode="External"/><Relationship Id="rId83" Type="http://schemas.openxmlformats.org/officeDocument/2006/relationships/hyperlink" Target="https://s.click.aliexpress.com/e/_c3gsXE2t" TargetMode="External"/><Relationship Id="rId88" Type="http://schemas.openxmlformats.org/officeDocument/2006/relationships/hyperlink" Target="https://s.click.aliexpress.com/e/_c4kcgpWl" TargetMode="External"/><Relationship Id="rId111" Type="http://schemas.openxmlformats.org/officeDocument/2006/relationships/hyperlink" Target="https://s.click.aliexpress.com/e/_c3p4OtLd" TargetMode="External"/><Relationship Id="rId132" Type="http://schemas.openxmlformats.org/officeDocument/2006/relationships/hyperlink" Target="https://s.click.aliexpress.com/e/_c381BjXN" TargetMode="External"/><Relationship Id="rId153" Type="http://schemas.openxmlformats.org/officeDocument/2006/relationships/hyperlink" Target="https://s.click.aliexpress.com/e/_c37g5ZPJ" TargetMode="External"/><Relationship Id="rId15" Type="http://schemas.openxmlformats.org/officeDocument/2006/relationships/hyperlink" Target="https://s.click.aliexpress.com/e/_c4PHjpil" TargetMode="External"/><Relationship Id="rId36" Type="http://schemas.openxmlformats.org/officeDocument/2006/relationships/hyperlink" Target="https://s.click.aliexpress.com/e/_c3wmkaMH" TargetMode="External"/><Relationship Id="rId57" Type="http://schemas.openxmlformats.org/officeDocument/2006/relationships/hyperlink" Target="https://www.digikey.co.nz/en/products/detail/sparkfun-electronics/13879/6202732" TargetMode="External"/><Relationship Id="rId106" Type="http://schemas.openxmlformats.org/officeDocument/2006/relationships/hyperlink" Target="https://s.click.aliexpress.com/e/_c3gux3Hv" TargetMode="External"/><Relationship Id="rId127" Type="http://schemas.openxmlformats.org/officeDocument/2006/relationships/hyperlink" Target="https://s.click.aliexpress.com/e/_c2zl7Px5" TargetMode="External"/><Relationship Id="rId10" Type="http://schemas.openxmlformats.org/officeDocument/2006/relationships/hyperlink" Target="https://s.click.aliexpress.com/e/_c42ABeod" TargetMode="External"/><Relationship Id="rId31" Type="http://schemas.openxmlformats.org/officeDocument/2006/relationships/hyperlink" Target="https://s.click.aliexpress.com/e/_c3mGH8Fj" TargetMode="External"/><Relationship Id="rId52" Type="http://schemas.openxmlformats.org/officeDocument/2006/relationships/hyperlink" Target="https://s.click.aliexpress.com/e/_c4WLi6cd" TargetMode="External"/><Relationship Id="rId73" Type="http://schemas.openxmlformats.org/officeDocument/2006/relationships/hyperlink" Target="https://s.click.aliexpress.com/e/_c3jfSpKV" TargetMode="External"/><Relationship Id="rId78" Type="http://schemas.openxmlformats.org/officeDocument/2006/relationships/hyperlink" Target="https://s.click.aliexpress.com/e/_c3w69LJf" TargetMode="External"/><Relationship Id="rId94" Type="http://schemas.openxmlformats.org/officeDocument/2006/relationships/hyperlink" Target="https://s.click.aliexpress.com/e/_c4tOygL7" TargetMode="External"/><Relationship Id="rId99" Type="http://schemas.openxmlformats.org/officeDocument/2006/relationships/hyperlink" Target="https://s.click.aliexpress.com/e/_c2v1mREz" TargetMode="External"/><Relationship Id="rId101" Type="http://schemas.openxmlformats.org/officeDocument/2006/relationships/hyperlink" Target="https://s.click.aliexpress.com/e/_c31WIyQR" TargetMode="External"/><Relationship Id="rId122" Type="http://schemas.openxmlformats.org/officeDocument/2006/relationships/hyperlink" Target="https://s.click.aliexpress.com/e/_c4dxXCIr" TargetMode="External"/><Relationship Id="rId143" Type="http://schemas.openxmlformats.org/officeDocument/2006/relationships/hyperlink" Target="https://www.digikey.co.nz/en/products/detail/panduit-corp/PLT1M-C76/451169" TargetMode="External"/><Relationship Id="rId148" Type="http://schemas.openxmlformats.org/officeDocument/2006/relationships/hyperlink" Target="https://s.click.aliexpress.com/e/_c3YBJ7iN" TargetMode="External"/><Relationship Id="rId4" Type="http://schemas.openxmlformats.org/officeDocument/2006/relationships/hyperlink" Target="https://s.click.aliexpress.com/e/_c3xSGcev" TargetMode="External"/><Relationship Id="rId9" Type="http://schemas.openxmlformats.org/officeDocument/2006/relationships/hyperlink" Target="https://www.aliexpress.com/item/4001085251691.html" TargetMode="External"/><Relationship Id="rId26" Type="http://schemas.openxmlformats.org/officeDocument/2006/relationships/hyperlink" Target="https://s.click.aliexpress.com/e/_c42ABeod" TargetMode="External"/><Relationship Id="rId47" Type="http://schemas.openxmlformats.org/officeDocument/2006/relationships/hyperlink" Target="https://s.click.aliexpress.com/e/_c4rtJlUD" TargetMode="External"/><Relationship Id="rId68" Type="http://schemas.openxmlformats.org/officeDocument/2006/relationships/hyperlink" Target="https://s.click.aliexpress.com/e/_c3jfSpKV" TargetMode="External"/><Relationship Id="rId89" Type="http://schemas.openxmlformats.org/officeDocument/2006/relationships/hyperlink" Target="https://s.click.aliexpress.com/e/_c3wmkaMH" TargetMode="External"/><Relationship Id="rId112" Type="http://schemas.openxmlformats.org/officeDocument/2006/relationships/hyperlink" Target="https://s.click.aliexpress.com/e/_c3p4OtLd" TargetMode="External"/><Relationship Id="rId133" Type="http://schemas.openxmlformats.org/officeDocument/2006/relationships/hyperlink" Target="https://s.click.aliexpress.com/e/_c4nPpAD9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s://s.click.aliexpress.com/e/_c2QW6ybb" TargetMode="External"/><Relationship Id="rId37" Type="http://schemas.openxmlformats.org/officeDocument/2006/relationships/hyperlink" Target="https://s.click.aliexpress.com/e/_c3DnGI3T" TargetMode="External"/><Relationship Id="rId58" Type="http://schemas.openxmlformats.org/officeDocument/2006/relationships/hyperlink" Target="https://s.click.aliexpress.com/e/_c4kcgpWl" TargetMode="External"/><Relationship Id="rId79" Type="http://schemas.openxmlformats.org/officeDocument/2006/relationships/hyperlink" Target="https://s.click.aliexpress.com/e/_c3GrYLJR" TargetMode="External"/><Relationship Id="rId102" Type="http://schemas.openxmlformats.org/officeDocument/2006/relationships/hyperlink" Target="https://s.click.aliexpress.com/e/_c3uKfoUb" TargetMode="External"/><Relationship Id="rId123" Type="http://schemas.openxmlformats.org/officeDocument/2006/relationships/hyperlink" Target="https://www.aliexpress.com/item/1005007376443518.html" TargetMode="External"/><Relationship Id="rId144" Type="http://schemas.openxmlformats.org/officeDocument/2006/relationships/hyperlink" Target="https://s.click.aliexpress.com/e/_c3YBJ7iN" TargetMode="External"/><Relationship Id="rId90" Type="http://schemas.openxmlformats.org/officeDocument/2006/relationships/hyperlink" Target="https://s.click.aliexpress.com/e/_c4kcgpW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FRAME%20PARTS" TargetMode="External"/><Relationship Id="rId5" Type="http://schemas.openxmlformats.org/officeDocument/2006/relationships/hyperlink" Target="https://www.youtube.com/@PRO3DESIGN" TargetMode="External"/><Relationship Id="rId4" Type="http://schemas.openxmlformats.org/officeDocument/2006/relationships/hyperlink" Target="https://s.click.aliexpress.com/e/_c3waEF0B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github.com/RoyBerntsenDesign/Project-Valkyrie/tree/main/V2%20BETA/DRAWINGS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AB%20PARTS" TargetMode="External"/><Relationship Id="rId5" Type="http://schemas.openxmlformats.org/officeDocument/2006/relationships/hyperlink" Target="https://www.youtube.com/@PRO3DESIGN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github.com/RoyBerntsenDesign/Project-Valkyrie/tree/main/V2%20BETA/PART%20FILES/AB%20PARTS" TargetMode="Externa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youtube.com/@PRO3DESIG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6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youtube.com/@PRO3DESIG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youtube.com/@PRO3DESIG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8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www.youtube.com/@PRO3DESIG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youtube.com/@PRO3DESIG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drawing" Target="../drawings/drawing8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https://www.aliexpress.com/item/1005004478303545.html" TargetMode="External"/><Relationship Id="rId4" Type="http://schemas.openxmlformats.org/officeDocument/2006/relationships/hyperlink" Target="https://www.youtube.com/@PRO3DESIG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1005008197099809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s://www.aliexpress.com/item/1005002948629438.html?spm=a2g0o.order_list.order_list_main.192.45b518027U4htK" TargetMode="External"/><Relationship Id="rId1" Type="http://schemas.openxmlformats.org/officeDocument/2006/relationships/hyperlink" Target="https://www.aliexpress.com/item/1005009139855730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7A4-7298-4D7B-A802-BED263A933C7}">
  <sheetPr>
    <tabColor rgb="FFFFC000"/>
    <pageSetUpPr fitToPage="1"/>
  </sheetPr>
  <dimension ref="A1:M156"/>
  <sheetViews>
    <sheetView topLeftCell="A20" zoomScale="85" zoomScaleNormal="85" workbookViewId="0">
      <selection activeCell="B25" sqref="B25"/>
    </sheetView>
  </sheetViews>
  <sheetFormatPr defaultColWidth="8.7109375" defaultRowHeight="15"/>
  <cols>
    <col min="1" max="1" width="11.5703125" style="10" customWidth="1"/>
    <col min="2" max="2" width="36.7109375" style="10" bestFit="1" customWidth="1"/>
    <col min="3" max="3" width="10" style="78" bestFit="1" customWidth="1"/>
    <col min="4" max="4" width="9.42578125" style="10" customWidth="1"/>
    <col min="5" max="5" width="14.42578125" style="10" customWidth="1"/>
    <col min="6" max="6" width="16.42578125" style="14" customWidth="1"/>
    <col min="7" max="7" width="10" style="10" customWidth="1"/>
    <col min="8" max="8" width="35" customWidth="1"/>
    <col min="9" max="9" width="16.140625" style="10" customWidth="1"/>
    <col min="10" max="10" width="10.85546875" style="10" customWidth="1"/>
    <col min="11" max="11" width="7" style="30" customWidth="1"/>
    <col min="12" max="12" width="6.7109375" style="10" customWidth="1"/>
    <col min="13" max="13" width="63" style="10" customWidth="1"/>
    <col min="14" max="14" width="11.140625" style="10" bestFit="1" customWidth="1"/>
    <col min="15" max="16384" width="8.7109375" style="10"/>
  </cols>
  <sheetData>
    <row r="1" spans="1:13" s="2" customFormat="1" ht="44.25" customHeight="1" thickBot="1">
      <c r="A1" s="90" t="s">
        <v>0</v>
      </c>
      <c r="B1" s="257" t="s">
        <v>1</v>
      </c>
      <c r="C1" s="258" t="s">
        <v>2</v>
      </c>
      <c r="D1" s="257" t="s">
        <v>3</v>
      </c>
      <c r="E1" s="257" t="s">
        <v>4</v>
      </c>
      <c r="F1" s="257" t="s">
        <v>5</v>
      </c>
      <c r="G1" s="257" t="s">
        <v>6</v>
      </c>
      <c r="H1" s="259" t="s">
        <v>7</v>
      </c>
      <c r="I1" s="260" t="s">
        <v>8</v>
      </c>
      <c r="J1" s="261" t="s">
        <v>9</v>
      </c>
      <c r="K1" s="67" t="s">
        <v>10</v>
      </c>
      <c r="L1" s="46" t="s">
        <v>11</v>
      </c>
      <c r="M1" s="131" t="s">
        <v>12</v>
      </c>
    </row>
    <row r="2" spans="1:13">
      <c r="A2" s="15" t="s">
        <v>13</v>
      </c>
      <c r="B2" s="11" t="s">
        <v>14</v>
      </c>
      <c r="C2" s="151"/>
      <c r="D2" s="69">
        <v>31</v>
      </c>
      <c r="E2" s="140">
        <v>4</v>
      </c>
      <c r="F2" s="141">
        <v>4.95</v>
      </c>
      <c r="G2" s="141">
        <f t="shared" ref="G2:G35" si="0">E2*F2</f>
        <v>19.8</v>
      </c>
      <c r="H2" s="152" t="s">
        <v>15</v>
      </c>
      <c r="I2" s="142" t="s">
        <v>16</v>
      </c>
      <c r="J2" s="27">
        <v>10</v>
      </c>
      <c r="K2" s="10"/>
      <c r="L2" s="68"/>
      <c r="M2" s="129"/>
    </row>
    <row r="3" spans="1:13">
      <c r="A3" s="15" t="s">
        <v>13</v>
      </c>
      <c r="B3" s="153" t="s">
        <v>17</v>
      </c>
      <c r="C3" s="154"/>
      <c r="D3" s="69">
        <v>24</v>
      </c>
      <c r="E3" s="140">
        <v>3</v>
      </c>
      <c r="F3" s="141">
        <v>7.84</v>
      </c>
      <c r="G3" s="141">
        <f t="shared" si="0"/>
        <v>23.52</v>
      </c>
      <c r="H3" s="152" t="s">
        <v>18</v>
      </c>
      <c r="I3" s="142" t="s">
        <v>16</v>
      </c>
      <c r="J3" s="27">
        <v>10</v>
      </c>
      <c r="K3" s="10"/>
      <c r="L3" s="68"/>
      <c r="M3" s="129"/>
    </row>
    <row r="4" spans="1:13">
      <c r="A4" s="15" t="s">
        <v>13</v>
      </c>
      <c r="B4" s="11" t="s">
        <v>19</v>
      </c>
      <c r="D4" s="10">
        <v>2</v>
      </c>
      <c r="E4" s="140">
        <v>1</v>
      </c>
      <c r="F4" s="141">
        <v>4.7300000000000004</v>
      </c>
      <c r="G4" s="141">
        <f t="shared" si="0"/>
        <v>4.7300000000000004</v>
      </c>
      <c r="H4" s="152" t="s">
        <v>20</v>
      </c>
      <c r="I4" s="142" t="s">
        <v>16</v>
      </c>
      <c r="J4" s="27">
        <v>10</v>
      </c>
      <c r="K4" s="69"/>
      <c r="L4" s="70"/>
      <c r="M4" s="129"/>
    </row>
    <row r="5" spans="1:13">
      <c r="A5" s="15" t="s">
        <v>13</v>
      </c>
      <c r="B5" s="262" t="s">
        <v>21</v>
      </c>
      <c r="C5" s="139"/>
      <c r="D5" s="155">
        <v>3</v>
      </c>
      <c r="E5" s="140">
        <v>3</v>
      </c>
      <c r="F5" s="141">
        <v>42</v>
      </c>
      <c r="G5" s="141">
        <f t="shared" si="0"/>
        <v>126</v>
      </c>
      <c r="H5" s="152" t="s">
        <v>22</v>
      </c>
      <c r="I5" s="143" t="s">
        <v>23</v>
      </c>
      <c r="J5" s="27">
        <v>1</v>
      </c>
      <c r="K5" s="10"/>
      <c r="L5" s="68"/>
      <c r="M5" s="129"/>
    </row>
    <row r="6" spans="1:13">
      <c r="A6" s="15" t="s">
        <v>13</v>
      </c>
      <c r="B6" s="255" t="s">
        <v>24</v>
      </c>
      <c r="C6" s="156"/>
      <c r="D6" s="157">
        <v>2</v>
      </c>
      <c r="E6" s="140">
        <v>2</v>
      </c>
      <c r="F6" s="141">
        <v>38</v>
      </c>
      <c r="G6" s="141">
        <f t="shared" si="0"/>
        <v>76</v>
      </c>
      <c r="H6" s="152" t="s">
        <v>25</v>
      </c>
      <c r="I6" s="143" t="s">
        <v>23</v>
      </c>
      <c r="J6" s="27">
        <v>1</v>
      </c>
      <c r="K6" s="10"/>
      <c r="L6" s="68"/>
      <c r="M6" s="129"/>
    </row>
    <row r="7" spans="1:13">
      <c r="A7" s="15" t="s">
        <v>13</v>
      </c>
      <c r="B7" s="255" t="s">
        <v>26</v>
      </c>
      <c r="C7" s="156"/>
      <c r="D7" s="157">
        <v>1</v>
      </c>
      <c r="E7" s="140">
        <v>1</v>
      </c>
      <c r="F7" s="141">
        <v>36</v>
      </c>
      <c r="G7" s="141">
        <f t="shared" si="0"/>
        <v>36</v>
      </c>
      <c r="H7" s="152" t="s">
        <v>27</v>
      </c>
      <c r="I7" s="143" t="s">
        <v>23</v>
      </c>
      <c r="J7" s="27">
        <v>1</v>
      </c>
      <c r="K7" s="10"/>
      <c r="L7" s="68"/>
      <c r="M7" s="129"/>
    </row>
    <row r="8" spans="1:13">
      <c r="A8" s="15" t="s">
        <v>13</v>
      </c>
      <c r="B8" s="263" t="s">
        <v>28</v>
      </c>
      <c r="C8" s="139"/>
      <c r="D8" s="158">
        <v>1</v>
      </c>
      <c r="E8" s="140">
        <v>1</v>
      </c>
      <c r="F8" s="141">
        <v>4.0999999999999996</v>
      </c>
      <c r="G8" s="141">
        <f t="shared" si="0"/>
        <v>4.0999999999999996</v>
      </c>
      <c r="H8" s="152" t="s">
        <v>29</v>
      </c>
      <c r="I8" s="142" t="s">
        <v>30</v>
      </c>
      <c r="J8" s="27">
        <v>10</v>
      </c>
      <c r="K8" s="10"/>
      <c r="L8" s="68"/>
      <c r="M8" s="129"/>
    </row>
    <row r="9" spans="1:13">
      <c r="A9" s="15" t="s">
        <v>13</v>
      </c>
      <c r="B9" s="262" t="s">
        <v>31</v>
      </c>
      <c r="C9" s="139"/>
      <c r="D9" s="158">
        <v>3</v>
      </c>
      <c r="E9" s="140">
        <v>1</v>
      </c>
      <c r="F9" s="141">
        <v>5.4</v>
      </c>
      <c r="G9" s="141">
        <f t="shared" si="0"/>
        <v>5.4</v>
      </c>
      <c r="H9" s="152" t="s">
        <v>32</v>
      </c>
      <c r="I9" s="256" t="s">
        <v>33</v>
      </c>
      <c r="J9" s="27">
        <v>20</v>
      </c>
      <c r="K9" s="10"/>
      <c r="L9" s="68"/>
      <c r="M9" s="129"/>
    </row>
    <row r="10" spans="1:13">
      <c r="A10" s="15" t="s">
        <v>13</v>
      </c>
      <c r="B10" s="11" t="s">
        <v>34</v>
      </c>
      <c r="D10" s="10">
        <v>2</v>
      </c>
      <c r="E10" s="140">
        <v>1</v>
      </c>
      <c r="F10" s="141">
        <v>18.27</v>
      </c>
      <c r="G10" s="141">
        <f t="shared" si="0"/>
        <v>18.27</v>
      </c>
      <c r="H10" s="152" t="s">
        <v>35</v>
      </c>
      <c r="I10" s="256" t="s">
        <v>36</v>
      </c>
      <c r="J10" s="27">
        <v>2</v>
      </c>
      <c r="K10" s="69"/>
      <c r="L10" s="70"/>
      <c r="M10" s="129"/>
    </row>
    <row r="11" spans="1:13">
      <c r="A11" s="31" t="s">
        <v>37</v>
      </c>
      <c r="B11" s="38" t="s">
        <v>38</v>
      </c>
      <c r="C11" s="159"/>
      <c r="D11" s="56">
        <v>1</v>
      </c>
      <c r="E11" s="140">
        <v>1</v>
      </c>
      <c r="F11" s="141">
        <v>5</v>
      </c>
      <c r="G11" s="141">
        <f t="shared" si="0"/>
        <v>5</v>
      </c>
      <c r="H11" s="152" t="s">
        <v>39</v>
      </c>
      <c r="I11" s="264" t="s">
        <v>40</v>
      </c>
      <c r="J11" s="27">
        <v>5</v>
      </c>
      <c r="K11" s="10"/>
      <c r="L11" s="68"/>
      <c r="M11" s="129"/>
    </row>
    <row r="12" spans="1:13">
      <c r="A12" s="31" t="s">
        <v>37</v>
      </c>
      <c r="B12" s="38" t="s">
        <v>41</v>
      </c>
      <c r="C12" s="159"/>
      <c r="D12" s="56">
        <v>2</v>
      </c>
      <c r="E12" s="140">
        <v>2</v>
      </c>
      <c r="F12" s="141">
        <v>5</v>
      </c>
      <c r="G12" s="141">
        <f t="shared" si="0"/>
        <v>10</v>
      </c>
      <c r="H12" s="152" t="s">
        <v>39</v>
      </c>
      <c r="I12" s="264" t="s">
        <v>40</v>
      </c>
      <c r="J12" s="27">
        <v>1</v>
      </c>
      <c r="K12" s="10"/>
      <c r="L12" s="68"/>
      <c r="M12" s="129"/>
    </row>
    <row r="13" spans="1:13">
      <c r="A13" s="31" t="s">
        <v>37</v>
      </c>
      <c r="B13" s="38" t="s">
        <v>42</v>
      </c>
      <c r="C13" s="159"/>
      <c r="D13" s="56">
        <v>1</v>
      </c>
      <c r="E13" s="140">
        <v>1</v>
      </c>
      <c r="F13" s="141">
        <v>5</v>
      </c>
      <c r="G13" s="141">
        <f t="shared" si="0"/>
        <v>5</v>
      </c>
      <c r="H13" s="152" t="s">
        <v>43</v>
      </c>
      <c r="I13" s="264" t="s">
        <v>40</v>
      </c>
      <c r="J13" s="27">
        <v>5</v>
      </c>
      <c r="K13" s="10"/>
      <c r="L13" s="68"/>
      <c r="M13" s="129"/>
    </row>
    <row r="14" spans="1:13">
      <c r="A14" s="31" t="s">
        <v>37</v>
      </c>
      <c r="B14" s="265" t="s">
        <v>44</v>
      </c>
      <c r="C14" s="160"/>
      <c r="D14" s="266">
        <v>1</v>
      </c>
      <c r="E14" s="140">
        <v>1</v>
      </c>
      <c r="F14" s="141">
        <v>6.35</v>
      </c>
      <c r="G14" s="141">
        <f t="shared" si="0"/>
        <v>6.35</v>
      </c>
      <c r="H14" s="152" t="s">
        <v>45</v>
      </c>
      <c r="I14" s="264" t="s">
        <v>46</v>
      </c>
      <c r="J14" s="27">
        <v>1</v>
      </c>
      <c r="K14" s="10"/>
      <c r="L14" s="68"/>
      <c r="M14" s="129"/>
    </row>
    <row r="15" spans="1:13">
      <c r="A15" s="31" t="s">
        <v>37</v>
      </c>
      <c r="B15" s="266" t="s">
        <v>47</v>
      </c>
      <c r="C15" s="267"/>
      <c r="D15" s="13">
        <v>2</v>
      </c>
      <c r="E15" s="140">
        <v>1</v>
      </c>
      <c r="F15" s="266">
        <v>2.3199999999999998</v>
      </c>
      <c r="G15" s="141">
        <f t="shared" si="0"/>
        <v>2.3199999999999998</v>
      </c>
      <c r="H15" s="152" t="s">
        <v>48</v>
      </c>
      <c r="I15" s="264" t="s">
        <v>49</v>
      </c>
      <c r="J15" s="27">
        <v>1</v>
      </c>
      <c r="K15" s="10"/>
      <c r="L15" s="68"/>
      <c r="M15" s="129"/>
    </row>
    <row r="16" spans="1:13">
      <c r="A16" s="31" t="s">
        <v>37</v>
      </c>
      <c r="B16" s="266" t="s">
        <v>50</v>
      </c>
      <c r="C16" s="267"/>
      <c r="D16" s="13">
        <v>1</v>
      </c>
      <c r="E16" s="140">
        <v>1</v>
      </c>
      <c r="F16" s="268">
        <v>4.82</v>
      </c>
      <c r="G16" s="141">
        <f t="shared" si="0"/>
        <v>4.82</v>
      </c>
      <c r="H16" s="152" t="s">
        <v>51</v>
      </c>
      <c r="I16" s="269" t="s">
        <v>49</v>
      </c>
      <c r="J16" s="27">
        <v>1</v>
      </c>
      <c r="K16" s="10"/>
      <c r="L16" s="68"/>
      <c r="M16" s="129"/>
    </row>
    <row r="17" spans="1:13">
      <c r="A17" s="31" t="s">
        <v>37</v>
      </c>
      <c r="B17" s="201" t="s">
        <v>52</v>
      </c>
      <c r="C17" s="139"/>
      <c r="D17" s="199">
        <v>1</v>
      </c>
      <c r="E17" s="140">
        <v>1</v>
      </c>
      <c r="F17" s="200">
        <v>3.9</v>
      </c>
      <c r="G17" s="141">
        <f>E17*F17</f>
        <v>3.9</v>
      </c>
      <c r="H17" s="202" t="s">
        <v>53</v>
      </c>
      <c r="I17" s="269" t="s">
        <v>49</v>
      </c>
      <c r="J17" s="94">
        <v>1</v>
      </c>
      <c r="K17" s="10"/>
      <c r="L17" s="68"/>
      <c r="M17" s="129"/>
    </row>
    <row r="18" spans="1:13">
      <c r="A18" s="31" t="s">
        <v>37</v>
      </c>
      <c r="B18" s="2" t="s">
        <v>54</v>
      </c>
      <c r="C18" s="267"/>
      <c r="D18" s="13">
        <v>1</v>
      </c>
      <c r="E18" s="140">
        <v>1</v>
      </c>
      <c r="F18" s="268"/>
      <c r="G18" s="141">
        <f t="shared" si="0"/>
        <v>0</v>
      </c>
      <c r="H18" s="197" t="s">
        <v>55</v>
      </c>
      <c r="I18" s="269" t="s">
        <v>49</v>
      </c>
      <c r="J18" s="27">
        <v>1</v>
      </c>
      <c r="K18" s="10"/>
      <c r="L18" s="68"/>
      <c r="M18" s="129"/>
    </row>
    <row r="19" spans="1:13">
      <c r="A19" s="31" t="s">
        <v>37</v>
      </c>
      <c r="B19" s="270" t="s">
        <v>56</v>
      </c>
      <c r="C19" s="271"/>
      <c r="D19" s="270">
        <v>1</v>
      </c>
      <c r="E19" s="140">
        <v>1</v>
      </c>
      <c r="F19" s="141">
        <v>3.95</v>
      </c>
      <c r="G19" s="141">
        <f t="shared" si="0"/>
        <v>3.95</v>
      </c>
      <c r="H19" s="152" t="s">
        <v>57</v>
      </c>
      <c r="I19" s="256" t="s">
        <v>49</v>
      </c>
      <c r="J19" s="27">
        <v>1</v>
      </c>
      <c r="K19" s="10"/>
      <c r="L19" s="68"/>
      <c r="M19" s="129"/>
    </row>
    <row r="20" spans="1:13">
      <c r="A20" s="31" t="s">
        <v>37</v>
      </c>
      <c r="B20" s="161" t="s">
        <v>58</v>
      </c>
      <c r="C20" s="139"/>
      <c r="D20" s="270">
        <v>1</v>
      </c>
      <c r="E20" s="140">
        <v>1</v>
      </c>
      <c r="F20" s="141">
        <v>11.5</v>
      </c>
      <c r="G20" s="141">
        <f t="shared" si="0"/>
        <v>11.5</v>
      </c>
      <c r="H20" s="152" t="s">
        <v>59</v>
      </c>
      <c r="I20" s="256" t="s">
        <v>49</v>
      </c>
      <c r="J20" s="27">
        <v>1</v>
      </c>
      <c r="K20" s="10"/>
      <c r="L20" s="68"/>
      <c r="M20" s="129"/>
    </row>
    <row r="21" spans="1:13">
      <c r="A21" s="31" t="s">
        <v>37</v>
      </c>
      <c r="B21" s="270" t="s">
        <v>60</v>
      </c>
      <c r="C21" s="162"/>
      <c r="D21" s="56">
        <v>1</v>
      </c>
      <c r="E21" s="140">
        <v>1</v>
      </c>
      <c r="F21" s="141">
        <v>16.82</v>
      </c>
      <c r="G21" s="141">
        <f t="shared" si="0"/>
        <v>16.82</v>
      </c>
      <c r="H21" s="152" t="s">
        <v>61</v>
      </c>
      <c r="I21" s="256" t="s">
        <v>62</v>
      </c>
      <c r="J21" s="27">
        <v>1</v>
      </c>
      <c r="K21" s="10"/>
      <c r="L21" s="68"/>
      <c r="M21" s="129"/>
    </row>
    <row r="22" spans="1:13">
      <c r="A22" s="31" t="s">
        <v>37</v>
      </c>
      <c r="B22" s="262" t="s">
        <v>63</v>
      </c>
      <c r="C22" s="163" t="s">
        <v>64</v>
      </c>
      <c r="D22" s="69">
        <v>1</v>
      </c>
      <c r="E22" s="140">
        <v>1</v>
      </c>
      <c r="F22" s="141">
        <v>78.39</v>
      </c>
      <c r="G22" s="141">
        <f t="shared" si="0"/>
        <v>78.39</v>
      </c>
      <c r="H22" s="152" t="s">
        <v>65</v>
      </c>
      <c r="I22" s="256" t="s">
        <v>66</v>
      </c>
      <c r="J22" s="27">
        <v>1</v>
      </c>
      <c r="K22" s="10"/>
      <c r="L22" s="68"/>
      <c r="M22" s="129"/>
    </row>
    <row r="23" spans="1:13">
      <c r="A23" s="31" t="s">
        <v>37</v>
      </c>
      <c r="B23" s="10" t="s">
        <v>67</v>
      </c>
      <c r="D23" s="10">
        <v>1</v>
      </c>
      <c r="E23" s="140">
        <v>1</v>
      </c>
      <c r="F23" s="141">
        <v>3.35</v>
      </c>
      <c r="G23" s="141">
        <f t="shared" si="0"/>
        <v>3.35</v>
      </c>
      <c r="H23" s="152" t="s">
        <v>68</v>
      </c>
      <c r="I23" s="144" t="s">
        <v>69</v>
      </c>
      <c r="J23" s="27">
        <v>2</v>
      </c>
      <c r="K23" s="10"/>
      <c r="L23" s="68"/>
      <c r="M23" s="129"/>
    </row>
    <row r="24" spans="1:13">
      <c r="A24" s="31" t="s">
        <v>37</v>
      </c>
      <c r="B24" s="10" t="s">
        <v>70</v>
      </c>
      <c r="D24" s="10">
        <v>1</v>
      </c>
      <c r="E24" s="140">
        <v>1</v>
      </c>
      <c r="F24" s="141">
        <v>3.25</v>
      </c>
      <c r="G24" s="141">
        <f t="shared" si="0"/>
        <v>3.25</v>
      </c>
      <c r="H24" s="152" t="s">
        <v>71</v>
      </c>
      <c r="I24" s="144" t="s">
        <v>69</v>
      </c>
      <c r="J24" s="27">
        <v>2</v>
      </c>
      <c r="K24" s="10"/>
      <c r="L24" s="68"/>
      <c r="M24" s="129"/>
    </row>
    <row r="25" spans="1:13">
      <c r="A25" s="31" t="s">
        <v>37</v>
      </c>
      <c r="B25" s="11" t="s">
        <v>72</v>
      </c>
      <c r="C25" s="267"/>
      <c r="D25" s="266">
        <v>1</v>
      </c>
      <c r="E25" s="140">
        <v>1</v>
      </c>
      <c r="F25" s="268">
        <v>16</v>
      </c>
      <c r="G25" s="141">
        <f t="shared" si="0"/>
        <v>16</v>
      </c>
      <c r="H25" s="152" t="s">
        <v>73</v>
      </c>
      <c r="I25" s="145" t="s">
        <v>74</v>
      </c>
      <c r="J25" s="27">
        <v>1</v>
      </c>
      <c r="K25" s="10"/>
      <c r="L25" s="68"/>
      <c r="M25" s="129"/>
    </row>
    <row r="26" spans="1:13">
      <c r="A26" s="31" t="s">
        <v>37</v>
      </c>
      <c r="B26" s="11" t="s">
        <v>75</v>
      </c>
      <c r="C26" s="139"/>
      <c r="D26" s="56">
        <v>1</v>
      </c>
      <c r="E26" s="140">
        <v>1</v>
      </c>
      <c r="F26" s="141">
        <v>39.520000000000003</v>
      </c>
      <c r="G26" s="141">
        <f t="shared" si="0"/>
        <v>39.520000000000003</v>
      </c>
      <c r="H26" s="152" t="s">
        <v>76</v>
      </c>
      <c r="I26" s="256" t="s">
        <v>33</v>
      </c>
      <c r="J26" s="27">
        <v>1</v>
      </c>
      <c r="K26" s="10"/>
      <c r="L26" s="68"/>
      <c r="M26" s="129"/>
    </row>
    <row r="27" spans="1:13" ht="15.75" customHeight="1">
      <c r="A27" s="16" t="s">
        <v>37</v>
      </c>
      <c r="B27" t="s">
        <v>77</v>
      </c>
      <c r="C27" s="139"/>
      <c r="D27" s="10">
        <v>1</v>
      </c>
      <c r="E27" s="140">
        <v>1</v>
      </c>
      <c r="F27" s="141">
        <v>5.07</v>
      </c>
      <c r="G27" s="141">
        <f t="shared" si="0"/>
        <v>5.07</v>
      </c>
      <c r="H27" s="152" t="s">
        <v>78</v>
      </c>
      <c r="I27" s="256" t="s">
        <v>33</v>
      </c>
      <c r="J27" s="27">
        <v>1</v>
      </c>
      <c r="K27" s="10"/>
      <c r="L27" s="68"/>
      <c r="M27" s="129"/>
    </row>
    <row r="28" spans="1:13" ht="15.75" customHeight="1">
      <c r="A28" s="16" t="s">
        <v>37</v>
      </c>
      <c r="B28" t="s">
        <v>79</v>
      </c>
      <c r="C28" s="139"/>
      <c r="D28" s="10">
        <v>1</v>
      </c>
      <c r="E28" s="140">
        <v>1</v>
      </c>
      <c r="F28" s="141">
        <v>5</v>
      </c>
      <c r="G28" s="141">
        <f>E28*F28</f>
        <v>5</v>
      </c>
      <c r="H28" s="198" t="s">
        <v>80</v>
      </c>
      <c r="I28" s="256" t="s">
        <v>33</v>
      </c>
      <c r="J28" s="94">
        <v>1</v>
      </c>
      <c r="K28" s="10"/>
      <c r="L28" s="68"/>
      <c r="M28" s="129"/>
    </row>
    <row r="29" spans="1:13" ht="16.5" customHeight="1">
      <c r="A29" s="31" t="s">
        <v>37</v>
      </c>
      <c r="B29" s="263" t="s">
        <v>81</v>
      </c>
      <c r="C29" s="164"/>
      <c r="D29" s="158">
        <v>1</v>
      </c>
      <c r="E29" s="140">
        <v>1</v>
      </c>
      <c r="F29" s="141">
        <v>3.92</v>
      </c>
      <c r="G29" s="141">
        <f t="shared" si="0"/>
        <v>3.92</v>
      </c>
      <c r="H29" s="152" t="s">
        <v>78</v>
      </c>
      <c r="I29" s="256" t="s">
        <v>33</v>
      </c>
      <c r="J29" s="27">
        <v>1</v>
      </c>
      <c r="K29" s="10"/>
      <c r="L29" s="68"/>
      <c r="M29" s="129"/>
    </row>
    <row r="30" spans="1:13" ht="16.5" customHeight="1">
      <c r="A30" s="31" t="s">
        <v>37</v>
      </c>
      <c r="B30" s="2" t="s">
        <v>82</v>
      </c>
      <c r="C30" s="267"/>
      <c r="D30" s="13">
        <v>3</v>
      </c>
      <c r="E30" s="140">
        <v>3</v>
      </c>
      <c r="F30" s="141">
        <v>15.18</v>
      </c>
      <c r="G30" s="141">
        <f t="shared" si="0"/>
        <v>45.54</v>
      </c>
      <c r="H30" s="152" t="s">
        <v>83</v>
      </c>
      <c r="I30" s="264" t="s">
        <v>33</v>
      </c>
      <c r="J30" s="27">
        <v>1</v>
      </c>
      <c r="K30" s="10"/>
      <c r="L30" s="68"/>
      <c r="M30" s="129"/>
    </row>
    <row r="31" spans="1:13">
      <c r="A31" s="31" t="s">
        <v>37</v>
      </c>
      <c r="B31" s="263" t="s">
        <v>84</v>
      </c>
      <c r="C31" s="139"/>
      <c r="D31" s="56">
        <v>1</v>
      </c>
      <c r="E31" s="140">
        <v>1</v>
      </c>
      <c r="F31" s="141">
        <v>12.4</v>
      </c>
      <c r="G31" s="141">
        <f t="shared" si="0"/>
        <v>12.4</v>
      </c>
      <c r="H31" s="152" t="s">
        <v>85</v>
      </c>
      <c r="I31" s="256" t="s">
        <v>33</v>
      </c>
      <c r="J31" s="27">
        <v>1</v>
      </c>
      <c r="K31" s="10"/>
      <c r="L31" s="68"/>
      <c r="M31" s="129"/>
    </row>
    <row r="32" spans="1:13">
      <c r="A32" s="31" t="s">
        <v>37</v>
      </c>
      <c r="B32" s="55" t="s">
        <v>86</v>
      </c>
      <c r="C32" s="139"/>
      <c r="D32" s="56">
        <v>1</v>
      </c>
      <c r="E32" s="140">
        <v>1</v>
      </c>
      <c r="F32" s="141">
        <v>4.95</v>
      </c>
      <c r="G32" s="141">
        <f t="shared" si="0"/>
        <v>4.95</v>
      </c>
      <c r="H32" s="152" t="s">
        <v>87</v>
      </c>
      <c r="I32" s="146" t="s">
        <v>88</v>
      </c>
      <c r="J32" s="27">
        <v>1</v>
      </c>
      <c r="K32" s="10"/>
      <c r="L32" s="68"/>
      <c r="M32" s="129"/>
    </row>
    <row r="33" spans="1:13">
      <c r="A33" s="31" t="s">
        <v>37</v>
      </c>
      <c r="B33" s="55" t="s">
        <v>89</v>
      </c>
      <c r="C33" s="139"/>
      <c r="D33" s="56">
        <v>1</v>
      </c>
      <c r="E33" s="140">
        <v>1</v>
      </c>
      <c r="F33" s="141">
        <v>4.9000000000000004</v>
      </c>
      <c r="G33" s="141">
        <f t="shared" si="0"/>
        <v>4.9000000000000004</v>
      </c>
      <c r="H33" s="152" t="s">
        <v>90</v>
      </c>
      <c r="I33" s="146" t="s">
        <v>88</v>
      </c>
      <c r="J33" s="27">
        <v>1</v>
      </c>
      <c r="K33" s="10"/>
      <c r="L33" s="68"/>
      <c r="M33" s="129"/>
    </row>
    <row r="34" spans="1:13">
      <c r="A34" s="31" t="s">
        <v>37</v>
      </c>
      <c r="B34" s="55" t="s">
        <v>91</v>
      </c>
      <c r="C34" s="139"/>
      <c r="D34" s="56">
        <v>2</v>
      </c>
      <c r="E34" s="140">
        <v>2</v>
      </c>
      <c r="F34" s="141">
        <v>4.45</v>
      </c>
      <c r="G34" s="141">
        <f t="shared" si="0"/>
        <v>8.9</v>
      </c>
      <c r="H34" s="152" t="s">
        <v>92</v>
      </c>
      <c r="I34" s="146" t="s">
        <v>88</v>
      </c>
      <c r="J34" s="27">
        <v>1</v>
      </c>
      <c r="K34" s="10"/>
      <c r="L34" s="68"/>
      <c r="M34" s="129"/>
    </row>
    <row r="35" spans="1:13">
      <c r="A35" s="31" t="s">
        <v>37</v>
      </c>
      <c r="B35" s="55" t="s">
        <v>93</v>
      </c>
      <c r="C35" s="139"/>
      <c r="D35" s="56">
        <v>2</v>
      </c>
      <c r="E35" s="140">
        <v>2</v>
      </c>
      <c r="F35" s="141">
        <v>4.3499999999999996</v>
      </c>
      <c r="G35" s="141">
        <f t="shared" si="0"/>
        <v>8.6999999999999993</v>
      </c>
      <c r="H35" s="152" t="s">
        <v>94</v>
      </c>
      <c r="I35" s="146" t="s">
        <v>88</v>
      </c>
      <c r="J35" s="27">
        <v>1</v>
      </c>
      <c r="K35" s="10"/>
      <c r="L35" s="68"/>
      <c r="M35" s="129"/>
    </row>
    <row r="36" spans="1:13">
      <c r="A36" s="31" t="s">
        <v>37</v>
      </c>
      <c r="B36" s="266" t="s">
        <v>95</v>
      </c>
      <c r="C36" s="267"/>
      <c r="D36" s="13">
        <v>1</v>
      </c>
      <c r="E36" s="140">
        <v>1</v>
      </c>
      <c r="F36" s="268">
        <v>3.22</v>
      </c>
      <c r="G36" s="141">
        <f t="shared" ref="G36:G71" si="1">E36*F36</f>
        <v>3.22</v>
      </c>
      <c r="H36" s="152" t="s">
        <v>96</v>
      </c>
      <c r="I36" s="147" t="s">
        <v>97</v>
      </c>
      <c r="J36" s="27">
        <v>1</v>
      </c>
      <c r="K36" s="10"/>
      <c r="L36" s="68"/>
      <c r="M36" s="129"/>
    </row>
    <row r="37" spans="1:13">
      <c r="A37" s="31" t="s">
        <v>37</v>
      </c>
      <c r="B37" s="165" t="s">
        <v>98</v>
      </c>
      <c r="C37" s="160"/>
      <c r="D37" s="13">
        <v>1</v>
      </c>
      <c r="E37" s="140">
        <v>1</v>
      </c>
      <c r="F37" s="141">
        <v>0.54</v>
      </c>
      <c r="G37" s="141">
        <f t="shared" si="1"/>
        <v>0.54</v>
      </c>
      <c r="H37" s="152" t="s">
        <v>99</v>
      </c>
      <c r="I37" s="264" t="s">
        <v>40</v>
      </c>
      <c r="J37" s="27">
        <v>1</v>
      </c>
      <c r="K37" s="10"/>
      <c r="L37" s="68"/>
      <c r="M37" s="129"/>
    </row>
    <row r="38" spans="1:13">
      <c r="A38" s="31" t="s">
        <v>37</v>
      </c>
      <c r="B38" s="165" t="s">
        <v>100</v>
      </c>
      <c r="C38" s="160"/>
      <c r="D38" s="13">
        <v>1</v>
      </c>
      <c r="E38" s="140">
        <v>1</v>
      </c>
      <c r="F38" s="141">
        <v>0.54</v>
      </c>
      <c r="G38" s="141">
        <f t="shared" si="1"/>
        <v>0.54</v>
      </c>
      <c r="H38" s="152" t="s">
        <v>101</v>
      </c>
      <c r="I38" s="264" t="s">
        <v>40</v>
      </c>
      <c r="J38" s="27">
        <v>1</v>
      </c>
      <c r="K38" s="10"/>
      <c r="L38" s="68"/>
      <c r="M38" s="129"/>
    </row>
    <row r="39" spans="1:13">
      <c r="A39" s="31" t="s">
        <v>37</v>
      </c>
      <c r="B39" s="165" t="s">
        <v>102</v>
      </c>
      <c r="C39" s="160"/>
      <c r="D39" s="13">
        <v>1</v>
      </c>
      <c r="E39" s="140">
        <v>1</v>
      </c>
      <c r="F39" s="141">
        <v>0.54</v>
      </c>
      <c r="G39" s="141">
        <f t="shared" si="1"/>
        <v>0.54</v>
      </c>
      <c r="H39" s="152" t="s">
        <v>103</v>
      </c>
      <c r="I39" s="264" t="s">
        <v>40</v>
      </c>
      <c r="J39" s="27">
        <v>1</v>
      </c>
      <c r="K39" s="10"/>
      <c r="L39" s="68"/>
      <c r="M39" s="129"/>
    </row>
    <row r="40" spans="1:13">
      <c r="A40" s="31" t="s">
        <v>37</v>
      </c>
      <c r="B40" s="26" t="s">
        <v>104</v>
      </c>
      <c r="C40" s="267"/>
      <c r="D40" s="272">
        <v>2</v>
      </c>
      <c r="E40" s="140">
        <v>1</v>
      </c>
      <c r="F40" s="141">
        <v>1.45</v>
      </c>
      <c r="G40" s="141">
        <f t="shared" si="1"/>
        <v>1.45</v>
      </c>
      <c r="H40" s="152" t="s">
        <v>105</v>
      </c>
      <c r="I40" s="264" t="s">
        <v>40</v>
      </c>
      <c r="J40" s="27">
        <v>2</v>
      </c>
      <c r="K40" s="10"/>
      <c r="L40" s="68"/>
      <c r="M40" s="129"/>
    </row>
    <row r="41" spans="1:13">
      <c r="A41" s="31" t="s">
        <v>37</v>
      </c>
      <c r="B41" s="265" t="s">
        <v>106</v>
      </c>
      <c r="C41" s="267"/>
      <c r="D41" s="272">
        <v>5</v>
      </c>
      <c r="E41" s="140">
        <v>1</v>
      </c>
      <c r="F41" s="141">
        <v>0.86</v>
      </c>
      <c r="G41" s="141">
        <f t="shared" si="1"/>
        <v>0.86</v>
      </c>
      <c r="H41" s="152" t="s">
        <v>107</v>
      </c>
      <c r="I41" s="264" t="s">
        <v>40</v>
      </c>
      <c r="J41" s="27">
        <v>5</v>
      </c>
      <c r="K41" s="10"/>
      <c r="L41" s="68"/>
      <c r="M41" s="129"/>
    </row>
    <row r="42" spans="1:13">
      <c r="A42" s="31" t="s">
        <v>37</v>
      </c>
      <c r="B42" s="1" t="s">
        <v>108</v>
      </c>
      <c r="C42" s="267"/>
      <c r="D42" s="272">
        <v>2</v>
      </c>
      <c r="E42" s="140">
        <v>1</v>
      </c>
      <c r="F42" s="141">
        <v>1.45</v>
      </c>
      <c r="G42" s="141">
        <f t="shared" si="1"/>
        <v>1.45</v>
      </c>
      <c r="H42" s="152" t="s">
        <v>109</v>
      </c>
      <c r="I42" s="264" t="s">
        <v>40</v>
      </c>
      <c r="J42" s="27">
        <v>2</v>
      </c>
      <c r="K42" s="10"/>
      <c r="L42" s="68"/>
      <c r="M42" s="129"/>
    </row>
    <row r="43" spans="1:13">
      <c r="A43" s="31" t="s">
        <v>37</v>
      </c>
      <c r="B43" s="1" t="s">
        <v>110</v>
      </c>
      <c r="C43" s="267"/>
      <c r="D43" s="13">
        <v>5</v>
      </c>
      <c r="E43" s="140">
        <v>1</v>
      </c>
      <c r="F43" s="141">
        <v>0.86</v>
      </c>
      <c r="G43" s="141">
        <f t="shared" si="1"/>
        <v>0.86</v>
      </c>
      <c r="H43" s="152" t="s">
        <v>111</v>
      </c>
      <c r="I43" s="264" t="s">
        <v>40</v>
      </c>
      <c r="J43" s="27">
        <v>5</v>
      </c>
      <c r="K43" s="10"/>
      <c r="L43" s="68"/>
      <c r="M43" s="129"/>
    </row>
    <row r="44" spans="1:13">
      <c r="A44" s="31" t="s">
        <v>37</v>
      </c>
      <c r="B44" s="26" t="s">
        <v>112</v>
      </c>
      <c r="C44" s="267"/>
      <c r="D44" s="272">
        <v>2</v>
      </c>
      <c r="E44" s="140">
        <v>1</v>
      </c>
      <c r="F44" s="141">
        <v>1.45</v>
      </c>
      <c r="G44" s="141">
        <f t="shared" si="1"/>
        <v>1.45</v>
      </c>
      <c r="H44" s="152" t="s">
        <v>113</v>
      </c>
      <c r="I44" s="264" t="s">
        <v>40</v>
      </c>
      <c r="J44" s="27">
        <v>2</v>
      </c>
      <c r="K44" s="10"/>
      <c r="L44" s="68"/>
      <c r="M44" s="129"/>
    </row>
    <row r="45" spans="1:13">
      <c r="A45" s="31" t="s">
        <v>37</v>
      </c>
      <c r="B45" s="26" t="s">
        <v>114</v>
      </c>
      <c r="C45" s="267"/>
      <c r="D45" s="13">
        <v>5</v>
      </c>
      <c r="E45" s="140">
        <v>1</v>
      </c>
      <c r="F45" s="141">
        <v>0.86</v>
      </c>
      <c r="G45" s="141">
        <f t="shared" si="1"/>
        <v>0.86</v>
      </c>
      <c r="H45" s="152" t="s">
        <v>115</v>
      </c>
      <c r="I45" s="264" t="s">
        <v>40</v>
      </c>
      <c r="J45" s="27">
        <v>5</v>
      </c>
      <c r="K45" s="10"/>
      <c r="L45" s="68"/>
      <c r="M45" s="129"/>
    </row>
    <row r="46" spans="1:13" ht="15.75" customHeight="1">
      <c r="A46" s="31" t="s">
        <v>37</v>
      </c>
      <c r="B46" s="266" t="s">
        <v>116</v>
      </c>
      <c r="C46" s="267"/>
      <c r="D46" s="13">
        <v>5</v>
      </c>
      <c r="E46" s="140">
        <v>1</v>
      </c>
      <c r="F46" s="141">
        <v>3.77</v>
      </c>
      <c r="G46" s="141">
        <f t="shared" si="1"/>
        <v>3.77</v>
      </c>
      <c r="H46" s="152" t="s">
        <v>117</v>
      </c>
      <c r="I46" s="264" t="s">
        <v>40</v>
      </c>
      <c r="J46" s="27">
        <v>5</v>
      </c>
      <c r="K46" s="10"/>
      <c r="L46" s="68"/>
      <c r="M46" s="129"/>
    </row>
    <row r="47" spans="1:13" ht="15.75" customHeight="1">
      <c r="A47" s="31" t="s">
        <v>37</v>
      </c>
      <c r="B47" s="26" t="s">
        <v>118</v>
      </c>
      <c r="C47" s="267"/>
      <c r="D47" s="272">
        <v>2</v>
      </c>
      <c r="E47" s="140">
        <v>1</v>
      </c>
      <c r="F47" s="141">
        <v>1.45</v>
      </c>
      <c r="G47" s="141">
        <f t="shared" si="1"/>
        <v>1.45</v>
      </c>
      <c r="H47" s="152" t="s">
        <v>119</v>
      </c>
      <c r="I47" s="264" t="s">
        <v>40</v>
      </c>
      <c r="J47" s="27">
        <v>2</v>
      </c>
      <c r="K47" s="10"/>
      <c r="L47" s="68"/>
      <c r="M47" s="129"/>
    </row>
    <row r="48" spans="1:13" ht="15.75" customHeight="1">
      <c r="A48" s="31" t="s">
        <v>37</v>
      </c>
      <c r="B48" s="26" t="s">
        <v>120</v>
      </c>
      <c r="C48" s="267"/>
      <c r="D48" s="272">
        <v>5</v>
      </c>
      <c r="E48" s="140">
        <v>1</v>
      </c>
      <c r="F48" s="141">
        <v>0.86</v>
      </c>
      <c r="G48" s="141">
        <f t="shared" si="1"/>
        <v>0.86</v>
      </c>
      <c r="H48" s="152" t="s">
        <v>121</v>
      </c>
      <c r="I48" s="264" t="s">
        <v>40</v>
      </c>
      <c r="J48" s="27">
        <v>5</v>
      </c>
      <c r="K48" s="10"/>
      <c r="L48" s="68"/>
      <c r="M48" s="129"/>
    </row>
    <row r="49" spans="1:13" ht="15.75" customHeight="1">
      <c r="A49" s="31" t="s">
        <v>37</v>
      </c>
      <c r="B49" s="266" t="s">
        <v>122</v>
      </c>
      <c r="C49" s="267"/>
      <c r="D49" s="272">
        <v>5</v>
      </c>
      <c r="E49" s="140">
        <v>1</v>
      </c>
      <c r="F49" s="141">
        <v>2.2200000000000002</v>
      </c>
      <c r="G49" s="141">
        <f t="shared" si="1"/>
        <v>2.2200000000000002</v>
      </c>
      <c r="H49" s="152" t="s">
        <v>123</v>
      </c>
      <c r="I49" s="264" t="s">
        <v>40</v>
      </c>
      <c r="J49" s="27">
        <v>5</v>
      </c>
      <c r="K49" s="10"/>
      <c r="L49" s="68"/>
      <c r="M49" s="129"/>
    </row>
    <row r="50" spans="1:13">
      <c r="A50" s="31" t="s">
        <v>37</v>
      </c>
      <c r="B50" s="266" t="s">
        <v>124</v>
      </c>
      <c r="C50" s="267"/>
      <c r="D50" s="272">
        <v>5</v>
      </c>
      <c r="E50" s="140">
        <v>1</v>
      </c>
      <c r="F50" s="141">
        <v>0.86</v>
      </c>
      <c r="G50" s="141">
        <f t="shared" si="1"/>
        <v>0.86</v>
      </c>
      <c r="H50" s="152" t="s">
        <v>125</v>
      </c>
      <c r="I50" s="264" t="s">
        <v>40</v>
      </c>
      <c r="J50" s="27">
        <v>5</v>
      </c>
      <c r="K50" s="10"/>
      <c r="L50" s="68"/>
      <c r="M50" s="129"/>
    </row>
    <row r="51" spans="1:13">
      <c r="A51" s="31" t="s">
        <v>37</v>
      </c>
      <c r="B51" s="26" t="s">
        <v>126</v>
      </c>
      <c r="C51" s="2"/>
      <c r="D51" s="13">
        <v>2</v>
      </c>
      <c r="E51" s="140">
        <v>1</v>
      </c>
      <c r="F51" s="141">
        <v>3</v>
      </c>
      <c r="G51" s="141">
        <f t="shared" ref="G51:G52" si="2">E51*F51</f>
        <v>3</v>
      </c>
      <c r="H51" s="152" t="s">
        <v>126</v>
      </c>
      <c r="I51" s="311"/>
      <c r="J51" s="94"/>
      <c r="K51" s="10"/>
      <c r="L51" s="68"/>
      <c r="M51" s="129"/>
    </row>
    <row r="52" spans="1:13">
      <c r="A52" s="31" t="s">
        <v>37</v>
      </c>
      <c r="B52" s="265" t="s">
        <v>127</v>
      </c>
      <c r="C52" s="2"/>
      <c r="D52" s="13">
        <v>2</v>
      </c>
      <c r="E52" s="140">
        <v>1</v>
      </c>
      <c r="F52" s="141">
        <v>3</v>
      </c>
      <c r="G52" s="141">
        <f t="shared" si="2"/>
        <v>3</v>
      </c>
      <c r="H52" s="152" t="s">
        <v>127</v>
      </c>
      <c r="I52" s="311"/>
      <c r="J52" s="94"/>
      <c r="K52" s="10"/>
      <c r="L52" s="68"/>
      <c r="M52" s="129"/>
    </row>
    <row r="53" spans="1:13">
      <c r="A53" s="31" t="s">
        <v>37</v>
      </c>
      <c r="B53" s="255" t="s">
        <v>128</v>
      </c>
      <c r="C53" s="139"/>
      <c r="D53" s="157">
        <v>3</v>
      </c>
      <c r="E53" s="140">
        <v>1</v>
      </c>
      <c r="F53" s="141">
        <v>46</v>
      </c>
      <c r="G53" s="141">
        <f t="shared" si="1"/>
        <v>46</v>
      </c>
      <c r="H53" s="152" t="s">
        <v>129</v>
      </c>
      <c r="I53" s="143" t="s">
        <v>130</v>
      </c>
      <c r="J53" s="27">
        <v>3</v>
      </c>
      <c r="K53" s="10"/>
      <c r="L53" s="68"/>
      <c r="M53" s="129"/>
    </row>
    <row r="54" spans="1:13">
      <c r="A54" s="31" t="s">
        <v>37</v>
      </c>
      <c r="B54" s="255" t="s">
        <v>131</v>
      </c>
      <c r="C54" s="156"/>
      <c r="D54" s="157">
        <v>2</v>
      </c>
      <c r="E54" s="140">
        <v>2</v>
      </c>
      <c r="F54" s="141">
        <v>22.5</v>
      </c>
      <c r="G54" s="141">
        <f t="shared" si="1"/>
        <v>45</v>
      </c>
      <c r="H54" s="152" t="s">
        <v>132</v>
      </c>
      <c r="I54" s="143" t="s">
        <v>130</v>
      </c>
      <c r="J54" s="27">
        <v>1</v>
      </c>
      <c r="K54" s="10"/>
      <c r="L54" s="68"/>
      <c r="M54" s="129"/>
    </row>
    <row r="55" spans="1:13">
      <c r="A55" s="31" t="s">
        <v>37</v>
      </c>
      <c r="B55" s="266" t="s">
        <v>133</v>
      </c>
      <c r="C55" s="267"/>
      <c r="D55" s="266">
        <v>1</v>
      </c>
      <c r="E55" s="140">
        <v>1</v>
      </c>
      <c r="F55" s="268">
        <v>33.700000000000003</v>
      </c>
      <c r="G55" s="141">
        <f t="shared" si="1"/>
        <v>33.700000000000003</v>
      </c>
      <c r="H55" s="152" t="s">
        <v>134</v>
      </c>
      <c r="I55" s="147" t="s">
        <v>130</v>
      </c>
      <c r="J55" s="27">
        <v>1</v>
      </c>
      <c r="K55" s="10"/>
      <c r="L55" s="68"/>
      <c r="M55" s="129"/>
    </row>
    <row r="56" spans="1:13">
      <c r="A56" s="31" t="s">
        <v>37</v>
      </c>
      <c r="B56" s="11" t="s">
        <v>135</v>
      </c>
      <c r="C56" s="139"/>
      <c r="D56" s="56">
        <v>1</v>
      </c>
      <c r="E56" s="140">
        <v>1</v>
      </c>
      <c r="F56" s="141">
        <v>13.9</v>
      </c>
      <c r="G56" s="141">
        <f t="shared" si="1"/>
        <v>13.9</v>
      </c>
      <c r="H56" s="152" t="s">
        <v>136</v>
      </c>
      <c r="I56" s="256" t="s">
        <v>137</v>
      </c>
      <c r="J56" s="27">
        <v>1</v>
      </c>
      <c r="K56" s="10"/>
      <c r="L56" s="68"/>
      <c r="M56" s="129"/>
    </row>
    <row r="57" spans="1:13">
      <c r="A57" s="16" t="s">
        <v>37</v>
      </c>
      <c r="B57" t="s">
        <v>138</v>
      </c>
      <c r="C57" s="166"/>
      <c r="D57">
        <v>1</v>
      </c>
      <c r="E57">
        <v>1</v>
      </c>
      <c r="F57" s="141">
        <v>11.11</v>
      </c>
      <c r="G57" s="141">
        <f t="shared" si="1"/>
        <v>11.11</v>
      </c>
      <c r="H57" s="152" t="s">
        <v>139</v>
      </c>
      <c r="I57" s="273" t="s">
        <v>140</v>
      </c>
      <c r="J57" s="27">
        <v>1</v>
      </c>
      <c r="K57"/>
      <c r="L57" s="37"/>
      <c r="M57" s="129"/>
    </row>
    <row r="58" spans="1:13">
      <c r="A58" s="31" t="s">
        <v>37</v>
      </c>
      <c r="B58" s="161" t="s">
        <v>141</v>
      </c>
      <c r="C58" s="139"/>
      <c r="D58" s="56">
        <v>1</v>
      </c>
      <c r="E58" s="140">
        <v>1</v>
      </c>
      <c r="F58" s="141">
        <v>12.07</v>
      </c>
      <c r="G58" s="141">
        <f t="shared" si="1"/>
        <v>12.07</v>
      </c>
      <c r="H58" s="152" t="s">
        <v>142</v>
      </c>
      <c r="I58" s="256" t="s">
        <v>143</v>
      </c>
      <c r="J58" s="27">
        <v>1</v>
      </c>
      <c r="K58" s="10"/>
      <c r="L58" s="68"/>
      <c r="M58" s="129"/>
    </row>
    <row r="59" spans="1:13">
      <c r="A59" s="31" t="s">
        <v>37</v>
      </c>
      <c r="B59" s="161" t="s">
        <v>144</v>
      </c>
      <c r="C59" s="139"/>
      <c r="D59" s="56">
        <v>1</v>
      </c>
      <c r="E59" s="140">
        <v>1</v>
      </c>
      <c r="F59" s="141">
        <v>1.4</v>
      </c>
      <c r="G59" s="141">
        <f t="shared" si="1"/>
        <v>1.4</v>
      </c>
      <c r="H59" s="152" t="s">
        <v>145</v>
      </c>
      <c r="I59" s="256" t="s">
        <v>49</v>
      </c>
      <c r="J59" s="94"/>
      <c r="K59" s="10"/>
      <c r="L59" s="68"/>
      <c r="M59" s="129"/>
    </row>
    <row r="60" spans="1:13">
      <c r="A60" s="31" t="s">
        <v>37</v>
      </c>
      <c r="B60" s="266" t="s">
        <v>146</v>
      </c>
      <c r="C60" s="267"/>
      <c r="D60" s="266">
        <v>1</v>
      </c>
      <c r="E60" s="140">
        <v>1</v>
      </c>
      <c r="F60" s="141">
        <v>148</v>
      </c>
      <c r="G60" s="141">
        <f t="shared" si="1"/>
        <v>148</v>
      </c>
      <c r="H60" s="152" t="s">
        <v>147</v>
      </c>
      <c r="I60" s="264" t="s">
        <v>148</v>
      </c>
      <c r="J60" s="27">
        <v>1</v>
      </c>
      <c r="K60" s="10"/>
      <c r="L60" s="68"/>
      <c r="M60" s="129"/>
    </row>
    <row r="61" spans="1:13" ht="17.25" customHeight="1">
      <c r="A61" s="31" t="s">
        <v>37</v>
      </c>
      <c r="B61" s="255" t="s">
        <v>149</v>
      </c>
      <c r="C61" s="139"/>
      <c r="D61" s="56">
        <v>1</v>
      </c>
      <c r="E61" s="140">
        <v>1</v>
      </c>
      <c r="F61" s="141">
        <v>2.35</v>
      </c>
      <c r="G61" s="141">
        <f t="shared" si="1"/>
        <v>2.35</v>
      </c>
      <c r="H61" s="152" t="s">
        <v>150</v>
      </c>
      <c r="I61" s="264" t="s">
        <v>151</v>
      </c>
      <c r="J61" s="27">
        <v>10</v>
      </c>
      <c r="K61" s="10"/>
      <c r="L61" s="68"/>
      <c r="M61" s="132" t="s">
        <v>152</v>
      </c>
    </row>
    <row r="62" spans="1:13" ht="17.25" customHeight="1">
      <c r="A62" s="31" t="s">
        <v>37</v>
      </c>
      <c r="B62" s="255" t="s">
        <v>153</v>
      </c>
      <c r="C62" s="139"/>
      <c r="D62" s="56">
        <v>1</v>
      </c>
      <c r="E62" s="140">
        <v>1</v>
      </c>
      <c r="F62" s="141">
        <v>2</v>
      </c>
      <c r="G62" s="141">
        <f>E62*F62</f>
        <v>2</v>
      </c>
      <c r="H62" s="152" t="s">
        <v>154</v>
      </c>
      <c r="I62" s="264" t="s">
        <v>151</v>
      </c>
      <c r="J62" s="94"/>
      <c r="K62" s="10"/>
      <c r="L62" s="68"/>
      <c r="M62" s="129"/>
    </row>
    <row r="63" spans="1:13" ht="15.75">
      <c r="A63" s="31" t="s">
        <v>37</v>
      </c>
      <c r="B63" s="255" t="s">
        <v>155</v>
      </c>
      <c r="C63" s="139"/>
      <c r="D63" s="56">
        <v>1</v>
      </c>
      <c r="E63" s="140"/>
      <c r="F63" s="141"/>
      <c r="G63" s="141">
        <f>E63*F63</f>
        <v>0</v>
      </c>
      <c r="H63" s="133" t="s">
        <v>156</v>
      </c>
      <c r="I63" s="311"/>
      <c r="J63" s="94"/>
      <c r="K63" s="10"/>
      <c r="L63" s="68"/>
      <c r="M63" s="129" t="s">
        <v>157</v>
      </c>
    </row>
    <row r="64" spans="1:13">
      <c r="A64" s="31" t="s">
        <v>37</v>
      </c>
      <c r="B64" s="266" t="s">
        <v>158</v>
      </c>
      <c r="C64" s="160"/>
      <c r="D64" s="13">
        <v>1</v>
      </c>
      <c r="E64" s="140">
        <v>1</v>
      </c>
      <c r="F64" s="141">
        <v>33.590000000000003</v>
      </c>
      <c r="G64" s="141">
        <f t="shared" si="1"/>
        <v>33.590000000000003</v>
      </c>
      <c r="H64" s="152" t="s">
        <v>159</v>
      </c>
      <c r="I64" s="264" t="s">
        <v>151</v>
      </c>
      <c r="J64" s="27">
        <v>1</v>
      </c>
      <c r="K64" s="10"/>
      <c r="L64" s="68"/>
      <c r="M64" s="129"/>
    </row>
    <row r="65" spans="1:13">
      <c r="A65" s="31" t="s">
        <v>160</v>
      </c>
      <c r="B65" s="11" t="s">
        <v>161</v>
      </c>
      <c r="D65" s="10">
        <v>94</v>
      </c>
      <c r="E65" s="140">
        <v>2</v>
      </c>
      <c r="F65" s="141">
        <v>3</v>
      </c>
      <c r="G65" s="141">
        <f t="shared" si="1"/>
        <v>6</v>
      </c>
      <c r="H65" s="167" t="s">
        <v>162</v>
      </c>
      <c r="I65" s="256" t="s">
        <v>163</v>
      </c>
      <c r="J65" s="27">
        <v>50</v>
      </c>
      <c r="K65" s="10"/>
      <c r="L65" s="68"/>
      <c r="M65" s="129"/>
    </row>
    <row r="66" spans="1:13">
      <c r="A66" s="31" t="s">
        <v>160</v>
      </c>
      <c r="B66" s="10" t="s">
        <v>164</v>
      </c>
      <c r="D66" s="10">
        <v>196</v>
      </c>
      <c r="E66" s="140">
        <v>4</v>
      </c>
      <c r="F66" s="141">
        <v>3</v>
      </c>
      <c r="G66" s="141">
        <f t="shared" si="1"/>
        <v>12</v>
      </c>
      <c r="H66" s="167" t="s">
        <v>165</v>
      </c>
      <c r="I66" s="256" t="s">
        <v>163</v>
      </c>
      <c r="J66" s="27">
        <v>50</v>
      </c>
      <c r="K66" s="69"/>
      <c r="L66" s="70"/>
      <c r="M66" s="129"/>
    </row>
    <row r="67" spans="1:13">
      <c r="A67" s="15" t="s">
        <v>160</v>
      </c>
      <c r="B67" s="10" t="s">
        <v>166</v>
      </c>
      <c r="D67" s="69">
        <v>1</v>
      </c>
      <c r="E67" s="140">
        <v>1</v>
      </c>
      <c r="F67" s="141">
        <v>4.34</v>
      </c>
      <c r="G67" s="141">
        <f t="shared" si="1"/>
        <v>4.34</v>
      </c>
      <c r="H67" s="152" t="s">
        <v>167</v>
      </c>
      <c r="I67" s="142" t="s">
        <v>168</v>
      </c>
      <c r="J67" s="27">
        <v>1</v>
      </c>
      <c r="K67" s="10"/>
      <c r="L67" s="68"/>
      <c r="M67" s="129"/>
    </row>
    <row r="68" spans="1:13">
      <c r="A68" s="15" t="s">
        <v>160</v>
      </c>
      <c r="B68" s="153" t="s">
        <v>169</v>
      </c>
      <c r="C68" s="154"/>
      <c r="D68" s="69">
        <v>32</v>
      </c>
      <c r="E68" s="140">
        <v>1</v>
      </c>
      <c r="F68" s="141">
        <v>3.26</v>
      </c>
      <c r="G68" s="141">
        <f t="shared" si="1"/>
        <v>3.26</v>
      </c>
      <c r="H68" s="168" t="s">
        <v>170</v>
      </c>
      <c r="I68" s="142" t="s">
        <v>171</v>
      </c>
      <c r="J68" s="27">
        <v>50</v>
      </c>
      <c r="K68" s="10">
        <v>988</v>
      </c>
      <c r="L68" s="68">
        <v>10642</v>
      </c>
      <c r="M68" s="129"/>
    </row>
    <row r="69" spans="1:13">
      <c r="A69" s="15" t="s">
        <v>160</v>
      </c>
      <c r="B69" s="266" t="s">
        <v>172</v>
      </c>
      <c r="C69" s="151"/>
      <c r="D69" s="69">
        <v>36</v>
      </c>
      <c r="E69" s="140">
        <v>1</v>
      </c>
      <c r="F69" s="141">
        <v>2.87</v>
      </c>
      <c r="G69" s="141">
        <f t="shared" si="1"/>
        <v>2.87</v>
      </c>
      <c r="H69" s="168" t="s">
        <v>173</v>
      </c>
      <c r="I69" s="142" t="s">
        <v>171</v>
      </c>
      <c r="J69" s="27">
        <v>50</v>
      </c>
      <c r="K69" s="10">
        <v>988</v>
      </c>
      <c r="L69" s="68">
        <v>7380</v>
      </c>
      <c r="M69" s="129"/>
    </row>
    <row r="70" spans="1:13">
      <c r="A70" s="15" t="s">
        <v>160</v>
      </c>
      <c r="B70" s="11" t="s">
        <v>174</v>
      </c>
      <c r="C70" s="151"/>
      <c r="D70" s="69">
        <v>2</v>
      </c>
      <c r="E70" s="140">
        <v>1</v>
      </c>
      <c r="F70" s="141">
        <v>2.84</v>
      </c>
      <c r="G70" s="141">
        <f t="shared" si="1"/>
        <v>2.84</v>
      </c>
      <c r="H70" s="168" t="s">
        <v>175</v>
      </c>
      <c r="I70" s="142" t="s">
        <v>171</v>
      </c>
      <c r="J70" s="27">
        <v>50</v>
      </c>
      <c r="K70" s="71">
        <v>988</v>
      </c>
      <c r="L70" s="68"/>
      <c r="M70" s="129"/>
    </row>
    <row r="71" spans="1:13">
      <c r="A71" s="31" t="s">
        <v>160</v>
      </c>
      <c r="B71" s="11" t="s">
        <v>176</v>
      </c>
      <c r="D71" s="10">
        <v>48</v>
      </c>
      <c r="E71" s="140">
        <v>2</v>
      </c>
      <c r="F71" s="141">
        <v>1</v>
      </c>
      <c r="G71" s="141">
        <f t="shared" si="1"/>
        <v>2</v>
      </c>
      <c r="H71" s="167" t="s">
        <v>177</v>
      </c>
      <c r="I71" s="144" t="s">
        <v>171</v>
      </c>
      <c r="J71" s="27">
        <v>25</v>
      </c>
      <c r="K71" s="10">
        <v>934</v>
      </c>
      <c r="L71" s="68"/>
      <c r="M71" s="129"/>
    </row>
    <row r="72" spans="1:13">
      <c r="A72" s="31" t="s">
        <v>160</v>
      </c>
      <c r="B72" s="11" t="s">
        <v>178</v>
      </c>
      <c r="C72" s="151"/>
      <c r="D72" s="69">
        <v>11</v>
      </c>
      <c r="E72" s="140">
        <v>2</v>
      </c>
      <c r="F72" s="141">
        <v>1</v>
      </c>
      <c r="G72" s="141">
        <f t="shared" ref="G72:G102" si="3">E72*F72</f>
        <v>2</v>
      </c>
      <c r="H72" s="167" t="s">
        <v>179</v>
      </c>
      <c r="I72" s="144" t="s">
        <v>171</v>
      </c>
      <c r="J72" s="27">
        <v>10</v>
      </c>
      <c r="K72" s="69">
        <v>985</v>
      </c>
      <c r="L72" s="70"/>
      <c r="M72" s="129"/>
    </row>
    <row r="73" spans="1:13">
      <c r="A73" s="31" t="s">
        <v>160</v>
      </c>
      <c r="B73" s="153" t="s">
        <v>180</v>
      </c>
      <c r="C73" s="154"/>
      <c r="D73" s="69">
        <v>92</v>
      </c>
      <c r="E73" s="140">
        <v>2</v>
      </c>
      <c r="F73" s="141">
        <v>2.0099999999999998</v>
      </c>
      <c r="G73" s="141">
        <f t="shared" si="3"/>
        <v>4.0199999999999996</v>
      </c>
      <c r="H73" s="167" t="s">
        <v>181</v>
      </c>
      <c r="I73" s="144" t="s">
        <v>171</v>
      </c>
      <c r="J73" s="27">
        <v>50</v>
      </c>
      <c r="K73" s="10">
        <v>125</v>
      </c>
      <c r="L73" s="68"/>
      <c r="M73" s="129"/>
    </row>
    <row r="74" spans="1:13">
      <c r="A74" s="31" t="s">
        <v>160</v>
      </c>
      <c r="B74" s="11" t="s">
        <v>182</v>
      </c>
      <c r="D74" s="10">
        <v>7</v>
      </c>
      <c r="E74" s="140">
        <v>1</v>
      </c>
      <c r="F74" s="141">
        <v>2.06</v>
      </c>
      <c r="G74" s="141">
        <f t="shared" si="3"/>
        <v>2.06</v>
      </c>
      <c r="H74" s="169" t="s">
        <v>183</v>
      </c>
      <c r="I74" s="144" t="s">
        <v>171</v>
      </c>
      <c r="J74" s="27">
        <v>50</v>
      </c>
      <c r="K74" s="10">
        <v>913</v>
      </c>
      <c r="L74" s="68"/>
      <c r="M74" s="129"/>
    </row>
    <row r="75" spans="1:13">
      <c r="A75" s="31" t="s">
        <v>160</v>
      </c>
      <c r="B75" s="11" t="s">
        <v>184</v>
      </c>
      <c r="C75" s="139"/>
      <c r="D75" s="10">
        <v>4</v>
      </c>
      <c r="E75" s="140">
        <v>1</v>
      </c>
      <c r="F75" s="141">
        <v>2.74</v>
      </c>
      <c r="G75" s="141">
        <f t="shared" si="3"/>
        <v>2.74</v>
      </c>
      <c r="H75" s="169" t="s">
        <v>185</v>
      </c>
      <c r="I75" s="144" t="s">
        <v>171</v>
      </c>
      <c r="J75" s="27">
        <v>20</v>
      </c>
      <c r="K75" s="10">
        <v>916</v>
      </c>
      <c r="L75" s="68"/>
      <c r="M75" s="129"/>
    </row>
    <row r="76" spans="1:13">
      <c r="A76" s="31" t="s">
        <v>160</v>
      </c>
      <c r="B76" s="153" t="s">
        <v>186</v>
      </c>
      <c r="C76" s="154"/>
      <c r="D76" s="10">
        <v>8</v>
      </c>
      <c r="E76" s="140">
        <v>1</v>
      </c>
      <c r="F76" s="141">
        <v>2.2599999999999998</v>
      </c>
      <c r="G76" s="141">
        <f t="shared" si="3"/>
        <v>2.2599999999999998</v>
      </c>
      <c r="H76" s="169" t="s">
        <v>187</v>
      </c>
      <c r="I76" s="144" t="s">
        <v>171</v>
      </c>
      <c r="J76" s="27">
        <v>25</v>
      </c>
      <c r="K76" s="69"/>
      <c r="L76" s="70">
        <v>7380</v>
      </c>
      <c r="M76" s="129"/>
    </row>
    <row r="77" spans="1:13">
      <c r="A77" s="15" t="s">
        <v>160</v>
      </c>
      <c r="B77" s="10" t="s">
        <v>188</v>
      </c>
      <c r="C77" s="151"/>
      <c r="D77" s="10">
        <v>16</v>
      </c>
      <c r="E77" s="140">
        <v>1</v>
      </c>
      <c r="F77" s="141">
        <v>2.2599999999999998</v>
      </c>
      <c r="G77" s="141">
        <f t="shared" si="3"/>
        <v>2.2599999999999998</v>
      </c>
      <c r="H77" s="169" t="s">
        <v>187</v>
      </c>
      <c r="I77" s="144" t="s">
        <v>171</v>
      </c>
      <c r="J77" s="27">
        <v>25</v>
      </c>
      <c r="K77" s="10">
        <v>7991</v>
      </c>
      <c r="L77" s="68"/>
      <c r="M77" s="129"/>
    </row>
    <row r="78" spans="1:13">
      <c r="A78" s="31" t="s">
        <v>160</v>
      </c>
      <c r="B78" s="153" t="s">
        <v>189</v>
      </c>
      <c r="C78" s="154"/>
      <c r="D78" s="10">
        <v>122</v>
      </c>
      <c r="E78" s="140">
        <v>13</v>
      </c>
      <c r="F78" s="141">
        <v>2</v>
      </c>
      <c r="G78" s="141">
        <f t="shared" si="3"/>
        <v>26</v>
      </c>
      <c r="H78" s="169" t="s">
        <v>190</v>
      </c>
      <c r="I78" s="144" t="s">
        <v>171</v>
      </c>
      <c r="J78" s="27">
        <v>10</v>
      </c>
      <c r="K78" s="10">
        <v>912</v>
      </c>
      <c r="L78" s="68"/>
      <c r="M78" s="129"/>
    </row>
    <row r="79" spans="1:13">
      <c r="A79" s="15" t="s">
        <v>160</v>
      </c>
      <c r="B79" s="153" t="s">
        <v>191</v>
      </c>
      <c r="C79" s="154"/>
      <c r="D79" s="10">
        <v>42</v>
      </c>
      <c r="E79" s="140">
        <v>5</v>
      </c>
      <c r="F79" s="141">
        <v>2.83</v>
      </c>
      <c r="G79" s="141">
        <f t="shared" si="3"/>
        <v>14.15</v>
      </c>
      <c r="H79" s="169" t="s">
        <v>192</v>
      </c>
      <c r="I79" s="144" t="s">
        <v>171</v>
      </c>
      <c r="J79" s="27">
        <v>10</v>
      </c>
      <c r="K79" s="69">
        <v>912</v>
      </c>
      <c r="L79" s="70"/>
      <c r="M79" s="129"/>
    </row>
    <row r="80" spans="1:13">
      <c r="A80" s="15" t="s">
        <v>160</v>
      </c>
      <c r="B80" s="11" t="s">
        <v>193</v>
      </c>
      <c r="C80" s="139"/>
      <c r="D80" s="10">
        <v>6</v>
      </c>
      <c r="E80" s="140">
        <v>1</v>
      </c>
      <c r="F80" s="141">
        <v>2.34</v>
      </c>
      <c r="G80" s="141">
        <f t="shared" si="3"/>
        <v>2.34</v>
      </c>
      <c r="H80" s="169" t="s">
        <v>194</v>
      </c>
      <c r="I80" s="144" t="s">
        <v>171</v>
      </c>
      <c r="J80" s="27">
        <v>25</v>
      </c>
      <c r="K80" s="10"/>
      <c r="L80" s="68"/>
      <c r="M80" s="129"/>
    </row>
    <row r="81" spans="1:13">
      <c r="A81" s="15" t="s">
        <v>160</v>
      </c>
      <c r="B81" s="10" t="s">
        <v>195</v>
      </c>
      <c r="C81" s="139"/>
      <c r="D81" s="10">
        <v>20</v>
      </c>
      <c r="E81" s="140">
        <v>2</v>
      </c>
      <c r="F81" s="141">
        <v>2.91</v>
      </c>
      <c r="G81" s="141">
        <f t="shared" si="3"/>
        <v>5.82</v>
      </c>
      <c r="H81" s="169" t="s">
        <v>196</v>
      </c>
      <c r="I81" s="144" t="s">
        <v>171</v>
      </c>
      <c r="J81" s="27">
        <v>10</v>
      </c>
      <c r="K81" s="10">
        <v>912</v>
      </c>
      <c r="L81" s="68"/>
      <c r="M81" s="129"/>
    </row>
    <row r="82" spans="1:13">
      <c r="A82" s="15" t="s">
        <v>160</v>
      </c>
      <c r="B82" s="10" t="s">
        <v>197</v>
      </c>
      <c r="C82" s="139"/>
      <c r="D82" s="10">
        <v>1</v>
      </c>
      <c r="E82" s="140">
        <v>1</v>
      </c>
      <c r="F82" s="141">
        <v>3.05</v>
      </c>
      <c r="G82" s="141">
        <f t="shared" si="3"/>
        <v>3.05</v>
      </c>
      <c r="H82" s="169" t="s">
        <v>198</v>
      </c>
      <c r="I82" s="144" t="s">
        <v>171</v>
      </c>
      <c r="J82" s="27">
        <v>25</v>
      </c>
      <c r="K82" s="10"/>
      <c r="L82" s="68"/>
      <c r="M82" s="129"/>
    </row>
    <row r="83" spans="1:13" ht="15.75" customHeight="1">
      <c r="A83" s="15" t="s">
        <v>160</v>
      </c>
      <c r="B83" s="11" t="s">
        <v>199</v>
      </c>
      <c r="C83" s="151"/>
      <c r="D83" s="10">
        <v>11</v>
      </c>
      <c r="E83" s="140">
        <v>2</v>
      </c>
      <c r="F83" s="141">
        <v>3</v>
      </c>
      <c r="G83" s="141">
        <f t="shared" si="3"/>
        <v>6</v>
      </c>
      <c r="H83" s="169" t="s">
        <v>200</v>
      </c>
      <c r="I83" s="144" t="s">
        <v>171</v>
      </c>
      <c r="J83" s="27">
        <v>10</v>
      </c>
      <c r="K83" s="10">
        <v>912</v>
      </c>
      <c r="L83" s="68">
        <v>7380</v>
      </c>
      <c r="M83" s="129"/>
    </row>
    <row r="84" spans="1:13">
      <c r="A84" s="31" t="s">
        <v>160</v>
      </c>
      <c r="B84" s="11" t="s">
        <v>201</v>
      </c>
      <c r="D84" s="10">
        <v>6</v>
      </c>
      <c r="E84" s="140">
        <v>1</v>
      </c>
      <c r="F84" s="141">
        <v>1</v>
      </c>
      <c r="G84" s="141">
        <f t="shared" si="3"/>
        <v>1</v>
      </c>
      <c r="H84" s="167" t="s">
        <v>202</v>
      </c>
      <c r="I84" s="144" t="s">
        <v>171</v>
      </c>
      <c r="J84" s="27">
        <v>25</v>
      </c>
      <c r="K84" s="69">
        <v>934</v>
      </c>
      <c r="L84" s="70"/>
      <c r="M84" s="129"/>
    </row>
    <row r="85" spans="1:13">
      <c r="A85" s="31" t="s">
        <v>160</v>
      </c>
      <c r="B85" s="11" t="s">
        <v>203</v>
      </c>
      <c r="C85" s="151"/>
      <c r="D85" s="10">
        <v>3</v>
      </c>
      <c r="E85" s="140">
        <v>2</v>
      </c>
      <c r="F85" s="141">
        <v>1</v>
      </c>
      <c r="G85" s="141">
        <f t="shared" si="3"/>
        <v>2</v>
      </c>
      <c r="H85" s="167" t="s">
        <v>204</v>
      </c>
      <c r="I85" s="144" t="s">
        <v>171</v>
      </c>
      <c r="J85" s="27">
        <v>10</v>
      </c>
      <c r="K85" s="10">
        <v>985</v>
      </c>
      <c r="L85" s="68">
        <v>10511</v>
      </c>
      <c r="M85" s="129"/>
    </row>
    <row r="86" spans="1:13">
      <c r="A86" s="31" t="s">
        <v>160</v>
      </c>
      <c r="B86" s="11" t="s">
        <v>205</v>
      </c>
      <c r="D86" s="10">
        <v>13</v>
      </c>
      <c r="E86" s="140">
        <v>1</v>
      </c>
      <c r="F86" s="141">
        <v>2.5</v>
      </c>
      <c r="G86" s="141">
        <f t="shared" si="3"/>
        <v>2.5</v>
      </c>
      <c r="H86" s="167" t="s">
        <v>206</v>
      </c>
      <c r="I86" s="144" t="s">
        <v>171</v>
      </c>
      <c r="J86" s="27">
        <v>50</v>
      </c>
      <c r="K86" s="69">
        <v>25</v>
      </c>
      <c r="L86" s="70"/>
      <c r="M86" s="129"/>
    </row>
    <row r="87" spans="1:13">
      <c r="A87" s="15" t="s">
        <v>160</v>
      </c>
      <c r="B87" s="262" t="s">
        <v>207</v>
      </c>
      <c r="C87" s="139"/>
      <c r="D87" s="10">
        <v>1</v>
      </c>
      <c r="E87" s="140">
        <v>1</v>
      </c>
      <c r="F87" s="141">
        <v>2.2599999999999998</v>
      </c>
      <c r="G87" s="141">
        <f t="shared" si="3"/>
        <v>2.2599999999999998</v>
      </c>
      <c r="H87" s="169" t="s">
        <v>208</v>
      </c>
      <c r="I87" s="144" t="s">
        <v>171</v>
      </c>
      <c r="J87" s="27">
        <v>10</v>
      </c>
      <c r="K87" s="10"/>
      <c r="L87" s="68"/>
      <c r="M87" s="129"/>
    </row>
    <row r="88" spans="1:13">
      <c r="A88" s="31" t="s">
        <v>160</v>
      </c>
      <c r="B88" s="161" t="s">
        <v>209</v>
      </c>
      <c r="C88" s="139"/>
      <c r="D88" s="10">
        <v>3</v>
      </c>
      <c r="E88" s="140">
        <v>1</v>
      </c>
      <c r="F88" s="141">
        <v>1.2</v>
      </c>
      <c r="G88" s="141">
        <f t="shared" si="3"/>
        <v>1.2</v>
      </c>
      <c r="H88" s="169" t="s">
        <v>210</v>
      </c>
      <c r="I88" s="144" t="s">
        <v>171</v>
      </c>
      <c r="J88" s="27">
        <v>20</v>
      </c>
      <c r="K88" s="10">
        <v>912</v>
      </c>
      <c r="L88" s="68"/>
      <c r="M88" s="129"/>
    </row>
    <row r="89" spans="1:13">
      <c r="A89" s="15" t="s">
        <v>160</v>
      </c>
      <c r="B89" s="11" t="s">
        <v>211</v>
      </c>
      <c r="C89" s="151"/>
      <c r="D89" s="10">
        <v>6</v>
      </c>
      <c r="E89" s="140">
        <v>6</v>
      </c>
      <c r="F89" s="141">
        <v>1.21</v>
      </c>
      <c r="G89" s="141">
        <f t="shared" si="3"/>
        <v>7.26</v>
      </c>
      <c r="H89" s="169" t="s">
        <v>212</v>
      </c>
      <c r="I89" s="256" t="s">
        <v>171</v>
      </c>
      <c r="J89" s="27">
        <v>1</v>
      </c>
      <c r="K89" s="10"/>
      <c r="L89" s="68"/>
      <c r="M89" s="129"/>
    </row>
    <row r="90" spans="1:13">
      <c r="A90" s="31" t="s">
        <v>160</v>
      </c>
      <c r="B90" s="11" t="s">
        <v>213</v>
      </c>
      <c r="D90" s="10">
        <v>4</v>
      </c>
      <c r="E90" s="140">
        <v>1</v>
      </c>
      <c r="F90" s="141">
        <v>2.42</v>
      </c>
      <c r="G90" s="141">
        <f t="shared" si="3"/>
        <v>2.42</v>
      </c>
      <c r="H90" s="168" t="s">
        <v>214</v>
      </c>
      <c r="I90" s="144" t="s">
        <v>171</v>
      </c>
      <c r="J90" s="27">
        <v>10</v>
      </c>
      <c r="K90" s="69">
        <v>7991</v>
      </c>
      <c r="L90" s="70">
        <v>10642</v>
      </c>
      <c r="M90" s="129"/>
    </row>
    <row r="91" spans="1:13">
      <c r="A91" s="31" t="s">
        <v>160</v>
      </c>
      <c r="B91" s="262" t="s">
        <v>215</v>
      </c>
      <c r="C91" s="139"/>
      <c r="D91" s="10">
        <v>3</v>
      </c>
      <c r="E91" s="140">
        <v>1</v>
      </c>
      <c r="F91" s="141">
        <v>2.5</v>
      </c>
      <c r="G91" s="141">
        <f t="shared" si="3"/>
        <v>2.5</v>
      </c>
      <c r="H91" s="168" t="s">
        <v>216</v>
      </c>
      <c r="I91" s="144" t="s">
        <v>171</v>
      </c>
      <c r="J91" s="27">
        <v>10</v>
      </c>
      <c r="K91" s="69">
        <v>7991</v>
      </c>
      <c r="L91" s="70"/>
      <c r="M91" s="129"/>
    </row>
    <row r="92" spans="1:13">
      <c r="A92" s="31" t="s">
        <v>160</v>
      </c>
      <c r="B92" s="10" t="s">
        <v>217</v>
      </c>
      <c r="C92" s="139"/>
      <c r="D92" s="10">
        <v>2</v>
      </c>
      <c r="E92" s="140">
        <v>1</v>
      </c>
      <c r="F92" s="141">
        <v>2.5299999999999998</v>
      </c>
      <c r="G92" s="141">
        <f t="shared" si="3"/>
        <v>2.5299999999999998</v>
      </c>
      <c r="H92" s="168" t="s">
        <v>218</v>
      </c>
      <c r="I92" s="144" t="s">
        <v>171</v>
      </c>
      <c r="J92" s="27">
        <v>10</v>
      </c>
      <c r="K92" s="69">
        <v>933</v>
      </c>
      <c r="L92" s="70"/>
      <c r="M92" s="129"/>
    </row>
    <row r="93" spans="1:13">
      <c r="A93" s="31" t="s">
        <v>160</v>
      </c>
      <c r="B93" s="136" t="s">
        <v>219</v>
      </c>
      <c r="C93" s="170"/>
      <c r="D93" s="10">
        <v>4</v>
      </c>
      <c r="E93" s="140">
        <v>1</v>
      </c>
      <c r="F93" s="141">
        <v>3.08</v>
      </c>
      <c r="G93" s="141">
        <f t="shared" si="3"/>
        <v>3.08</v>
      </c>
      <c r="H93" s="168" t="s">
        <v>220</v>
      </c>
      <c r="I93" s="144" t="s">
        <v>171</v>
      </c>
      <c r="J93" s="27">
        <v>10</v>
      </c>
      <c r="K93" s="10">
        <v>7991</v>
      </c>
      <c r="L93" s="68">
        <v>10642</v>
      </c>
      <c r="M93" s="129"/>
    </row>
    <row r="94" spans="1:13">
      <c r="A94" s="31" t="s">
        <v>160</v>
      </c>
      <c r="B94" s="1" t="s">
        <v>221</v>
      </c>
      <c r="D94" s="10">
        <v>4</v>
      </c>
      <c r="E94" s="140">
        <v>1</v>
      </c>
      <c r="F94" s="141">
        <v>5.61</v>
      </c>
      <c r="G94" s="141">
        <f t="shared" si="3"/>
        <v>5.61</v>
      </c>
      <c r="H94" s="168" t="s">
        <v>222</v>
      </c>
      <c r="I94" s="148" t="s">
        <v>171</v>
      </c>
      <c r="J94" s="27">
        <v>5</v>
      </c>
      <c r="K94" s="10"/>
      <c r="L94" s="68"/>
      <c r="M94" s="129"/>
    </row>
    <row r="95" spans="1:13">
      <c r="A95" s="31" t="s">
        <v>160</v>
      </c>
      <c r="B95" s="153" t="s">
        <v>223</v>
      </c>
      <c r="C95" s="154"/>
      <c r="D95" s="10">
        <v>42</v>
      </c>
      <c r="E95" s="140">
        <v>2</v>
      </c>
      <c r="F95" s="141">
        <v>1</v>
      </c>
      <c r="G95" s="141">
        <f t="shared" si="3"/>
        <v>2</v>
      </c>
      <c r="H95" s="167" t="s">
        <v>224</v>
      </c>
      <c r="I95" s="144" t="s">
        <v>171</v>
      </c>
      <c r="J95" s="27">
        <v>25</v>
      </c>
      <c r="K95" s="69">
        <v>934</v>
      </c>
      <c r="L95" s="70"/>
      <c r="M95" s="129"/>
    </row>
    <row r="96" spans="1:13">
      <c r="A96" s="31" t="s">
        <v>160</v>
      </c>
      <c r="B96" s="10" t="s">
        <v>225</v>
      </c>
      <c r="D96" s="10">
        <v>14</v>
      </c>
      <c r="E96" s="140">
        <v>2</v>
      </c>
      <c r="F96" s="141">
        <v>1</v>
      </c>
      <c r="G96" s="141">
        <f t="shared" si="3"/>
        <v>2</v>
      </c>
      <c r="H96" s="167" t="s">
        <v>226</v>
      </c>
      <c r="I96" s="144" t="s">
        <v>171</v>
      </c>
      <c r="J96" s="27">
        <v>10</v>
      </c>
      <c r="K96" s="10">
        <v>985</v>
      </c>
      <c r="L96" s="68">
        <v>10511</v>
      </c>
      <c r="M96" s="129"/>
    </row>
    <row r="97" spans="1:13">
      <c r="A97" s="31" t="s">
        <v>160</v>
      </c>
      <c r="B97" s="153" t="s">
        <v>227</v>
      </c>
      <c r="C97" s="154"/>
      <c r="D97" s="10">
        <v>185</v>
      </c>
      <c r="E97" s="140">
        <v>4</v>
      </c>
      <c r="F97" s="141">
        <v>2.67</v>
      </c>
      <c r="G97" s="141">
        <f t="shared" si="3"/>
        <v>10.68</v>
      </c>
      <c r="H97" s="167" t="s">
        <v>228</v>
      </c>
      <c r="I97" s="144" t="s">
        <v>171</v>
      </c>
      <c r="J97" s="27">
        <v>50</v>
      </c>
      <c r="K97" s="10">
        <v>125</v>
      </c>
      <c r="L97" s="68"/>
      <c r="M97" s="129"/>
    </row>
    <row r="98" spans="1:13">
      <c r="A98" s="31" t="s">
        <v>160</v>
      </c>
      <c r="B98" s="153" t="s">
        <v>229</v>
      </c>
      <c r="C98" s="154"/>
      <c r="D98" s="10">
        <v>170</v>
      </c>
      <c r="E98" s="140">
        <v>17</v>
      </c>
      <c r="F98" s="141">
        <v>2.42</v>
      </c>
      <c r="G98" s="141">
        <f t="shared" si="3"/>
        <v>41.14</v>
      </c>
      <c r="H98" s="168" t="s">
        <v>230</v>
      </c>
      <c r="I98" s="144" t="s">
        <v>171</v>
      </c>
      <c r="J98" s="27">
        <v>10</v>
      </c>
      <c r="K98" s="10"/>
      <c r="L98" s="68">
        <v>7380</v>
      </c>
      <c r="M98" s="129"/>
    </row>
    <row r="99" spans="1:13">
      <c r="A99" s="31" t="s">
        <v>160</v>
      </c>
      <c r="B99" s="153" t="s">
        <v>231</v>
      </c>
      <c r="C99" s="139"/>
      <c r="D99" s="10">
        <v>3</v>
      </c>
      <c r="E99" s="140">
        <v>1</v>
      </c>
      <c r="F99" s="141">
        <v>2.59</v>
      </c>
      <c r="G99" s="141">
        <f t="shared" si="3"/>
        <v>2.59</v>
      </c>
      <c r="H99" s="168" t="s">
        <v>232</v>
      </c>
      <c r="I99" s="144" t="s">
        <v>171</v>
      </c>
      <c r="J99" s="27">
        <v>10</v>
      </c>
      <c r="K99" s="69"/>
      <c r="L99" s="70">
        <v>7380</v>
      </c>
      <c r="M99" s="129"/>
    </row>
    <row r="100" spans="1:13">
      <c r="A100" s="31" t="s">
        <v>160</v>
      </c>
      <c r="B100" s="153" t="s">
        <v>233</v>
      </c>
      <c r="C100" s="154"/>
      <c r="D100" s="10">
        <v>6</v>
      </c>
      <c r="E100" s="140">
        <v>1</v>
      </c>
      <c r="F100" s="141">
        <v>2.75</v>
      </c>
      <c r="G100" s="141">
        <f t="shared" si="3"/>
        <v>2.75</v>
      </c>
      <c r="H100" s="168" t="s">
        <v>234</v>
      </c>
      <c r="I100" s="144" t="s">
        <v>171</v>
      </c>
      <c r="J100" s="27">
        <v>10</v>
      </c>
      <c r="K100" s="69">
        <v>912</v>
      </c>
      <c r="L100" s="70">
        <v>7380</v>
      </c>
      <c r="M100" s="129"/>
    </row>
    <row r="101" spans="1:13">
      <c r="A101" s="31" t="s">
        <v>160</v>
      </c>
      <c r="B101" s="10" t="s">
        <v>235</v>
      </c>
      <c r="C101" s="139"/>
      <c r="D101" s="157">
        <v>4</v>
      </c>
      <c r="E101" s="140">
        <v>1</v>
      </c>
      <c r="F101" s="141">
        <v>2.92</v>
      </c>
      <c r="G101" s="141">
        <f t="shared" si="3"/>
        <v>2.92</v>
      </c>
      <c r="H101" s="168" t="s">
        <v>236</v>
      </c>
      <c r="I101" s="144" t="s">
        <v>171</v>
      </c>
      <c r="J101" s="27">
        <v>10</v>
      </c>
      <c r="K101" s="10"/>
      <c r="L101" s="68">
        <v>7380</v>
      </c>
      <c r="M101" s="129"/>
    </row>
    <row r="102" spans="1:13">
      <c r="A102" s="31" t="s">
        <v>160</v>
      </c>
      <c r="B102" s="255" t="s">
        <v>237</v>
      </c>
      <c r="C102" s="156"/>
      <c r="D102" s="157">
        <v>5</v>
      </c>
      <c r="E102" s="140">
        <v>1</v>
      </c>
      <c r="F102" s="141">
        <v>2.92</v>
      </c>
      <c r="G102" s="141">
        <f t="shared" si="3"/>
        <v>2.92</v>
      </c>
      <c r="H102" s="168" t="s">
        <v>236</v>
      </c>
      <c r="I102" s="144" t="s">
        <v>171</v>
      </c>
      <c r="J102" s="27">
        <v>10</v>
      </c>
      <c r="K102" s="10">
        <v>933</v>
      </c>
      <c r="L102" s="68"/>
      <c r="M102" s="129"/>
    </row>
    <row r="103" spans="1:13" s="304" customFormat="1">
      <c r="A103" s="296" t="s">
        <v>160</v>
      </c>
      <c r="B103" s="297" t="s">
        <v>238</v>
      </c>
      <c r="C103" s="298"/>
      <c r="D103" s="297">
        <v>44</v>
      </c>
      <c r="E103" s="299">
        <v>5</v>
      </c>
      <c r="F103" s="300">
        <v>3.21</v>
      </c>
      <c r="G103" s="300">
        <f t="shared" ref="G103:G134" si="4">E103*F103</f>
        <v>16.05</v>
      </c>
      <c r="H103" s="301" t="s">
        <v>239</v>
      </c>
      <c r="I103" s="302" t="s">
        <v>171</v>
      </c>
      <c r="J103" s="303">
        <v>10</v>
      </c>
      <c r="K103" s="304">
        <v>933</v>
      </c>
      <c r="L103" s="305"/>
      <c r="M103" s="306" t="s">
        <v>240</v>
      </c>
    </row>
    <row r="104" spans="1:13" s="304" customFormat="1">
      <c r="A104" s="296" t="s">
        <v>160</v>
      </c>
      <c r="B104" s="297" t="s">
        <v>241</v>
      </c>
      <c r="C104" s="298"/>
      <c r="D104" s="297">
        <v>17</v>
      </c>
      <c r="E104" s="299">
        <v>2</v>
      </c>
      <c r="F104" s="300">
        <v>3.57</v>
      </c>
      <c r="G104" s="300">
        <f t="shared" si="4"/>
        <v>7.14</v>
      </c>
      <c r="H104" s="301" t="s">
        <v>242</v>
      </c>
      <c r="I104" s="302" t="s">
        <v>171</v>
      </c>
      <c r="J104" s="303">
        <v>10</v>
      </c>
      <c r="K104" s="304">
        <v>933</v>
      </c>
      <c r="L104" s="305"/>
      <c r="M104" s="306" t="s">
        <v>243</v>
      </c>
    </row>
    <row r="105" spans="1:13">
      <c r="A105" s="15" t="s">
        <v>160</v>
      </c>
      <c r="B105" s="136" t="s">
        <v>244</v>
      </c>
      <c r="C105" s="139"/>
      <c r="D105" s="10">
        <v>24</v>
      </c>
      <c r="E105" s="140">
        <v>3</v>
      </c>
      <c r="F105" s="141">
        <v>2.59</v>
      </c>
      <c r="G105" s="141">
        <f t="shared" si="4"/>
        <v>7.77</v>
      </c>
      <c r="H105" s="168" t="s">
        <v>245</v>
      </c>
      <c r="I105" s="144" t="s">
        <v>171</v>
      </c>
      <c r="J105" s="27">
        <v>10</v>
      </c>
      <c r="K105" s="69"/>
      <c r="L105" s="70">
        <v>7380</v>
      </c>
      <c r="M105" s="129"/>
    </row>
    <row r="106" spans="1:13">
      <c r="A106" s="15" t="s">
        <v>246</v>
      </c>
      <c r="B106" s="11" t="s">
        <v>247</v>
      </c>
      <c r="C106" s="139"/>
      <c r="D106" s="69">
        <v>2</v>
      </c>
      <c r="E106" s="140">
        <v>1</v>
      </c>
      <c r="F106" s="141">
        <v>7</v>
      </c>
      <c r="G106" s="141">
        <f t="shared" si="4"/>
        <v>7</v>
      </c>
      <c r="H106" s="168" t="s">
        <v>248</v>
      </c>
      <c r="I106" s="256" t="s">
        <v>249</v>
      </c>
      <c r="J106" s="27">
        <v>1</v>
      </c>
      <c r="K106" s="10"/>
      <c r="L106" s="68"/>
      <c r="M106" s="129"/>
    </row>
    <row r="107" spans="1:13">
      <c r="A107" s="15" t="s">
        <v>246</v>
      </c>
      <c r="B107" s="11" t="s">
        <v>250</v>
      </c>
      <c r="C107" s="139"/>
      <c r="D107" s="69">
        <v>3</v>
      </c>
      <c r="E107" s="140">
        <v>1</v>
      </c>
      <c r="F107" s="141">
        <v>6</v>
      </c>
      <c r="G107" s="141">
        <f t="shared" ref="G107" si="5">E107*F107</f>
        <v>6</v>
      </c>
      <c r="H107" s="168" t="s">
        <v>251</v>
      </c>
      <c r="I107" s="256" t="s">
        <v>249</v>
      </c>
      <c r="J107" s="27"/>
      <c r="K107" s="10"/>
      <c r="L107" s="68"/>
      <c r="M107" s="129"/>
    </row>
    <row r="108" spans="1:13">
      <c r="A108" s="135" t="s">
        <v>246</v>
      </c>
      <c r="B108" s="171" t="s">
        <v>252</v>
      </c>
      <c r="C108" s="172"/>
      <c r="D108" s="173">
        <v>3</v>
      </c>
      <c r="E108" s="174">
        <v>3</v>
      </c>
      <c r="F108" s="175">
        <v>16</v>
      </c>
      <c r="G108" s="175">
        <f t="shared" si="4"/>
        <v>48</v>
      </c>
      <c r="H108" s="168" t="s">
        <v>253</v>
      </c>
      <c r="I108" s="148" t="s">
        <v>249</v>
      </c>
      <c r="J108" s="27">
        <v>1</v>
      </c>
      <c r="K108" s="136"/>
      <c r="L108" s="137"/>
      <c r="M108" s="138"/>
    </row>
    <row r="109" spans="1:13">
      <c r="A109" s="15" t="s">
        <v>246</v>
      </c>
      <c r="B109" s="157" t="s">
        <v>254</v>
      </c>
      <c r="C109" s="156"/>
      <c r="D109" s="69">
        <v>6</v>
      </c>
      <c r="E109" s="140">
        <v>1</v>
      </c>
      <c r="F109" s="141">
        <v>20</v>
      </c>
      <c r="G109" s="141">
        <f t="shared" si="4"/>
        <v>20</v>
      </c>
      <c r="H109" s="168" t="s">
        <v>255</v>
      </c>
      <c r="I109" s="256" t="s">
        <v>249</v>
      </c>
      <c r="J109" s="27">
        <v>10</v>
      </c>
      <c r="K109" s="10"/>
      <c r="L109" s="68"/>
      <c r="M109" s="129"/>
    </row>
    <row r="110" spans="1:13">
      <c r="A110" s="15" t="s">
        <v>246</v>
      </c>
      <c r="B110" s="176" t="s">
        <v>256</v>
      </c>
      <c r="C110" s="139"/>
      <c r="D110" s="157">
        <v>10</v>
      </c>
      <c r="E110" s="140">
        <v>1</v>
      </c>
      <c r="F110" s="141">
        <v>40</v>
      </c>
      <c r="G110" s="141">
        <f t="shared" si="4"/>
        <v>40</v>
      </c>
      <c r="H110" s="168" t="s">
        <v>257</v>
      </c>
      <c r="I110" s="256" t="s">
        <v>249</v>
      </c>
      <c r="J110" s="27">
        <v>5</v>
      </c>
      <c r="K110" s="10"/>
      <c r="L110" s="68"/>
      <c r="M110" s="129"/>
    </row>
    <row r="111" spans="1:13">
      <c r="A111" s="15" t="s">
        <v>258</v>
      </c>
      <c r="B111" s="11" t="s">
        <v>259</v>
      </c>
      <c r="C111" s="151" t="s">
        <v>260</v>
      </c>
      <c r="D111" s="69">
        <v>36</v>
      </c>
      <c r="E111" s="140">
        <v>1</v>
      </c>
      <c r="F111" s="141">
        <v>60</v>
      </c>
      <c r="G111" s="141">
        <f t="shared" si="4"/>
        <v>60</v>
      </c>
      <c r="H111" s="169" t="s">
        <v>261</v>
      </c>
      <c r="I111" s="256" t="s">
        <v>262</v>
      </c>
      <c r="J111" s="27"/>
      <c r="K111" s="10"/>
      <c r="L111" s="68"/>
      <c r="M111" s="129"/>
    </row>
    <row r="112" spans="1:13" ht="15.75" thickBot="1">
      <c r="A112" s="15" t="s">
        <v>258</v>
      </c>
      <c r="B112" s="11" t="s">
        <v>263</v>
      </c>
      <c r="C112" s="164"/>
      <c r="D112" s="69">
        <v>5</v>
      </c>
      <c r="E112" s="140">
        <v>1</v>
      </c>
      <c r="F112" s="141">
        <v>9</v>
      </c>
      <c r="G112" s="141">
        <f t="shared" si="4"/>
        <v>9</v>
      </c>
      <c r="H112" s="167" t="s">
        <v>264</v>
      </c>
      <c r="I112" s="256" t="s">
        <v>265</v>
      </c>
      <c r="J112" s="27">
        <v>10</v>
      </c>
      <c r="K112" s="71"/>
      <c r="L112" s="68"/>
      <c r="M112" s="129"/>
    </row>
    <row r="113" spans="1:13" ht="15.75" thickBot="1">
      <c r="A113" s="15" t="s">
        <v>258</v>
      </c>
      <c r="B113" s="10" t="s">
        <v>266</v>
      </c>
      <c r="D113" s="69">
        <v>6</v>
      </c>
      <c r="E113" s="140">
        <v>1</v>
      </c>
      <c r="F113" s="141">
        <v>10.23</v>
      </c>
      <c r="G113" s="141">
        <f t="shared" si="4"/>
        <v>10.23</v>
      </c>
      <c r="H113" s="167" t="s">
        <v>267</v>
      </c>
      <c r="I113" s="142" t="s">
        <v>268</v>
      </c>
      <c r="J113" s="27">
        <v>6</v>
      </c>
      <c r="K113" s="71"/>
      <c r="L113" s="68"/>
      <c r="M113" s="129"/>
    </row>
    <row r="114" spans="1:13" ht="15.75" thickBot="1">
      <c r="A114" s="15" t="s">
        <v>258</v>
      </c>
      <c r="B114" s="10" t="s">
        <v>269</v>
      </c>
      <c r="D114" s="69">
        <v>6</v>
      </c>
      <c r="E114" s="140">
        <v>2</v>
      </c>
      <c r="F114" s="141">
        <v>2.04</v>
      </c>
      <c r="G114" s="141">
        <f t="shared" si="4"/>
        <v>4.08</v>
      </c>
      <c r="H114" s="169" t="s">
        <v>270</v>
      </c>
      <c r="I114" s="256" t="s">
        <v>171</v>
      </c>
      <c r="J114" s="27">
        <v>5</v>
      </c>
      <c r="K114" s="10"/>
      <c r="L114" s="68"/>
      <c r="M114" s="129"/>
    </row>
    <row r="115" spans="1:13" ht="15.75" thickBot="1">
      <c r="A115" s="31" t="s">
        <v>271</v>
      </c>
      <c r="B115" s="177" t="s">
        <v>272</v>
      </c>
      <c r="C115" s="178"/>
      <c r="D115" s="179">
        <v>3</v>
      </c>
      <c r="E115" s="140">
        <v>1</v>
      </c>
      <c r="F115" s="141">
        <v>9.42</v>
      </c>
      <c r="G115" s="141">
        <f t="shared" si="4"/>
        <v>9.42</v>
      </c>
      <c r="H115" s="152" t="s">
        <v>273</v>
      </c>
      <c r="I115" s="256" t="s">
        <v>274</v>
      </c>
      <c r="J115" s="27">
        <v>5</v>
      </c>
      <c r="K115" s="10"/>
      <c r="L115" s="68"/>
      <c r="M115" s="129"/>
    </row>
    <row r="116" spans="1:13" ht="15.75" thickBot="1">
      <c r="A116" s="31" t="s">
        <v>271</v>
      </c>
      <c r="B116" s="56" t="s">
        <v>275</v>
      </c>
      <c r="C116" s="164"/>
      <c r="D116" s="158">
        <v>1</v>
      </c>
      <c r="E116" s="140">
        <v>1</v>
      </c>
      <c r="F116" s="141">
        <v>12.69</v>
      </c>
      <c r="G116" s="141">
        <f t="shared" si="4"/>
        <v>12.69</v>
      </c>
      <c r="H116" s="167" t="s">
        <v>276</v>
      </c>
      <c r="I116" s="142" t="s">
        <v>277</v>
      </c>
      <c r="J116" s="27">
        <v>1</v>
      </c>
      <c r="K116" s="10"/>
      <c r="L116" s="68"/>
      <c r="M116" s="129"/>
    </row>
    <row r="117" spans="1:13" ht="15.75" thickBot="1">
      <c r="A117" s="31" t="s">
        <v>271</v>
      </c>
      <c r="B117" s="177" t="s">
        <v>278</v>
      </c>
      <c r="C117" s="178"/>
      <c r="D117" s="179">
        <v>6</v>
      </c>
      <c r="E117" s="140">
        <v>6</v>
      </c>
      <c r="F117" s="141">
        <v>2.23</v>
      </c>
      <c r="G117" s="141">
        <f t="shared" si="4"/>
        <v>13.379999999999999</v>
      </c>
      <c r="H117" s="167" t="s">
        <v>279</v>
      </c>
      <c r="I117" s="142" t="s">
        <v>280</v>
      </c>
      <c r="J117" s="27">
        <v>1</v>
      </c>
      <c r="K117" s="10"/>
      <c r="L117" s="68"/>
      <c r="M117" s="129"/>
    </row>
    <row r="118" spans="1:13" ht="15.75" thickBot="1">
      <c r="A118" s="15" t="s">
        <v>271</v>
      </c>
      <c r="B118" s="265" t="s">
        <v>281</v>
      </c>
      <c r="C118" s="180"/>
      <c r="D118" s="179">
        <v>1</v>
      </c>
      <c r="E118" s="140">
        <v>1</v>
      </c>
      <c r="F118" s="141">
        <v>30.61</v>
      </c>
      <c r="G118" s="141">
        <f t="shared" si="4"/>
        <v>30.61</v>
      </c>
      <c r="H118" s="152" t="s">
        <v>282</v>
      </c>
      <c r="I118" s="256" t="s">
        <v>283</v>
      </c>
      <c r="J118" s="27">
        <v>1</v>
      </c>
      <c r="K118" s="10"/>
      <c r="L118" s="68"/>
      <c r="M118" s="129"/>
    </row>
    <row r="119" spans="1:13" ht="15.75" thickBot="1">
      <c r="A119" s="15" t="s">
        <v>271</v>
      </c>
      <c r="B119" s="265" t="s">
        <v>284</v>
      </c>
      <c r="C119" s="180"/>
      <c r="D119" s="179">
        <v>1</v>
      </c>
      <c r="E119" s="140">
        <v>1</v>
      </c>
      <c r="F119" s="141">
        <v>13.87</v>
      </c>
      <c r="G119" s="141">
        <f t="shared" si="4"/>
        <v>13.87</v>
      </c>
      <c r="H119" s="197" t="s">
        <v>285</v>
      </c>
      <c r="I119" s="256"/>
      <c r="J119" s="27">
        <v>1</v>
      </c>
      <c r="K119" s="10"/>
      <c r="L119" s="68"/>
      <c r="M119" s="129" t="s">
        <v>286</v>
      </c>
    </row>
    <row r="120" spans="1:13" ht="15.75" thickBot="1">
      <c r="A120" s="31" t="s">
        <v>271</v>
      </c>
      <c r="B120" s="177" t="s">
        <v>287</v>
      </c>
      <c r="C120" s="178"/>
      <c r="D120" s="179">
        <v>1</v>
      </c>
      <c r="E120" s="140">
        <v>1</v>
      </c>
      <c r="F120" s="141">
        <v>44</v>
      </c>
      <c r="G120" s="141">
        <f t="shared" si="4"/>
        <v>44</v>
      </c>
      <c r="H120" s="152" t="s">
        <v>288</v>
      </c>
      <c r="I120" s="256" t="s">
        <v>289</v>
      </c>
      <c r="J120" s="27">
        <v>1</v>
      </c>
      <c r="K120" s="10"/>
      <c r="L120" s="68"/>
      <c r="M120" s="129"/>
    </row>
    <row r="121" spans="1:13" ht="15.75" thickBot="1">
      <c r="A121" s="31" t="s">
        <v>271</v>
      </c>
      <c r="B121" s="265" t="s">
        <v>290</v>
      </c>
      <c r="C121" s="180"/>
      <c r="D121" s="179">
        <v>1</v>
      </c>
      <c r="E121" s="140">
        <v>1</v>
      </c>
      <c r="F121" s="141">
        <v>30</v>
      </c>
      <c r="G121" s="141">
        <f t="shared" si="4"/>
        <v>30</v>
      </c>
      <c r="H121" s="152" t="s">
        <v>291</v>
      </c>
      <c r="I121" s="256" t="s">
        <v>289</v>
      </c>
      <c r="J121" s="27">
        <v>1</v>
      </c>
      <c r="K121" s="10"/>
      <c r="L121" s="68"/>
      <c r="M121" s="129"/>
    </row>
    <row r="122" spans="1:13" ht="15.75" thickBot="1">
      <c r="A122" s="31" t="s">
        <v>271</v>
      </c>
      <c r="B122" s="263" t="s">
        <v>292</v>
      </c>
      <c r="C122" s="139"/>
      <c r="D122" s="181">
        <v>2</v>
      </c>
      <c r="E122" s="140">
        <v>1</v>
      </c>
      <c r="F122" s="141">
        <v>3.49</v>
      </c>
      <c r="G122" s="141">
        <f t="shared" si="4"/>
        <v>3.49</v>
      </c>
      <c r="H122" s="167" t="s">
        <v>293</v>
      </c>
      <c r="I122" s="256" t="s">
        <v>294</v>
      </c>
      <c r="J122" s="27">
        <v>5</v>
      </c>
      <c r="K122" s="10"/>
      <c r="L122" s="68"/>
      <c r="M122" s="129"/>
    </row>
    <row r="123" spans="1:13" ht="15.75" thickBot="1">
      <c r="A123" s="31" t="s">
        <v>295</v>
      </c>
      <c r="B123" s="274" t="s">
        <v>296</v>
      </c>
      <c r="C123" s="182">
        <v>230</v>
      </c>
      <c r="D123" s="183">
        <v>4</v>
      </c>
      <c r="E123" s="140">
        <v>2</v>
      </c>
      <c r="F123" s="141">
        <v>4</v>
      </c>
      <c r="G123" s="141">
        <f t="shared" si="4"/>
        <v>8</v>
      </c>
      <c r="H123" s="169" t="s">
        <v>297</v>
      </c>
      <c r="I123" s="264" t="s">
        <v>298</v>
      </c>
      <c r="J123" s="27">
        <v>1</v>
      </c>
      <c r="K123" s="10"/>
      <c r="L123" s="68"/>
      <c r="M123" s="129"/>
    </row>
    <row r="124" spans="1:13" ht="15.75" thickBot="1">
      <c r="A124" s="31" t="s">
        <v>295</v>
      </c>
      <c r="B124" s="255" t="s">
        <v>299</v>
      </c>
      <c r="C124" s="156">
        <v>410</v>
      </c>
      <c r="D124" s="157">
        <v>1</v>
      </c>
      <c r="E124" s="140">
        <v>1</v>
      </c>
      <c r="F124" s="141">
        <v>4.07</v>
      </c>
      <c r="G124" s="141">
        <f t="shared" si="4"/>
        <v>4.07</v>
      </c>
      <c r="H124" s="169" t="s">
        <v>300</v>
      </c>
      <c r="I124" s="264" t="s">
        <v>298</v>
      </c>
      <c r="J124" s="27">
        <v>1</v>
      </c>
      <c r="K124" s="10"/>
      <c r="L124" s="68"/>
      <c r="M124" s="129"/>
    </row>
    <row r="125" spans="1:13" s="12" customFormat="1" ht="16.5" thickBot="1">
      <c r="A125" s="15" t="s">
        <v>295</v>
      </c>
      <c r="B125" s="26" t="s">
        <v>301</v>
      </c>
      <c r="C125" s="267" t="s">
        <v>302</v>
      </c>
      <c r="D125" s="13">
        <v>2</v>
      </c>
      <c r="E125" s="140">
        <v>2</v>
      </c>
      <c r="F125" s="141">
        <v>9.7200000000000006</v>
      </c>
      <c r="G125" s="141">
        <f t="shared" si="4"/>
        <v>19.440000000000001</v>
      </c>
      <c r="H125" s="152" t="s">
        <v>303</v>
      </c>
      <c r="I125" s="264" t="s">
        <v>298</v>
      </c>
      <c r="J125" s="27">
        <v>1</v>
      </c>
      <c r="K125" s="10"/>
      <c r="L125" s="68"/>
      <c r="M125" s="130"/>
    </row>
    <row r="126" spans="1:13" s="12" customFormat="1" ht="16.5" thickBot="1">
      <c r="A126" s="31" t="s">
        <v>295</v>
      </c>
      <c r="B126" s="10" t="s">
        <v>304</v>
      </c>
      <c r="C126" s="139"/>
      <c r="D126" s="184">
        <v>2</v>
      </c>
      <c r="E126" s="140">
        <v>1</v>
      </c>
      <c r="F126" s="141">
        <v>14.96</v>
      </c>
      <c r="G126" s="141">
        <f t="shared" si="4"/>
        <v>14.96</v>
      </c>
      <c r="H126" s="169" t="s">
        <v>305</v>
      </c>
      <c r="I126" s="256" t="s">
        <v>163</v>
      </c>
      <c r="J126" s="27">
        <v>10</v>
      </c>
      <c r="K126" s="10"/>
      <c r="L126" s="68"/>
      <c r="M126" s="130"/>
    </row>
    <row r="127" spans="1:13" s="12" customFormat="1" ht="16.5" thickBot="1">
      <c r="A127" s="15" t="s">
        <v>295</v>
      </c>
      <c r="B127" s="11" t="s">
        <v>306</v>
      </c>
      <c r="C127" s="185">
        <v>420</v>
      </c>
      <c r="D127" s="10">
        <v>1</v>
      </c>
      <c r="E127" s="140">
        <v>1</v>
      </c>
      <c r="F127" s="141">
        <v>12</v>
      </c>
      <c r="G127" s="141">
        <f t="shared" si="4"/>
        <v>12</v>
      </c>
      <c r="H127" s="169" t="s">
        <v>307</v>
      </c>
      <c r="I127" s="256" t="s">
        <v>308</v>
      </c>
      <c r="J127" s="27">
        <v>1</v>
      </c>
      <c r="K127" s="10"/>
      <c r="L127" s="68"/>
      <c r="M127" s="130"/>
    </row>
    <row r="128" spans="1:13" s="12" customFormat="1" ht="16.5" thickBot="1">
      <c r="A128" s="15" t="s">
        <v>295</v>
      </c>
      <c r="B128" s="11" t="s">
        <v>309</v>
      </c>
      <c r="C128" s="185">
        <v>368</v>
      </c>
      <c r="D128" s="10">
        <v>1</v>
      </c>
      <c r="E128" s="140">
        <v>1</v>
      </c>
      <c r="F128" s="141">
        <v>11</v>
      </c>
      <c r="G128" s="141">
        <f t="shared" si="4"/>
        <v>11</v>
      </c>
      <c r="H128" s="169" t="s">
        <v>310</v>
      </c>
      <c r="I128" s="256" t="s">
        <v>308</v>
      </c>
      <c r="J128" s="27">
        <v>1</v>
      </c>
      <c r="K128" s="10"/>
      <c r="L128" s="68"/>
      <c r="M128" s="130"/>
    </row>
    <row r="129" spans="1:13" s="12" customFormat="1" ht="16.5" thickBot="1">
      <c r="A129" s="15" t="s">
        <v>295</v>
      </c>
      <c r="B129" s="11" t="s">
        <v>311</v>
      </c>
      <c r="C129" s="185">
        <v>172</v>
      </c>
      <c r="D129" s="10">
        <v>1</v>
      </c>
      <c r="E129" s="140">
        <v>1</v>
      </c>
      <c r="F129" s="141">
        <v>9</v>
      </c>
      <c r="G129" s="141">
        <f t="shared" si="4"/>
        <v>9</v>
      </c>
      <c r="H129" s="169" t="s">
        <v>312</v>
      </c>
      <c r="I129" s="256" t="s">
        <v>308</v>
      </c>
      <c r="J129" s="27">
        <v>1</v>
      </c>
      <c r="K129" s="10"/>
      <c r="L129" s="68"/>
      <c r="M129" s="130"/>
    </row>
    <row r="130" spans="1:13" s="12" customFormat="1" ht="16.5" thickBot="1">
      <c r="A130" s="15" t="s">
        <v>295</v>
      </c>
      <c r="B130" s="11" t="s">
        <v>313</v>
      </c>
      <c r="C130" s="185">
        <v>420</v>
      </c>
      <c r="D130" s="10">
        <v>4</v>
      </c>
      <c r="E130" s="140">
        <v>4</v>
      </c>
      <c r="F130" s="141">
        <v>15</v>
      </c>
      <c r="G130" s="141">
        <f t="shared" si="4"/>
        <v>60</v>
      </c>
      <c r="H130" s="169" t="s">
        <v>314</v>
      </c>
      <c r="I130" s="256" t="s">
        <v>308</v>
      </c>
      <c r="J130" s="27">
        <v>1</v>
      </c>
      <c r="K130" s="10"/>
      <c r="L130" s="68"/>
      <c r="M130" s="130"/>
    </row>
    <row r="131" spans="1:13" s="12" customFormat="1" ht="16.5" thickBot="1">
      <c r="A131" s="15" t="s">
        <v>295</v>
      </c>
      <c r="B131" s="11" t="s">
        <v>315</v>
      </c>
      <c r="C131" s="185">
        <v>480</v>
      </c>
      <c r="D131" s="10">
        <v>4</v>
      </c>
      <c r="E131" s="140">
        <v>4</v>
      </c>
      <c r="F131" s="141">
        <v>16</v>
      </c>
      <c r="G131" s="141">
        <f t="shared" si="4"/>
        <v>64</v>
      </c>
      <c r="H131" s="169" t="s">
        <v>316</v>
      </c>
      <c r="I131" s="256" t="s">
        <v>308</v>
      </c>
      <c r="J131" s="27">
        <v>1</v>
      </c>
      <c r="K131" s="10"/>
      <c r="L131" s="68"/>
      <c r="M131" s="130"/>
    </row>
    <row r="132" spans="1:13" s="12" customFormat="1" ht="16.5" thickBot="1">
      <c r="A132" s="15" t="s">
        <v>295</v>
      </c>
      <c r="B132" s="11" t="s">
        <v>317</v>
      </c>
      <c r="C132" s="185">
        <v>750</v>
      </c>
      <c r="D132" s="10">
        <v>4</v>
      </c>
      <c r="E132" s="140">
        <v>4</v>
      </c>
      <c r="F132" s="141">
        <v>40</v>
      </c>
      <c r="G132" s="141">
        <f t="shared" si="4"/>
        <v>160</v>
      </c>
      <c r="H132" s="169" t="s">
        <v>318</v>
      </c>
      <c r="I132" s="256" t="s">
        <v>308</v>
      </c>
      <c r="J132" s="27">
        <v>1</v>
      </c>
      <c r="K132" s="10"/>
      <c r="L132" s="68"/>
      <c r="M132" s="130"/>
    </row>
    <row r="133" spans="1:13" s="12" customFormat="1" ht="16.5" thickBot="1">
      <c r="A133" s="31" t="s">
        <v>295</v>
      </c>
      <c r="B133" s="11" t="s">
        <v>319</v>
      </c>
      <c r="C133" s="139"/>
      <c r="D133" s="158">
        <v>34</v>
      </c>
      <c r="E133" s="140">
        <v>4</v>
      </c>
      <c r="F133" s="141">
        <v>5.49</v>
      </c>
      <c r="G133" s="141">
        <f t="shared" si="4"/>
        <v>21.96</v>
      </c>
      <c r="H133" s="169" t="s">
        <v>320</v>
      </c>
      <c r="I133" s="256" t="s">
        <v>321</v>
      </c>
      <c r="J133" s="27">
        <v>10</v>
      </c>
      <c r="K133" s="10"/>
      <c r="L133" s="68"/>
      <c r="M133" s="130"/>
    </row>
    <row r="134" spans="1:13" s="12" customFormat="1" ht="16.5" thickBot="1">
      <c r="A134" s="15" t="s">
        <v>295</v>
      </c>
      <c r="B134" s="41" t="s">
        <v>322</v>
      </c>
      <c r="C134" s="163" t="s">
        <v>323</v>
      </c>
      <c r="D134" s="56">
        <v>1</v>
      </c>
      <c r="E134" s="140">
        <v>1</v>
      </c>
      <c r="F134" s="186">
        <v>100</v>
      </c>
      <c r="G134" s="141">
        <f t="shared" si="4"/>
        <v>100</v>
      </c>
      <c r="H134" s="187" t="s">
        <v>324</v>
      </c>
      <c r="I134" s="256" t="s">
        <v>325</v>
      </c>
      <c r="J134" s="27">
        <v>1</v>
      </c>
      <c r="K134" s="10"/>
      <c r="L134" s="68"/>
      <c r="M134" s="130"/>
    </row>
    <row r="135" spans="1:13" s="12" customFormat="1" ht="16.5" thickBot="1">
      <c r="A135" s="15" t="s">
        <v>295</v>
      </c>
      <c r="B135" s="11" t="s">
        <v>326</v>
      </c>
      <c r="C135" s="139">
        <v>286</v>
      </c>
      <c r="D135" s="158">
        <v>2</v>
      </c>
      <c r="E135" s="140">
        <v>1</v>
      </c>
      <c r="F135" s="141">
        <v>18</v>
      </c>
      <c r="G135" s="141">
        <f t="shared" ref="G135:G152" si="6">E135*F135</f>
        <v>18</v>
      </c>
      <c r="H135" s="167" t="s">
        <v>327</v>
      </c>
      <c r="I135" s="256" t="s">
        <v>328</v>
      </c>
      <c r="J135" s="27">
        <v>2</v>
      </c>
      <c r="K135" s="10"/>
      <c r="L135" s="68"/>
      <c r="M135" s="130"/>
    </row>
    <row r="136" spans="1:13" s="12" customFormat="1" ht="15.75">
      <c r="A136" s="15" t="s">
        <v>329</v>
      </c>
      <c r="B136" s="255" t="s">
        <v>330</v>
      </c>
      <c r="C136" s="156"/>
      <c r="D136" s="69">
        <v>6</v>
      </c>
      <c r="E136" s="140">
        <v>1</v>
      </c>
      <c r="F136" s="141">
        <v>14</v>
      </c>
      <c r="G136" s="141">
        <f t="shared" si="6"/>
        <v>14</v>
      </c>
      <c r="H136" s="167" t="s">
        <v>331</v>
      </c>
      <c r="I136" s="256" t="s">
        <v>332</v>
      </c>
      <c r="J136" s="27">
        <v>40</v>
      </c>
      <c r="K136" s="69"/>
      <c r="L136" s="70"/>
      <c r="M136" s="294" t="s">
        <v>333</v>
      </c>
    </row>
    <row r="137" spans="1:13" s="12" customFormat="1" ht="15.75">
      <c r="A137" s="15" t="s">
        <v>329</v>
      </c>
      <c r="B137" s="255" t="s">
        <v>334</v>
      </c>
      <c r="C137" s="156"/>
      <c r="D137" s="69">
        <v>3</v>
      </c>
      <c r="E137" s="140">
        <v>1</v>
      </c>
      <c r="F137" s="141">
        <v>14</v>
      </c>
      <c r="G137" s="141">
        <f>E137*F137</f>
        <v>14</v>
      </c>
      <c r="H137" s="167" t="s">
        <v>335</v>
      </c>
      <c r="I137" s="256" t="s">
        <v>332</v>
      </c>
      <c r="J137" s="27">
        <v>40</v>
      </c>
      <c r="K137" s="69"/>
      <c r="L137" s="70"/>
      <c r="M137" s="293"/>
    </row>
    <row r="138" spans="1:13" s="12" customFormat="1" ht="15.75">
      <c r="A138" s="31" t="s">
        <v>329</v>
      </c>
      <c r="B138" s="255" t="s">
        <v>336</v>
      </c>
      <c r="C138" s="139"/>
      <c r="D138" s="69">
        <v>6</v>
      </c>
      <c r="E138" s="140">
        <v>1</v>
      </c>
      <c r="F138" s="141">
        <v>11.78</v>
      </c>
      <c r="G138" s="141">
        <f t="shared" si="6"/>
        <v>11.78</v>
      </c>
      <c r="H138" s="167" t="s">
        <v>337</v>
      </c>
      <c r="I138" s="256" t="s">
        <v>332</v>
      </c>
      <c r="J138" s="27">
        <v>20</v>
      </c>
      <c r="K138" s="69"/>
      <c r="L138" s="70"/>
      <c r="M138" s="130"/>
    </row>
    <row r="139" spans="1:13" s="12" customFormat="1" ht="16.5" thickBot="1">
      <c r="A139" s="15" t="s">
        <v>329</v>
      </c>
      <c r="B139" s="255" t="s">
        <v>338</v>
      </c>
      <c r="C139" s="156"/>
      <c r="D139" s="69">
        <v>4</v>
      </c>
      <c r="E139" s="140">
        <v>1</v>
      </c>
      <c r="F139" s="141">
        <v>10.08</v>
      </c>
      <c r="G139" s="141">
        <f t="shared" si="6"/>
        <v>10.08</v>
      </c>
      <c r="H139" s="167" t="s">
        <v>339</v>
      </c>
      <c r="I139" s="256" t="s">
        <v>332</v>
      </c>
      <c r="J139" s="27">
        <v>20</v>
      </c>
      <c r="K139" s="69"/>
      <c r="L139" s="70"/>
      <c r="M139" s="130"/>
    </row>
    <row r="140" spans="1:13" s="12" customFormat="1" ht="16.5" thickBot="1">
      <c r="A140" s="15" t="s">
        <v>329</v>
      </c>
      <c r="B140" s="255" t="s">
        <v>340</v>
      </c>
      <c r="C140" s="156"/>
      <c r="D140" s="69">
        <v>8</v>
      </c>
      <c r="E140" s="140">
        <v>1</v>
      </c>
      <c r="F140" s="141">
        <v>12.42</v>
      </c>
      <c r="G140" s="141">
        <f t="shared" si="6"/>
        <v>12.42</v>
      </c>
      <c r="H140" s="167" t="s">
        <v>341</v>
      </c>
      <c r="I140" s="256" t="s">
        <v>332</v>
      </c>
      <c r="J140" s="27">
        <v>20</v>
      </c>
      <c r="K140" s="69"/>
      <c r="L140" s="70"/>
      <c r="M140" s="130"/>
    </row>
    <row r="141" spans="1:13" s="12" customFormat="1" ht="16.5" thickBot="1">
      <c r="A141" s="15" t="s">
        <v>329</v>
      </c>
      <c r="B141" s="11" t="s">
        <v>342</v>
      </c>
      <c r="C141" s="78"/>
      <c r="D141" s="69">
        <v>1</v>
      </c>
      <c r="E141" s="140">
        <v>1</v>
      </c>
      <c r="F141" s="141">
        <v>2.84</v>
      </c>
      <c r="G141" s="141">
        <f t="shared" si="6"/>
        <v>2.84</v>
      </c>
      <c r="H141" s="152" t="s">
        <v>343</v>
      </c>
      <c r="I141" s="142" t="s">
        <v>171</v>
      </c>
      <c r="J141" s="27">
        <v>10</v>
      </c>
      <c r="K141" s="69"/>
      <c r="L141" s="70"/>
      <c r="M141" s="130"/>
    </row>
    <row r="142" spans="1:13" s="12" customFormat="1" ht="16.5" thickBot="1">
      <c r="A142" s="15" t="s">
        <v>329</v>
      </c>
      <c r="B142" s="11" t="s">
        <v>344</v>
      </c>
      <c r="C142" s="151">
        <v>400</v>
      </c>
      <c r="D142" s="69">
        <v>1</v>
      </c>
      <c r="E142" s="140">
        <v>1</v>
      </c>
      <c r="F142" s="141">
        <v>5.92</v>
      </c>
      <c r="G142" s="141">
        <f t="shared" si="6"/>
        <v>5.92</v>
      </c>
      <c r="H142" s="167" t="s">
        <v>345</v>
      </c>
      <c r="I142" s="256" t="s">
        <v>346</v>
      </c>
      <c r="J142" s="27">
        <v>1</v>
      </c>
      <c r="K142" s="69"/>
      <c r="L142" s="70"/>
      <c r="M142" s="130"/>
    </row>
    <row r="143" spans="1:13" s="12" customFormat="1" ht="16.5" thickBot="1">
      <c r="A143" s="15" t="s">
        <v>347</v>
      </c>
      <c r="B143" s="11" t="s">
        <v>348</v>
      </c>
      <c r="C143" s="139"/>
      <c r="D143" s="69">
        <v>2</v>
      </c>
      <c r="E143" s="140">
        <v>1</v>
      </c>
      <c r="F143" s="141">
        <v>12.84</v>
      </c>
      <c r="G143" s="141">
        <f t="shared" si="6"/>
        <v>12.84</v>
      </c>
      <c r="H143" s="167" t="s">
        <v>349</v>
      </c>
      <c r="I143" s="149" t="s">
        <v>350</v>
      </c>
      <c r="J143" s="27">
        <v>10</v>
      </c>
      <c r="K143" s="71"/>
      <c r="L143" s="68"/>
      <c r="M143" s="130"/>
    </row>
    <row r="144" spans="1:13" s="12" customFormat="1" ht="16.5" thickBot="1">
      <c r="A144" s="15" t="s">
        <v>351</v>
      </c>
      <c r="B144" s="263" t="s">
        <v>352</v>
      </c>
      <c r="C144" s="164"/>
      <c r="D144" s="158">
        <v>1</v>
      </c>
      <c r="E144" s="140">
        <v>1</v>
      </c>
      <c r="F144" s="141">
        <v>35.42</v>
      </c>
      <c r="G144" s="141">
        <f t="shared" si="6"/>
        <v>35.42</v>
      </c>
      <c r="H144" s="167" t="s">
        <v>353</v>
      </c>
      <c r="I144" s="256" t="s">
        <v>354</v>
      </c>
      <c r="J144" s="27">
        <v>1</v>
      </c>
      <c r="K144" s="10"/>
      <c r="L144" s="68"/>
      <c r="M144" s="130"/>
    </row>
    <row r="145" spans="1:13" s="12" customFormat="1" ht="16.5" thickBot="1">
      <c r="A145" s="15" t="s">
        <v>351</v>
      </c>
      <c r="B145" s="263" t="s">
        <v>355</v>
      </c>
      <c r="C145" s="139"/>
      <c r="D145" s="56">
        <v>1</v>
      </c>
      <c r="E145" s="140">
        <v>1</v>
      </c>
      <c r="F145" s="141">
        <v>3.95</v>
      </c>
      <c r="G145" s="141">
        <f t="shared" si="6"/>
        <v>3.95</v>
      </c>
      <c r="H145" s="167" t="s">
        <v>356</v>
      </c>
      <c r="I145" s="256" t="s">
        <v>357</v>
      </c>
      <c r="J145" s="94"/>
      <c r="K145" s="10"/>
      <c r="L145" s="68"/>
      <c r="M145" s="130"/>
    </row>
    <row r="146" spans="1:13" s="12" customFormat="1" ht="16.5" thickBot="1">
      <c r="A146" s="15" t="s">
        <v>351</v>
      </c>
      <c r="B146" s="1" t="s">
        <v>358</v>
      </c>
      <c r="C146" s="139"/>
      <c r="D146" s="158">
        <v>1</v>
      </c>
      <c r="E146" s="140">
        <v>1</v>
      </c>
      <c r="F146" s="141">
        <v>10</v>
      </c>
      <c r="G146" s="141">
        <f t="shared" si="6"/>
        <v>10</v>
      </c>
      <c r="H146" s="167" t="s">
        <v>359</v>
      </c>
      <c r="I146" s="146" t="s">
        <v>360</v>
      </c>
      <c r="J146" s="27">
        <v>5</v>
      </c>
      <c r="K146" s="10"/>
      <c r="L146" s="68"/>
      <c r="M146" s="130"/>
    </row>
    <row r="147" spans="1:13" s="12" customFormat="1" ht="16.5" thickBot="1">
      <c r="A147" s="15" t="s">
        <v>351</v>
      </c>
      <c r="B147" s="1" t="s">
        <v>361</v>
      </c>
      <c r="C147" s="188"/>
      <c r="D147" s="13">
        <v>1</v>
      </c>
      <c r="E147" s="13">
        <v>1</v>
      </c>
      <c r="F147" s="141">
        <v>18</v>
      </c>
      <c r="G147" s="141">
        <f t="shared" si="6"/>
        <v>18</v>
      </c>
      <c r="H147" s="167" t="s">
        <v>362</v>
      </c>
      <c r="I147" s="256" t="s">
        <v>33</v>
      </c>
      <c r="J147" s="27">
        <v>1</v>
      </c>
      <c r="K147" s="10"/>
      <c r="L147" s="68"/>
      <c r="M147" s="130"/>
    </row>
    <row r="148" spans="1:13" s="12" customFormat="1" ht="16.5" thickBot="1">
      <c r="A148" s="15" t="s">
        <v>351</v>
      </c>
      <c r="B148" s="65" t="s">
        <v>363</v>
      </c>
      <c r="C148" s="139"/>
      <c r="D148" s="158">
        <v>1</v>
      </c>
      <c r="E148" s="140">
        <v>1</v>
      </c>
      <c r="F148" s="141">
        <v>1.48</v>
      </c>
      <c r="G148" s="141">
        <f t="shared" si="6"/>
        <v>1.48</v>
      </c>
      <c r="H148" s="167" t="s">
        <v>364</v>
      </c>
      <c r="I148" s="256" t="s">
        <v>33</v>
      </c>
      <c r="J148" s="27">
        <v>1</v>
      </c>
      <c r="K148" s="10"/>
      <c r="L148" s="68"/>
      <c r="M148" s="130"/>
    </row>
    <row r="149" spans="1:13" s="12" customFormat="1" ht="16.5" thickBot="1">
      <c r="A149" s="15" t="s">
        <v>351</v>
      </c>
      <c r="B149" s="66" t="s">
        <v>365</v>
      </c>
      <c r="C149" s="139"/>
      <c r="D149" s="158">
        <v>1</v>
      </c>
      <c r="E149" s="140">
        <v>1</v>
      </c>
      <c r="F149" s="141">
        <v>2.17</v>
      </c>
      <c r="G149" s="141">
        <f t="shared" si="6"/>
        <v>2.17</v>
      </c>
      <c r="H149" s="167" t="s">
        <v>366</v>
      </c>
      <c r="I149" s="256" t="s">
        <v>33</v>
      </c>
      <c r="J149" s="27">
        <v>1</v>
      </c>
      <c r="K149" s="10"/>
      <c r="L149" s="68"/>
      <c r="M149" s="130"/>
    </row>
    <row r="150" spans="1:13" s="12" customFormat="1" ht="16.5" thickBot="1">
      <c r="A150" s="15" t="s">
        <v>351</v>
      </c>
      <c r="B150" s="11" t="s">
        <v>367</v>
      </c>
      <c r="C150" s="139"/>
      <c r="D150" s="158">
        <v>1</v>
      </c>
      <c r="E150" s="140">
        <v>1</v>
      </c>
      <c r="F150" s="141">
        <v>10.62</v>
      </c>
      <c r="G150" s="141">
        <f t="shared" si="6"/>
        <v>10.62</v>
      </c>
      <c r="H150" s="167" t="s">
        <v>368</v>
      </c>
      <c r="I150" s="147" t="s">
        <v>33</v>
      </c>
      <c r="J150" s="27">
        <v>1</v>
      </c>
      <c r="K150" s="10"/>
      <c r="L150" s="68"/>
      <c r="M150" s="130"/>
    </row>
    <row r="151" spans="1:13" s="12" customFormat="1" ht="16.5" thickBot="1">
      <c r="A151" s="15" t="s">
        <v>351</v>
      </c>
      <c r="B151" s="11" t="s">
        <v>369</v>
      </c>
      <c r="C151" s="139"/>
      <c r="D151" s="158">
        <v>1</v>
      </c>
      <c r="E151" s="140">
        <v>1</v>
      </c>
      <c r="F151" s="141">
        <v>48</v>
      </c>
      <c r="G151" s="141">
        <f t="shared" si="6"/>
        <v>48</v>
      </c>
      <c r="H151" s="167" t="s">
        <v>370</v>
      </c>
      <c r="I151" s="256" t="s">
        <v>371</v>
      </c>
      <c r="J151" s="27">
        <v>1</v>
      </c>
      <c r="K151" s="10"/>
      <c r="L151" s="68"/>
      <c r="M151" s="130"/>
    </row>
    <row r="152" spans="1:13" ht="15.75" thickBot="1">
      <c r="A152" s="189" t="s">
        <v>351</v>
      </c>
      <c r="B152" s="190" t="s">
        <v>372</v>
      </c>
      <c r="C152" s="191"/>
      <c r="D152" s="192">
        <v>1</v>
      </c>
      <c r="E152" s="193">
        <v>1</v>
      </c>
      <c r="F152" s="194">
        <v>68</v>
      </c>
      <c r="G152" s="194">
        <f t="shared" si="6"/>
        <v>68</v>
      </c>
      <c r="H152" s="195" t="s">
        <v>373</v>
      </c>
      <c r="I152" s="150" t="s">
        <v>374</v>
      </c>
      <c r="J152" s="80">
        <v>1</v>
      </c>
      <c r="K152" s="72"/>
      <c r="L152" s="73"/>
      <c r="M152" s="129"/>
    </row>
    <row r="153" spans="1:13" ht="16.5" thickBot="1">
      <c r="A153" s="32"/>
      <c r="B153" s="33" t="s">
        <v>375</v>
      </c>
      <c r="C153" s="79"/>
      <c r="D153" s="33"/>
      <c r="E153" s="33"/>
      <c r="F153" s="34"/>
      <c r="G153" s="35">
        <f>SUBTOTAL(109,Table1321[*Cost Price $USD])</f>
        <v>2381.4700000000007</v>
      </c>
      <c r="H153" s="196" t="s">
        <v>376</v>
      </c>
      <c r="I153" s="77"/>
      <c r="J153" s="74"/>
      <c r="K153" s="75"/>
      <c r="L153" s="76"/>
    </row>
    <row r="154" spans="1:13">
      <c r="G154" s="11"/>
      <c r="K154" s="275"/>
    </row>
    <row r="155" spans="1:13">
      <c r="K155" s="275"/>
    </row>
    <row r="156" spans="1:13">
      <c r="K156" s="275"/>
    </row>
  </sheetData>
  <hyperlinks>
    <hyperlink ref="J10" r:id="rId1" display="Color: Buffer 14inch 35cm" xr:uid="{A45C1E65-4D2C-4E50-A96D-C3609389891E}"/>
    <hyperlink ref="J117" r:id="rId2" display="https://s.click.aliexpress.com/e/_c3L3d1ir" xr:uid="{AEFB707D-A1AE-4EFB-B9AF-075A426325F3}"/>
    <hyperlink ref="H110" r:id="rId3" display="W: 9mm-EPDM L: 5M" xr:uid="{8547EB01-111D-4369-8F6F-6D71E163457E}"/>
    <hyperlink ref="H9" r:id="rId4" xr:uid="{DCB991D1-6060-4115-8549-0F88BF037265}"/>
    <hyperlink ref="H68" r:id="rId5" xr:uid="{27E41D46-C6ED-4D48-B23F-D522BD1B8CAD}"/>
    <hyperlink ref="H12:H13" r:id="rId6" display="https://www.aliexpress.com/item/1005010042779749.html" xr:uid="{83FF34FE-EF9B-4920-90F5-2E0883376D67}"/>
    <hyperlink ref="H113" r:id="rId7" display="Color: 6PCS" xr:uid="{83110E66-78FF-482A-A936-8F1BF7578A3C}"/>
    <hyperlink ref="H67" r:id="rId8" xr:uid="{165F55F9-93B5-4C34-AB3E-2D5640BE01F4}"/>
    <hyperlink ref="H10" r:id="rId9" display="https://www.aliexpress.com/item/4001085251691.html" xr:uid="{6FC7652C-4336-480C-B2E7-E04728B15743}"/>
    <hyperlink ref="H4" r:id="rId10" display="688ZZ" xr:uid="{E47035C0-0384-4F36-8610-B86A56A6353C}"/>
    <hyperlink ref="H3" r:id="rId11" display="F606ZZ" xr:uid="{7A42191B-CFDD-4A32-8150-88F26E71C9AC}"/>
    <hyperlink ref="H8" r:id="rId12" xr:uid="{79950C8E-6C0D-43A7-9D36-8F08E49E0336}"/>
    <hyperlink ref="H144" r:id="rId13" xr:uid="{96A70493-75D0-4733-A3CA-6179A33F98AC}"/>
    <hyperlink ref="H21" r:id="rId14" xr:uid="{87783477-33AB-4F63-96D6-84FFA77C3655}"/>
    <hyperlink ref="H116" r:id="rId15" display="C: 30x30" xr:uid="{606973F0-66B4-48E0-9052-7FF9AC915346}"/>
    <hyperlink ref="H31" r:id="rId16" xr:uid="{9E6D60F7-4FD8-4383-A6FD-19E6F8255EF5}"/>
    <hyperlink ref="H135" r:id="rId17" display="https://s.click.aliexpress.com/e/_c3suoWc5" xr:uid="{171176F6-4231-406A-9168-9A596B642215}"/>
    <hyperlink ref="H122" r:id="rId18" xr:uid="{0241C0AB-3D65-413B-8BA6-3B272D19AC35}"/>
    <hyperlink ref="H56" r:id="rId19" xr:uid="{52ADCB77-FF0E-42E8-AC3C-EF1C337A8CEE}"/>
    <hyperlink ref="H5" r:id="rId20" display="Color: L400 - MGN12H" xr:uid="{38BCC57D-FD03-4471-B927-A7E12E3DB518}"/>
    <hyperlink ref="H6" r:id="rId21" display="Color: L400 - MGN12H" xr:uid="{BD6A1B04-1DB5-4668-9226-2B16CD7A0FF8}"/>
    <hyperlink ref="H7" r:id="rId22" display="Color: L400 - MGN12H" xr:uid="{84FFEA79-873A-463E-9519-EA26805DD99E}"/>
    <hyperlink ref="H54" r:id="rId23" display="Color: 17HS19-2504S-H-V1" xr:uid="{63EC9369-3A56-4A55-ADB6-E63DA70C5687}"/>
    <hyperlink ref="H53" r:id="rId24" display="Color: 17HS16 2004S1" xr:uid="{982DA236-4666-4A0F-ABF1-9B4663B545D1}"/>
    <hyperlink ref="H69" r:id="rId25" display="M6x12x1mm -50PCS" xr:uid="{A89E7AD8-F920-4AF5-B677-81DF07FB2B6D}"/>
    <hyperlink ref="H2" r:id="rId26" display="688ZZ" xr:uid="{67E8D5C1-A156-413D-AF31-8133207133A7}"/>
    <hyperlink ref="H139" r:id="rId27" xr:uid="{960B587A-C345-41F8-9F00-5A72468B4E5D}"/>
    <hyperlink ref="H140" r:id="rId28" display="6x25 - 20PCS" xr:uid="{C587A070-5E91-4470-9462-B26505335891}"/>
    <hyperlink ref="H138" r:id="rId29" display="5x50 - 20PCS" xr:uid="{E2BC9294-BE45-4337-94D9-D1A7EB5D4876}"/>
    <hyperlink ref="H142" r:id="rId30" xr:uid="{5DF1E2A3-6063-41FD-B02D-4A4F1F17507D}"/>
    <hyperlink ref="H124" r:id="rId31" display="500mm - 20x20x1mm" xr:uid="{D204D176-2E62-40E3-82BF-401F19A0D89A}"/>
    <hyperlink ref="H106" r:id="rId32" display="BD: 5mm-Pulley BW: 10mm T: 26T" xr:uid="{90074162-A7AA-4715-B971-FF9CE46FAD99}"/>
    <hyperlink ref="H65" r:id="rId33" display="S: M3 - Color: 100PCS" xr:uid="{6449E8A0-482C-470E-97D7-EF72A2F2A913}"/>
    <hyperlink ref="H89" r:id="rId34" xr:uid="{6EB531E8-C3FE-4D01-8D5C-97575E119FCC}"/>
    <hyperlink ref="H94" r:id="rId35" xr:uid="{91B40BE5-71A5-4A12-84CC-1243069DE4B2}"/>
    <hyperlink ref="H72" r:id="rId36" xr:uid="{78488DAB-B700-44AA-A232-44B7D5C2B043}"/>
    <hyperlink ref="H97" r:id="rId37" display="ID: M5(100PCS)" xr:uid="{D89841D5-DE86-4EF3-A46E-87C4608B9CB4}"/>
    <hyperlink ref="H92" r:id="rId38" display="S: 10PCS M4 - L: 35" xr:uid="{EEAD0EA0-423E-407A-8EED-083AE2165F0E}"/>
    <hyperlink ref="H141" r:id="rId39" xr:uid="{62AD37E9-A9DA-4CA1-A9DB-A74CBED013B4}"/>
    <hyperlink ref="H123" r:id="rId40" display="500mm - 20x20x1mm" xr:uid="{6064A7A7-4811-4867-831D-5DD621C8F26F}"/>
    <hyperlink ref="H143" r:id="rId41" xr:uid="{B943D4B9-8B39-41E3-AF1C-D92FC272CF39}"/>
    <hyperlink ref="H109" r:id="rId42" display="BD: 5mm BW: 10mm N: 5PCS" xr:uid="{48A1A5F5-9613-43F0-AB8A-D09C3DDA1C3B}"/>
    <hyperlink ref="H108" r:id="rId43" display="BD: 20T(5mm)-80T(5mm) - W: 6mm-200" xr:uid="{C6EC4DA3-1FE8-42F5-AF13-426B397564D6}"/>
    <hyperlink ref="H128" r:id="rId44" xr:uid="{0C02753A-60E1-4368-AD8A-ED26844E80A1}"/>
    <hyperlink ref="H127" r:id="rId45" display="Color: 420 mm" xr:uid="{0E8E3DCA-6FE1-423A-9C75-E7E7B690BDB7}"/>
    <hyperlink ref="H129" r:id="rId46" display="Color: L 368mm - 2020" xr:uid="{E9E961A2-7ED9-40FE-ABB1-92D1495A6058}"/>
    <hyperlink ref="H130" r:id="rId47" display="Color: 420 mm" xr:uid="{70CC92A1-3489-49FF-A305-EA4BEBA40EE8}"/>
    <hyperlink ref="H131" r:id="rId48" display="Color: 420 mm" xr:uid="{C2D7AC6A-2B7A-4CF5-B4C9-0F3C2D52367F}"/>
    <hyperlink ref="H132" r:id="rId49" display="Color: 420 mm" xr:uid="{A4259B2C-35E6-4E18-9A22-B39EA6E8A3E3}"/>
    <hyperlink ref="H133" r:id="rId50" display="Color: 4x10PCS 2028 Silver" xr:uid="{C93219CF-4D32-482A-8275-37C1A02D7B04}"/>
    <hyperlink ref="H126" r:id="rId51" display="Color: 1x2020 (4pcs)" xr:uid="{4F3C13A1-F52F-4206-900C-B4E77902BF50}"/>
    <hyperlink ref="H22" r:id="rId52" display="300x300 750W - 120VAC/220VAC" xr:uid="{CEFC505C-03F9-43E8-B793-CAA5CFF42081}"/>
    <hyperlink ref="H152" r:id="rId53" xr:uid="{3B1014CC-EECD-463A-9B67-F6D6371D1C92}"/>
    <hyperlink ref="H23" r:id="rId54" xr:uid="{6308B7F3-791E-4EE3-8A90-FF14B0C92347}"/>
    <hyperlink ref="H24" r:id="rId55" display="Color: 10Pin" xr:uid="{862B1710-40DD-4D45-8591-8540A1F3795D}"/>
    <hyperlink ref="H19" r:id="rId56" xr:uid="{F18AAE1C-3310-4534-A2A0-FD276F0CB471}"/>
    <hyperlink ref="H20" r:id="rId57" xr:uid="{D225820F-DD6F-47AC-B161-59F21384AEB1}"/>
    <hyperlink ref="H71" r:id="rId58" xr:uid="{A1C476E8-4C0A-416C-895F-CB0FF4CF4DA2}"/>
    <hyperlink ref="H117" r:id="rId59" xr:uid="{C6F7896B-3895-437C-B832-E4CE37CFA899}"/>
    <hyperlink ref="H134" r:id="rId60" xr:uid="{400AB169-DF3B-458B-B4BC-D325DD62A206}"/>
    <hyperlink ref="H136" r:id="rId61" display="5x50 - 20PCS" xr:uid="{4E84AE98-52E0-42C1-9368-357566ADE35E}"/>
    <hyperlink ref="H73" r:id="rId62" xr:uid="{18DA0DDC-EFC4-469D-9FB9-5EDF23E44C1F}"/>
    <hyperlink ref="H78" r:id="rId63" xr:uid="{42D5885D-D05C-4C8F-A0A6-31196BC8A998}"/>
    <hyperlink ref="H86" r:id="rId64" display="ID: M4(100PCS)" xr:uid="{B2777790-305B-4258-B27E-0B0510452C92}"/>
    <hyperlink ref="H90" r:id="rId65" xr:uid="{E30EE4AB-92BC-47EC-8B87-851649ADA300}"/>
    <hyperlink ref="H98" r:id="rId66" xr:uid="{5BE91CE9-3DDA-46F2-B5E0-34464497242A}"/>
    <hyperlink ref="H99" r:id="rId67" display="S: 10pcs M5 - L: 10mm" xr:uid="{9EF647D7-AE79-4758-903A-ED27EAD2484C}"/>
    <hyperlink ref="H100" r:id="rId68" display="S: 10pcs M5 - L: 10mm" xr:uid="{639FCC7E-D9C2-4EA7-AE47-19FB48D156C7}"/>
    <hyperlink ref="H101" r:id="rId69" display="S: 10pcs M5 - L: 10mm" xr:uid="{EBB69F9E-0C12-4E8C-AC83-B56049138C2E}"/>
    <hyperlink ref="H102" r:id="rId70" display="https://www.aliexpress.com/item/1005008848776055.html" xr:uid="{065EAEDB-D131-478B-8370-8C2E5646A41E}"/>
    <hyperlink ref="H103" r:id="rId71" display="https://www.aliexpress.com/item/1005008848776055.html" xr:uid="{98ED755C-0D14-4662-8A4F-2E49986E3D9B}"/>
    <hyperlink ref="H104" r:id="rId72" display="https://www.aliexpress.com/item/1005008848776055.html" xr:uid="{6BE4BDC7-9A08-4700-B501-17D2AA7DB2EE}"/>
    <hyperlink ref="H105" r:id="rId73" display="S: 10pcs M5 - L: 10mm" xr:uid="{DED82DCD-2FAA-4C81-9787-A3BB7443A197}"/>
    <hyperlink ref="H70" r:id="rId74" xr:uid="{C1232C0C-9B0D-4F15-9A17-88DD0F0B366E}"/>
    <hyperlink ref="H120" r:id="rId75" xr:uid="{6B342A7C-3223-441B-BA54-EB726DAE7228}"/>
    <hyperlink ref="H121" r:id="rId76" xr:uid="{EDBD9826-6B9E-46B8-AAB8-5C973DAABC96}"/>
    <hyperlink ref="H115" r:id="rId77" xr:uid="{8464A2DC-023A-4919-B297-2FDBBBD4D5B6}"/>
    <hyperlink ref="H118" r:id="rId78" xr:uid="{ECF57003-5ABF-4AD9-83DB-0628060DDD7B}"/>
    <hyperlink ref="H58" r:id="rId79" xr:uid="{097FDA04-D005-411A-B496-1BC475898E6F}"/>
    <hyperlink ref="H91" r:id="rId80" display="S: 10pcs M4 - L: 20mm" xr:uid="{C5826B9A-F771-46EF-9B2A-46E7597015A5}"/>
    <hyperlink ref="H93" r:id="rId81" display="S: 10pcs M4 - L: 20mm" xr:uid="{663B6ED5-C954-4DFD-AB9B-74D8830DCC67}"/>
    <hyperlink ref="H76" r:id="rId82" display="S: 10pcs M5 - L: 10mm" xr:uid="{8BCBDD54-C503-4A68-8616-51AB3BEA554B}"/>
    <hyperlink ref="H77" r:id="rId83" display="S: 10pcs M4 - L: 20mm" xr:uid="{6AAD8BA5-EC70-47FD-ACE5-B23DC37802DA}"/>
    <hyperlink ref="H79" r:id="rId84" display="S: 10pcs M3 - L: 8mm" xr:uid="{EA94F40A-3AF8-4F90-8F8B-18F229D3E320}"/>
    <hyperlink ref="H81" r:id="rId85" display="S: 10pcs M3 - L: 8mm" xr:uid="{8DA919EA-F0B5-4F30-99F9-DC086E0C9680}"/>
    <hyperlink ref="H83" r:id="rId86" display="S: 10pcs M3 - L: 8mm" xr:uid="{0F4A8E86-8F66-4D81-80B4-86F35EA862D9}"/>
    <hyperlink ref="H88" r:id="rId87" display="S: 10pcs M3 - L: 8mm" xr:uid="{3CDA4528-16EC-41F7-9A9D-351E96644BBA}"/>
    <hyperlink ref="H84" r:id="rId88" display="S: 25pcs M3" xr:uid="{E906F13E-EDC9-4892-9B18-79329B3CF0B7}"/>
    <hyperlink ref="H85" r:id="rId89" display="S: 10pcs M3" xr:uid="{71794BBC-CA39-4991-8CD1-307EFA2F836E}"/>
    <hyperlink ref="H95" r:id="rId90" display="S: 25pcs M3" xr:uid="{3131039F-B734-41A4-A204-A59C22ED9A57}"/>
    <hyperlink ref="H96" r:id="rId91" display="S: 10pcs M3" xr:uid="{F0B7A532-41BF-4348-B107-C1C26F684AC4}"/>
    <hyperlink ref="H114" r:id="rId92" display="https://s.click.aliexpress.com/e/_c3h7Zh5j" xr:uid="{C0116F09-FFC3-4E4E-8906-DA78E1D65DB9}"/>
    <hyperlink ref="H66" r:id="rId93" display="S: M3 - Color: 100PCS" xr:uid="{E80C8403-CA67-4B32-A81C-274DCBF027B6}"/>
    <hyperlink ref="H82" r:id="rId94" display="S: 25PCS M3 - L: 20mm" xr:uid="{3F8DDBEA-B7BB-4E3F-8466-A29F32CAF5D1}"/>
    <hyperlink ref="H147" r:id="rId95" xr:uid="{1C65B190-B877-4BEB-87D4-18BD33936E76}"/>
    <hyperlink ref="H151" r:id="rId96" xr:uid="{386B7278-E3B9-4DF0-B1C5-4005B9ADF7D4}"/>
    <hyperlink ref="H150" r:id="rId97" xr:uid="{09E8DC7A-1819-446C-B668-2580916B7F9F}"/>
    <hyperlink ref="H149" r:id="rId98" xr:uid="{888646B3-24C6-4409-9F44-77E56E7B7A8B}"/>
    <hyperlink ref="H148" r:id="rId99" display="Color: SET2" xr:uid="{52E04A98-B60B-4F15-8B05-408178C29178}"/>
    <hyperlink ref="H146" r:id="rId100" xr:uid="{BD4F34BF-BABC-43F5-BAB4-A3DF2FBBEDAB}"/>
    <hyperlink ref="H26" r:id="rId101" xr:uid="{8F819BE9-2369-4701-A38A-4CAAAAF7D828}"/>
    <hyperlink ref="H75" r:id="rId102" xr:uid="{FD857523-6A28-46A3-A3E9-9EC609DE7931}"/>
    <hyperlink ref="H74" r:id="rId103" xr:uid="{20046C27-ACC6-4E89-B149-345EDFAAC2D6}"/>
    <hyperlink ref="H87" r:id="rId104" display="https://www.aliexpress.com/item/1005004714550250.html?" xr:uid="{8E0A33B9-E206-4DB6-8F30-FE6E8DD914BF}"/>
    <hyperlink ref="H80" r:id="rId105" xr:uid="{330AC5D7-13FB-4E52-B95E-B580AC70C6B1}"/>
    <hyperlink ref="H112" r:id="rId106" xr:uid="{28376BAC-F087-487C-B2F0-7FF772C19284}"/>
    <hyperlink ref="H27" r:id="rId107" xr:uid="{F715A1CC-9CA1-442B-B658-7D77B0B5A47D}"/>
    <hyperlink ref="H29" r:id="rId108" xr:uid="{B2F77E2D-41DB-4334-9EF1-942450EAF1F0}"/>
    <hyperlink ref="H13" r:id="rId109" xr:uid="{4697CE9F-37A6-4EBE-B5CB-0B78D55AAF4A}"/>
    <hyperlink ref="H37" r:id="rId110" xr:uid="{BADCFAD1-27AD-4FC2-8F46-C04A1360F2D8}"/>
    <hyperlink ref="H38" r:id="rId111" xr:uid="{6B121041-A93E-47A9-944A-3A627E278258}"/>
    <hyperlink ref="H39" r:id="rId112" xr:uid="{D4B1DA1E-4846-4F4A-9BC5-CE5ABF7520A0}"/>
    <hyperlink ref="H41" r:id="rId113" xr:uid="{2B21CB21-157A-49F7-B2B5-2F1C9F8E6411}"/>
    <hyperlink ref="H40" r:id="rId114" xr:uid="{5D32C397-7AFE-4122-BE46-B36FFDF71890}"/>
    <hyperlink ref="H42" r:id="rId115" xr:uid="{3794AF2F-CC40-40C0-A070-5461966818B8}"/>
    <hyperlink ref="H44" r:id="rId116" xr:uid="{D4BDB1A2-A048-4EAD-B8FA-D5374824CC7C}"/>
    <hyperlink ref="H48" r:id="rId117" xr:uid="{C7B3D09D-EE0B-425C-87A5-2054DE685917}"/>
    <hyperlink ref="H47" r:id="rId118" xr:uid="{BC3B9D3E-7B7A-4C32-9BE6-07C092D57328}"/>
    <hyperlink ref="H50" r:id="rId119" xr:uid="{647B07C0-31E9-4F52-BEAE-F21124CE485C}"/>
    <hyperlink ref="H49" r:id="rId120" xr:uid="{C6036535-BBAD-4686-A216-4C5A14B3519D}"/>
    <hyperlink ref="H43" r:id="rId121" display="Color: Black - L: 5M - S: 24AWG" xr:uid="{FD94E789-F51F-47B9-99FE-39EB00339656}"/>
    <hyperlink ref="H45" r:id="rId122" display="Color: Black - L: 5M - S: 24AWG" xr:uid="{33053AC9-6732-4B4A-93DC-65BEC8CB8D63}"/>
    <hyperlink ref="H46" r:id="rId123" display="https://www.aliexpress.com/item/1005007376443518.html?" xr:uid="{1C3C086E-0886-4D17-B01B-476BDFB5FF95}"/>
    <hyperlink ref="H55" r:id="rId124" display="Output Voltage: LRS-350-24 (24V)" xr:uid="{9E56B61D-3D94-40A6-873E-D1EC559BA3B8}"/>
    <hyperlink ref="H16" r:id="rId125" display="https://www.digikey.co.nz/en/products/detail/optifuse/PMA-DB-04-Q1S/13146953" xr:uid="{5DB56580-13E1-4753-8657-60F62B9670BE}"/>
    <hyperlink ref="H15" r:id="rId126" display="https://www.digikey.co.nz/en/products/detail/schurter-inc/8020-5078/6588337" xr:uid="{D716434F-96BF-4A26-B466-FF05D9C11228}"/>
    <hyperlink ref="H36" r:id="rId127" xr:uid="{94EE536E-1057-493B-B7FC-557614908FE9}"/>
    <hyperlink ref="H30" r:id="rId128" display="https://www.aliexpress.com/item/1005007567533885.html?" xr:uid="{47928692-95F8-432E-A6FC-1C08C7D78049}"/>
    <hyperlink ref="H60" r:id="rId129" xr:uid="{EAC50E0E-BECB-45E5-AD4B-3EFDBB8FF8A6}"/>
    <hyperlink ref="H64" r:id="rId130" xr:uid="{9008FD27-46CC-442D-B7F1-940E4267925E}"/>
    <hyperlink ref="H14" r:id="rId131" xr:uid="{F951F5EF-0183-46FD-ACF6-0831ED584BA5}"/>
    <hyperlink ref="H125" r:id="rId132" xr:uid="{FC5FF998-2236-4239-A1E8-2E263A1911D2}"/>
    <hyperlink ref="H61" r:id="rId133" xr:uid="{13A6BF78-0B33-499B-98F6-B3C4948AE96D}"/>
    <hyperlink ref="H34" r:id="rId134" xr:uid="{AFF701D0-1731-49B5-8101-8A2803F65D59}"/>
    <hyperlink ref="H35" r:id="rId135" xr:uid="{7ECBCDEC-1F6D-45A3-AEA3-1923B6C6EA2E}"/>
    <hyperlink ref="H32" r:id="rId136" display="https://www.aliexpress.com/item/32950061517.html?" xr:uid="{C0677D29-1183-4D38-AEC1-1EA1A576852E}"/>
    <hyperlink ref="H33" r:id="rId137" display="https://www.aliexpress.com/item/32950061517.html?" xr:uid="{969D89FE-A081-4790-BD95-00E7AB3F75EA}"/>
    <hyperlink ref="H11" r:id="rId138" display="Color: Brown L: 1M S: 18 AWG" xr:uid="{EDF38EC5-67D4-48C9-B6C3-79FA6ED002C3}"/>
    <hyperlink ref="H12" r:id="rId139" display="Color: Brown L: 1M S: 18 AWG" xr:uid="{CD758287-6157-49E7-BFD0-B4849E977BB4}"/>
    <hyperlink ref="H111" r:id="rId140" xr:uid="{B758BB68-EF3E-4DE4-96FF-B5A026BC0A2D}"/>
    <hyperlink ref="H145" r:id="rId141" xr:uid="{06E5526D-27AB-4C6B-A2D1-DC1858917076}"/>
    <hyperlink ref="H57" r:id="rId142" xr:uid="{566AC8FD-8AAA-45FA-8D4C-9146EDFE7992}"/>
    <hyperlink ref="H59" r:id="rId143" xr:uid="{19351F10-5078-43B7-8ECC-892CC1B1471F}"/>
    <hyperlink ref="H51" r:id="rId144" xr:uid="{2919D4F9-94F0-4B49-8E32-E67ABA95E800}"/>
    <hyperlink ref="H62" r:id="rId145" display="C: Straight pin socket PQ: 10set Pins: 6P" xr:uid="{B4F082C8-0EF6-404C-8F25-3AA5ED3DE721}"/>
    <hyperlink ref="H25" r:id="rId146" xr:uid="{7EA58B92-861A-4DAE-8ACB-EFE42D2D471F}"/>
    <hyperlink ref="H107" r:id="rId147" display="BD: 5mm-Pulley BW: 10mm T: 26T" xr:uid="{411D92D6-CB46-405B-83AB-E67294CD6410}"/>
    <hyperlink ref="H52" r:id="rId148" display="Cable Red AWG 14" xr:uid="{28E2B5E4-475D-4CCB-894D-1B1C268746E9}"/>
    <hyperlink ref="H119" r:id="rId149" xr:uid="{5C146671-E33F-4AB4-996A-3657ABDD4550}"/>
    <hyperlink ref="H28" r:id="rId150" xr:uid="{4FAC3FAA-DDBE-4DA7-9B45-9D10302B5614}"/>
    <hyperlink ref="H18" r:id="rId151" display="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" xr:uid="{585895AE-9698-4591-9AA1-28218297C21C}"/>
    <hyperlink ref="H17" r:id="rId152" xr:uid="{D495BC37-5F14-4D69-9DA3-4C6C1B3FD8FF}"/>
    <hyperlink ref="H137" r:id="rId153" display="5x50 - 20PCS" xr:uid="{9F502CB6-B824-4D3F-9F15-8E4080859633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46" fitToHeight="0" orientation="portrait" r:id="rId154"/>
  <headerFooter>
    <oddHeader>&amp;C&amp;"Aptos Black,Regular"&amp;14VALKYRIE V2 - HW BOM</oddHeader>
    <oddFooter>&amp;CBETA PRELEASE&amp;R&amp;P of &amp;N</oddFooter>
  </headerFooter>
  <rowBreaks count="2" manualBreakCount="2">
    <brk id="64" max="16383" man="1"/>
    <brk id="129" max="16383" man="1"/>
  </rowBreaks>
  <tableParts count="1">
    <tablePart r:id="rId1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5025-82C4-4460-8F2A-5E53734E3978}">
  <sheetPr>
    <tabColor rgb="FF00B050"/>
  </sheetPr>
  <dimension ref="A1:J20"/>
  <sheetViews>
    <sheetView view="pageLayout" zoomScaleNormal="100" workbookViewId="0">
      <selection activeCell="B2" sqref="B2"/>
    </sheetView>
  </sheetViews>
  <sheetFormatPr defaultColWidth="11" defaultRowHeight="15"/>
  <cols>
    <col min="1" max="1" width="15" style="2" customWidth="1"/>
    <col min="2" max="2" width="34.140625" style="9" customWidth="1"/>
    <col min="3" max="3" width="15" style="9" customWidth="1"/>
    <col min="4" max="4" width="6.7109375" customWidth="1"/>
    <col min="5" max="5" width="10" style="9" customWidth="1"/>
    <col min="6" max="6" width="16.42578125" style="2" customWidth="1"/>
    <col min="7" max="7" width="11" style="9"/>
    <col min="8" max="8" width="29.7109375" style="9" bestFit="1" customWidth="1"/>
    <col min="9" max="16384" width="11" style="9"/>
  </cols>
  <sheetData>
    <row r="1" spans="1:10" s="2" customFormat="1" ht="30">
      <c r="A1" s="49"/>
      <c r="B1" s="17" t="s">
        <v>377</v>
      </c>
      <c r="C1" s="261" t="s">
        <v>378</v>
      </c>
      <c r="D1" s="261" t="s">
        <v>2</v>
      </c>
      <c r="E1" s="261" t="s">
        <v>379</v>
      </c>
      <c r="F1" s="81"/>
    </row>
    <row r="2" spans="1:10">
      <c r="A2" s="50" t="s">
        <v>380</v>
      </c>
      <c r="B2" s="18" t="s">
        <v>381</v>
      </c>
      <c r="C2" s="1" t="s">
        <v>382</v>
      </c>
      <c r="D2" s="276">
        <v>420</v>
      </c>
      <c r="E2" s="1">
        <v>1</v>
      </c>
      <c r="F2" s="82" t="s">
        <v>383</v>
      </c>
      <c r="G2" s="277"/>
      <c r="H2" s="277"/>
      <c r="I2" s="277"/>
      <c r="J2" s="277"/>
    </row>
    <row r="3" spans="1:10">
      <c r="A3" s="47" t="s">
        <v>384</v>
      </c>
      <c r="B3" s="18" t="s">
        <v>381</v>
      </c>
      <c r="C3" s="1" t="s">
        <v>385</v>
      </c>
      <c r="D3" s="276">
        <v>368</v>
      </c>
      <c r="E3" s="1">
        <v>1</v>
      </c>
      <c r="F3" s="278" t="s">
        <v>386</v>
      </c>
      <c r="G3" s="277"/>
      <c r="H3" s="277"/>
      <c r="I3" s="277"/>
      <c r="J3" s="277"/>
    </row>
    <row r="4" spans="1:10">
      <c r="A4" s="47" t="s">
        <v>387</v>
      </c>
      <c r="B4" s="18" t="s">
        <v>381</v>
      </c>
      <c r="C4" s="1" t="s">
        <v>388</v>
      </c>
      <c r="D4" s="276">
        <v>172</v>
      </c>
      <c r="E4" s="1">
        <v>1</v>
      </c>
      <c r="F4" s="278" t="s">
        <v>389</v>
      </c>
      <c r="G4" s="277"/>
      <c r="H4" s="277"/>
      <c r="I4" s="277"/>
      <c r="J4" s="277"/>
    </row>
    <row r="5" spans="1:10">
      <c r="A5" s="47" t="s">
        <v>390</v>
      </c>
      <c r="B5" s="18" t="s">
        <v>391</v>
      </c>
      <c r="C5" s="1" t="s">
        <v>392</v>
      </c>
      <c r="D5" s="276">
        <v>420</v>
      </c>
      <c r="E5" s="1">
        <v>4</v>
      </c>
      <c r="F5" s="278" t="s">
        <v>393</v>
      </c>
      <c r="G5" s="277"/>
      <c r="H5" s="277"/>
      <c r="I5" s="277"/>
      <c r="J5" s="277"/>
    </row>
    <row r="6" spans="1:10">
      <c r="A6" s="23"/>
      <c r="B6" s="18" t="s">
        <v>391</v>
      </c>
      <c r="C6" s="1" t="s">
        <v>394</v>
      </c>
      <c r="D6" s="276">
        <v>480</v>
      </c>
      <c r="E6" s="1">
        <v>4</v>
      </c>
      <c r="F6" s="83"/>
      <c r="G6" s="277"/>
      <c r="H6" s="277"/>
      <c r="I6" s="277"/>
      <c r="J6" s="277"/>
    </row>
    <row r="7" spans="1:10">
      <c r="A7" s="23"/>
      <c r="B7" s="18" t="s">
        <v>391</v>
      </c>
      <c r="C7" s="1" t="s">
        <v>395</v>
      </c>
      <c r="D7" s="276">
        <v>750</v>
      </c>
      <c r="E7" s="1">
        <v>4</v>
      </c>
      <c r="F7" s="83"/>
      <c r="G7" s="277"/>
      <c r="H7" s="277"/>
      <c r="I7" s="277"/>
      <c r="J7" s="277"/>
    </row>
    <row r="8" spans="1:10">
      <c r="A8" s="23"/>
      <c r="B8" s="18" t="s">
        <v>396</v>
      </c>
      <c r="C8" s="1" t="s">
        <v>397</v>
      </c>
      <c r="D8" s="276"/>
      <c r="E8" s="1">
        <v>34</v>
      </c>
      <c r="F8" s="83"/>
      <c r="G8" s="277"/>
      <c r="H8" s="277"/>
      <c r="I8" s="277"/>
      <c r="J8" s="277"/>
    </row>
    <row r="9" spans="1:10">
      <c r="A9" s="23"/>
      <c r="B9" s="18" t="s">
        <v>398</v>
      </c>
      <c r="C9" s="1" t="s">
        <v>399</v>
      </c>
      <c r="D9" s="276"/>
      <c r="E9" s="1">
        <v>2</v>
      </c>
      <c r="F9" s="83"/>
      <c r="G9" s="277"/>
      <c r="H9" s="277"/>
      <c r="I9" s="277"/>
      <c r="J9" s="277"/>
    </row>
    <row r="10" spans="1:10">
      <c r="A10" s="23"/>
      <c r="B10" s="18" t="s">
        <v>400</v>
      </c>
      <c r="C10" s="266" t="s">
        <v>160</v>
      </c>
      <c r="D10" s="276"/>
      <c r="E10" s="1">
        <v>81</v>
      </c>
      <c r="F10" s="83"/>
      <c r="G10" s="277"/>
      <c r="H10" s="277"/>
      <c r="I10" s="277"/>
      <c r="J10" s="277"/>
    </row>
    <row r="11" spans="1:10">
      <c r="A11" s="23"/>
      <c r="B11" s="18" t="s">
        <v>225</v>
      </c>
      <c r="C11" s="266" t="s">
        <v>160</v>
      </c>
      <c r="D11" s="276"/>
      <c r="E11" s="1">
        <v>8</v>
      </c>
      <c r="F11" s="87"/>
      <c r="G11" s="277"/>
      <c r="H11" s="277"/>
      <c r="I11" s="277"/>
      <c r="J11" s="277"/>
    </row>
    <row r="12" spans="1:10">
      <c r="A12" s="47" t="s">
        <v>401</v>
      </c>
      <c r="B12" s="18" t="s">
        <v>402</v>
      </c>
      <c r="C12" s="266" t="s">
        <v>160</v>
      </c>
      <c r="D12" s="276"/>
      <c r="E12" s="1">
        <v>78</v>
      </c>
      <c r="F12" s="91"/>
      <c r="G12" s="277"/>
      <c r="H12" s="277"/>
      <c r="I12" s="277"/>
      <c r="J12" s="277"/>
    </row>
    <row r="13" spans="1:10">
      <c r="A13" s="23"/>
      <c r="B13" s="18" t="s">
        <v>229</v>
      </c>
      <c r="C13" s="266" t="s">
        <v>160</v>
      </c>
      <c r="D13" s="276"/>
      <c r="E13" s="1">
        <v>81</v>
      </c>
      <c r="F13" s="88"/>
      <c r="G13" s="277"/>
      <c r="H13" s="277"/>
      <c r="I13" s="277"/>
      <c r="J13" s="277"/>
    </row>
    <row r="14" spans="1:10">
      <c r="A14" s="23"/>
      <c r="B14" s="18" t="s">
        <v>235</v>
      </c>
      <c r="C14" s="266" t="s">
        <v>160</v>
      </c>
      <c r="D14" s="276"/>
      <c r="E14" s="1">
        <v>4</v>
      </c>
      <c r="F14" s="87"/>
      <c r="G14" s="277"/>
      <c r="H14" s="277"/>
      <c r="I14" s="277"/>
      <c r="J14" s="277"/>
    </row>
    <row r="15" spans="1:10">
      <c r="A15" s="23"/>
      <c r="B15" s="18" t="s">
        <v>244</v>
      </c>
      <c r="C15" s="266" t="s">
        <v>160</v>
      </c>
      <c r="D15" s="276"/>
      <c r="E15" s="1">
        <v>24</v>
      </c>
      <c r="F15" s="88"/>
      <c r="G15" s="277"/>
      <c r="H15" s="277"/>
      <c r="I15" s="277"/>
      <c r="J15" s="277"/>
    </row>
    <row r="16" spans="1:10">
      <c r="A16" s="92" t="s">
        <v>403</v>
      </c>
      <c r="B16" s="18" t="s">
        <v>404</v>
      </c>
      <c r="C16" s="86" t="s">
        <v>405</v>
      </c>
      <c r="D16" s="276"/>
      <c r="E16" s="1">
        <v>1</v>
      </c>
      <c r="F16" s="84"/>
      <c r="G16" s="277"/>
      <c r="H16" s="277"/>
      <c r="I16" s="277"/>
      <c r="J16" s="277"/>
    </row>
    <row r="17" spans="1:7">
      <c r="A17" s="23"/>
      <c r="B17" s="18" t="s">
        <v>406</v>
      </c>
      <c r="C17" s="85" t="s">
        <v>407</v>
      </c>
      <c r="D17" s="276"/>
      <c r="E17" s="1">
        <v>4</v>
      </c>
      <c r="F17" s="87"/>
      <c r="G17" s="277"/>
    </row>
    <row r="18" spans="1:7">
      <c r="A18" s="23"/>
      <c r="B18" s="18" t="s">
        <v>408</v>
      </c>
      <c r="C18" s="1" t="s">
        <v>405</v>
      </c>
      <c r="D18" s="276"/>
      <c r="E18" s="1">
        <v>4</v>
      </c>
      <c r="F18" s="87"/>
      <c r="G18" s="277"/>
    </row>
    <row r="19" spans="1:7">
      <c r="A19" s="57"/>
      <c r="B19" s="39" t="s">
        <v>409</v>
      </c>
      <c r="C19" s="1" t="s">
        <v>405</v>
      </c>
      <c r="D19" s="279"/>
      <c r="E19" s="40">
        <v>4</v>
      </c>
      <c r="F19" s="89"/>
      <c r="G19" s="277"/>
    </row>
    <row r="20" spans="1:7">
      <c r="B20" s="277"/>
      <c r="C20" s="277"/>
      <c r="E20" s="277"/>
      <c r="G20" s="277"/>
    </row>
  </sheetData>
  <hyperlinks>
    <hyperlink ref="A3" r:id="rId1" xr:uid="{D78454D2-FBEE-4248-B9A7-0E47A1203752}"/>
    <hyperlink ref="A4" r:id="rId2" xr:uid="{876753F4-F9E7-4EFA-AEE2-78B8BD2C1EE5}"/>
    <hyperlink ref="A5" r:id="rId3" xr:uid="{43398CF9-3F06-40AA-974F-40F60A2E3BE9}"/>
    <hyperlink ref="C17" r:id="rId4" xr:uid="{C74C06A2-8408-47A6-9CF2-B2CEC99A704A}"/>
    <hyperlink ref="A12" r:id="rId5" xr:uid="{80DB00DC-8017-4A38-80BA-73ECD0013A67}"/>
    <hyperlink ref="A16" r:id="rId6" xr:uid="{AFA0A9E6-8373-4654-A979-3FF14B5ABCAF}"/>
  </hyperlinks>
  <pageMargins left="0.25" right="0.25" top="0.75" bottom="0.75" header="0.3" footer="0.3"/>
  <pageSetup paperSize="9" fitToWidth="0" fitToHeight="0" orientation="portrait" r:id="rId7"/>
  <headerFooter>
    <oddHeader>&amp;C&amp;"Aptos Black,Regular"&amp;14VALKYRIE V2 - FRAME BOM</oddHeader>
    <oddFooter>&amp;CBETA PRELEASE&amp;R&amp;P of &amp;N</oddFooter>
  </headerFooter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FF31-85FB-4A31-AEF5-1275190E33B8}">
  <sheetPr>
    <tabColor rgb="FFFFC000"/>
    <pageSetUpPr fitToPage="1"/>
  </sheetPr>
  <dimension ref="A1:H45"/>
  <sheetViews>
    <sheetView view="pageLayout" zoomScaleNormal="100" workbookViewId="0">
      <selection activeCell="B11" sqref="B11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28515625" style="2" customWidth="1"/>
    <col min="6" max="6" width="11.42578125" style="2"/>
    <col min="7" max="7" width="27" style="2" bestFit="1" customWidth="1"/>
    <col min="8" max="16349" width="11.42578125" style="2"/>
    <col min="16350" max="16355" width="11.42578125" style="2" bestFit="1" customWidth="1"/>
    <col min="16356" max="16384" width="11.42578125" style="2"/>
  </cols>
  <sheetData>
    <row r="1" spans="1:8" ht="30" customHeight="1">
      <c r="A1" s="96"/>
      <c r="B1" s="97" t="s">
        <v>377</v>
      </c>
      <c r="C1" s="280" t="s">
        <v>378</v>
      </c>
      <c r="D1" s="280" t="s">
        <v>379</v>
      </c>
      <c r="E1" s="98"/>
      <c r="G1"/>
      <c r="H1"/>
    </row>
    <row r="2" spans="1:8">
      <c r="A2" s="99" t="s">
        <v>380</v>
      </c>
      <c r="B2" s="266" t="s">
        <v>14</v>
      </c>
      <c r="C2" s="26"/>
      <c r="D2" s="13">
        <v>2</v>
      </c>
      <c r="E2" s="100" t="s">
        <v>383</v>
      </c>
      <c r="G2"/>
      <c r="H2"/>
    </row>
    <row r="3" spans="1:8">
      <c r="A3" s="101" t="s">
        <v>384</v>
      </c>
      <c r="B3" t="s">
        <v>410</v>
      </c>
      <c r="C3" s="26"/>
      <c r="D3" s="13">
        <v>1</v>
      </c>
      <c r="E3" s="281" t="s">
        <v>386</v>
      </c>
      <c r="G3"/>
      <c r="H3"/>
    </row>
    <row r="4" spans="1:8">
      <c r="A4" s="101" t="s">
        <v>387</v>
      </c>
      <c r="B4" s="266" t="s">
        <v>172</v>
      </c>
      <c r="C4" s="26"/>
      <c r="D4" s="13">
        <v>36</v>
      </c>
      <c r="E4" s="281" t="s">
        <v>389</v>
      </c>
      <c r="G4"/>
      <c r="H4"/>
    </row>
    <row r="5" spans="1:8">
      <c r="A5" s="101" t="s">
        <v>390</v>
      </c>
      <c r="B5" s="266" t="s">
        <v>17</v>
      </c>
      <c r="C5" s="26"/>
      <c r="D5" s="13">
        <v>24</v>
      </c>
      <c r="E5" s="281" t="s">
        <v>393</v>
      </c>
      <c r="G5"/>
      <c r="H5"/>
    </row>
    <row r="6" spans="1:8">
      <c r="A6" s="102"/>
      <c r="B6" s="266" t="s">
        <v>338</v>
      </c>
      <c r="C6" s="26"/>
      <c r="D6" s="13">
        <v>4</v>
      </c>
      <c r="E6" s="103"/>
      <c r="G6" s="1"/>
      <c r="H6"/>
    </row>
    <row r="7" spans="1:8">
      <c r="A7" s="102"/>
      <c r="B7" s="266" t="s">
        <v>340</v>
      </c>
      <c r="C7" s="26"/>
      <c r="D7" s="13">
        <v>8</v>
      </c>
      <c r="E7" s="103"/>
      <c r="G7" s="1"/>
      <c r="H7"/>
    </row>
    <row r="8" spans="1:8">
      <c r="A8" s="102"/>
      <c r="B8" s="266" t="s">
        <v>411</v>
      </c>
      <c r="C8" s="26"/>
      <c r="D8" s="13">
        <v>1</v>
      </c>
      <c r="E8" s="103"/>
      <c r="G8"/>
      <c r="H8"/>
    </row>
    <row r="9" spans="1:8">
      <c r="A9" s="102"/>
      <c r="B9" t="s">
        <v>412</v>
      </c>
      <c r="C9" s="26"/>
      <c r="D9" s="13">
        <v>1</v>
      </c>
      <c r="E9" s="103"/>
      <c r="G9"/>
      <c r="H9"/>
    </row>
    <row r="10" spans="1:8">
      <c r="A10" s="102"/>
      <c r="B10" s="1" t="s">
        <v>413</v>
      </c>
      <c r="C10"/>
      <c r="D10" s="13">
        <v>2</v>
      </c>
      <c r="E10" s="103"/>
      <c r="G10"/>
      <c r="H10"/>
    </row>
    <row r="11" spans="1:8">
      <c r="A11" s="102"/>
      <c r="B11" s="1" t="s">
        <v>414</v>
      </c>
      <c r="C11" s="1"/>
      <c r="D11" s="13">
        <v>5</v>
      </c>
      <c r="E11" s="103"/>
      <c r="G11" s="1"/>
      <c r="H11"/>
    </row>
    <row r="12" spans="1:8">
      <c r="A12" s="101" t="s">
        <v>401</v>
      </c>
      <c r="B12" s="2" t="s">
        <v>415</v>
      </c>
      <c r="C12" s="26"/>
      <c r="D12" s="13">
        <v>52</v>
      </c>
      <c r="E12" s="104" t="s">
        <v>403</v>
      </c>
      <c r="G12"/>
      <c r="H12"/>
    </row>
    <row r="13" spans="1:8">
      <c r="A13" s="102"/>
      <c r="B13" s="266" t="s">
        <v>416</v>
      </c>
      <c r="C13" s="26"/>
      <c r="D13" s="13">
        <v>8</v>
      </c>
      <c r="E13" s="104" t="s">
        <v>417</v>
      </c>
      <c r="G13"/>
      <c r="H13"/>
    </row>
    <row r="14" spans="1:8">
      <c r="A14" s="102"/>
      <c r="B14" s="266" t="s">
        <v>418</v>
      </c>
      <c r="C14" s="26"/>
      <c r="D14" s="13">
        <v>12</v>
      </c>
      <c r="E14" s="103"/>
      <c r="G14"/>
      <c r="H14"/>
    </row>
    <row r="15" spans="1:8">
      <c r="A15" s="102"/>
      <c r="B15" s="2" t="s">
        <v>186</v>
      </c>
      <c r="C15" s="26"/>
      <c r="D15" s="13">
        <v>8</v>
      </c>
      <c r="E15" s="103"/>
      <c r="G15"/>
      <c r="H15"/>
    </row>
    <row r="16" spans="1:8">
      <c r="A16" s="102"/>
      <c r="B16" s="2" t="s">
        <v>189</v>
      </c>
      <c r="C16" s="26"/>
      <c r="D16" s="13">
        <v>52</v>
      </c>
      <c r="E16" s="103"/>
      <c r="G16"/>
      <c r="H16"/>
    </row>
    <row r="17" spans="1:8">
      <c r="A17" s="102"/>
      <c r="B17" s="2" t="s">
        <v>191</v>
      </c>
      <c r="C17" s="26"/>
      <c r="D17" s="13">
        <v>12</v>
      </c>
      <c r="E17" s="103"/>
      <c r="G17"/>
      <c r="H17"/>
    </row>
    <row r="18" spans="1:8">
      <c r="A18" s="102"/>
      <c r="B18" t="s">
        <v>419</v>
      </c>
      <c r="C18" s="26"/>
      <c r="D18" s="13">
        <v>4</v>
      </c>
      <c r="E18" s="103"/>
      <c r="G18"/>
      <c r="H18"/>
    </row>
    <row r="19" spans="1:8">
      <c r="A19" s="102"/>
      <c r="B19" s="2" t="s">
        <v>420</v>
      </c>
      <c r="C19" s="26"/>
      <c r="D19" s="13">
        <v>2</v>
      </c>
      <c r="E19" s="103"/>
      <c r="G19"/>
      <c r="H19"/>
    </row>
    <row r="20" spans="1:8">
      <c r="A20" s="102"/>
      <c r="B20" s="2" t="s">
        <v>421</v>
      </c>
      <c r="C20" s="26"/>
      <c r="D20" s="13">
        <v>11</v>
      </c>
      <c r="E20" s="103"/>
      <c r="G20"/>
      <c r="H20"/>
    </row>
    <row r="21" spans="1:8">
      <c r="A21" s="102"/>
      <c r="B21" s="2" t="s">
        <v>400</v>
      </c>
      <c r="C21" s="26"/>
      <c r="D21" s="13">
        <v>23</v>
      </c>
      <c r="E21" s="103"/>
      <c r="G21"/>
      <c r="H21"/>
    </row>
    <row r="22" spans="1:8">
      <c r="A22" s="102"/>
      <c r="B22" s="2" t="s">
        <v>402</v>
      </c>
      <c r="C22" s="26"/>
      <c r="D22" s="13">
        <v>6</v>
      </c>
      <c r="E22" s="103"/>
      <c r="G22"/>
      <c r="H22"/>
    </row>
    <row r="23" spans="1:8">
      <c r="A23" s="102"/>
      <c r="B23" s="2" t="s">
        <v>229</v>
      </c>
      <c r="C23" s="26"/>
      <c r="D23" s="13">
        <v>31</v>
      </c>
      <c r="E23" s="103"/>
      <c r="G23"/>
      <c r="H23"/>
    </row>
    <row r="24" spans="1:8">
      <c r="A24" s="102"/>
      <c r="B24" s="2" t="s">
        <v>233</v>
      </c>
      <c r="C24" s="26"/>
      <c r="D24" s="13">
        <v>4</v>
      </c>
      <c r="E24" s="103"/>
      <c r="G24"/>
      <c r="H24"/>
    </row>
    <row r="25" spans="1:8">
      <c r="A25" s="102"/>
      <c r="B25" s="2" t="s">
        <v>237</v>
      </c>
      <c r="C25" s="26"/>
      <c r="D25" s="13">
        <v>2</v>
      </c>
      <c r="E25" s="103"/>
      <c r="G25"/>
      <c r="H25"/>
    </row>
    <row r="26" spans="1:8">
      <c r="A26" s="102"/>
      <c r="B26" s="266" t="s">
        <v>422</v>
      </c>
      <c r="C26" s="95" t="s">
        <v>423</v>
      </c>
      <c r="D26" s="13">
        <v>2</v>
      </c>
      <c r="E26" s="104"/>
      <c r="G26"/>
      <c r="H26"/>
    </row>
    <row r="27" spans="1:8">
      <c r="A27" s="102"/>
      <c r="B27" s="266" t="s">
        <v>424</v>
      </c>
      <c r="C27" s="95" t="s">
        <v>425</v>
      </c>
      <c r="D27" s="13">
        <v>1</v>
      </c>
      <c r="E27" s="103"/>
      <c r="G27"/>
      <c r="H27"/>
    </row>
    <row r="28" spans="1:8">
      <c r="A28" s="102"/>
      <c r="B28" s="266" t="s">
        <v>426</v>
      </c>
      <c r="C28" s="26"/>
      <c r="D28" s="13">
        <v>2</v>
      </c>
      <c r="E28" s="103"/>
      <c r="G28"/>
      <c r="H28"/>
    </row>
    <row r="29" spans="1:8">
      <c r="A29" s="102"/>
      <c r="B29" s="36" t="s">
        <v>427</v>
      </c>
      <c r="C29" s="85" t="s">
        <v>403</v>
      </c>
      <c r="D29" s="13">
        <v>1</v>
      </c>
      <c r="E29" s="103"/>
      <c r="F29" s="266"/>
      <c r="G29"/>
      <c r="H29"/>
    </row>
    <row r="30" spans="1:8">
      <c r="A30" s="102"/>
      <c r="B30" s="36" t="s">
        <v>428</v>
      </c>
      <c r="C30" s="266" t="s">
        <v>405</v>
      </c>
      <c r="D30" s="13">
        <v>4</v>
      </c>
      <c r="E30" s="103"/>
      <c r="F30" s="266"/>
      <c r="G30"/>
      <c r="H30"/>
    </row>
    <row r="31" spans="1:8">
      <c r="A31" s="102"/>
      <c r="B31" t="s">
        <v>429</v>
      </c>
      <c r="C31" s="266" t="s">
        <v>405</v>
      </c>
      <c r="D31" s="13">
        <v>2</v>
      </c>
      <c r="E31" s="103"/>
      <c r="F31" s="266"/>
      <c r="G31" s="266"/>
      <c r="H31"/>
    </row>
    <row r="32" spans="1:8">
      <c r="A32" s="102"/>
      <c r="B32" t="s">
        <v>430</v>
      </c>
      <c r="C32" s="266" t="s">
        <v>405</v>
      </c>
      <c r="D32" s="13">
        <v>1</v>
      </c>
      <c r="E32" s="103"/>
      <c r="F32" s="266"/>
      <c r="G32"/>
      <c r="H32"/>
    </row>
    <row r="33" spans="1:8">
      <c r="A33" s="102"/>
      <c r="B33" s="36" t="s">
        <v>431</v>
      </c>
      <c r="C33" s="266" t="s">
        <v>405</v>
      </c>
      <c r="D33" s="13">
        <v>1</v>
      </c>
      <c r="E33" s="103"/>
      <c r="F33" s="266"/>
      <c r="G33"/>
      <c r="H33"/>
    </row>
    <row r="34" spans="1:8">
      <c r="A34" s="102"/>
      <c r="B34" t="s">
        <v>432</v>
      </c>
      <c r="C34" s="266" t="s">
        <v>405</v>
      </c>
      <c r="D34" s="13">
        <v>1</v>
      </c>
      <c r="E34" s="103"/>
      <c r="F34" s="266"/>
      <c r="G34"/>
      <c r="H34"/>
    </row>
    <row r="35" spans="1:8">
      <c r="A35" s="102"/>
      <c r="B35" s="1" t="s">
        <v>433</v>
      </c>
      <c r="C35" s="266" t="s">
        <v>405</v>
      </c>
      <c r="D35" s="13">
        <v>1</v>
      </c>
      <c r="E35" s="103"/>
      <c r="F35" s="266"/>
      <c r="G35"/>
      <c r="H35"/>
    </row>
    <row r="36" spans="1:8">
      <c r="A36" s="102"/>
      <c r="B36" s="1" t="s">
        <v>434</v>
      </c>
      <c r="C36" s="266" t="s">
        <v>405</v>
      </c>
      <c r="D36" s="13">
        <v>1</v>
      </c>
      <c r="E36" s="103"/>
      <c r="F36" s="266"/>
      <c r="G36"/>
      <c r="H36"/>
    </row>
    <row r="37" spans="1:8">
      <c r="A37" s="102"/>
      <c r="B37" s="36" t="s">
        <v>435</v>
      </c>
      <c r="C37" s="266" t="s">
        <v>405</v>
      </c>
      <c r="D37" s="13">
        <v>2</v>
      </c>
      <c r="E37" s="103"/>
      <c r="F37" s="266"/>
      <c r="G37"/>
      <c r="H37"/>
    </row>
    <row r="38" spans="1:8">
      <c r="A38" s="102"/>
      <c r="B38" s="36" t="s">
        <v>436</v>
      </c>
      <c r="C38" s="266" t="s">
        <v>405</v>
      </c>
      <c r="D38" s="13">
        <v>2</v>
      </c>
      <c r="E38" s="103"/>
      <c r="F38" s="266"/>
      <c r="G38" s="1"/>
      <c r="H38"/>
    </row>
    <row r="39" spans="1:8">
      <c r="A39" s="102"/>
      <c r="B39" s="36" t="s">
        <v>437</v>
      </c>
      <c r="C39" s="266" t="s">
        <v>405</v>
      </c>
      <c r="D39" s="13">
        <v>1</v>
      </c>
      <c r="E39" s="103"/>
      <c r="F39" s="266"/>
      <c r="G39"/>
      <c r="H39"/>
    </row>
    <row r="40" spans="1:8">
      <c r="A40" s="102"/>
      <c r="B40" s="36" t="s">
        <v>438</v>
      </c>
      <c r="C40" s="266" t="s">
        <v>405</v>
      </c>
      <c r="D40" s="13">
        <v>1</v>
      </c>
      <c r="E40" s="103"/>
      <c r="F40" s="266"/>
      <c r="G40"/>
      <c r="H40"/>
    </row>
    <row r="41" spans="1:8">
      <c r="A41" s="102"/>
      <c r="B41" s="1" t="s">
        <v>439</v>
      </c>
      <c r="C41" s="266" t="s">
        <v>405</v>
      </c>
      <c r="D41" s="13">
        <v>1</v>
      </c>
      <c r="E41" s="103"/>
      <c r="F41" s="266"/>
      <c r="G41"/>
      <c r="H41"/>
    </row>
    <row r="42" spans="1:8">
      <c r="A42" s="102"/>
      <c r="B42" s="1" t="s">
        <v>440</v>
      </c>
      <c r="C42" s="266" t="s">
        <v>405</v>
      </c>
      <c r="D42" s="13">
        <v>1</v>
      </c>
      <c r="E42" s="103"/>
      <c r="F42" s="266"/>
      <c r="G42"/>
      <c r="H42"/>
    </row>
    <row r="43" spans="1:8">
      <c r="A43" s="102"/>
      <c r="B43" s="36" t="s">
        <v>441</v>
      </c>
      <c r="C43" s="266" t="s">
        <v>405</v>
      </c>
      <c r="D43" s="13">
        <v>1</v>
      </c>
      <c r="E43" s="103"/>
      <c r="F43" s="266"/>
      <c r="G43"/>
      <c r="H43"/>
    </row>
    <row r="44" spans="1:8" ht="15.75" thickBot="1">
      <c r="A44" s="105"/>
      <c r="B44" s="36" t="s">
        <v>442</v>
      </c>
      <c r="C44" s="282" t="s">
        <v>405</v>
      </c>
      <c r="D44" s="106">
        <v>1</v>
      </c>
      <c r="E44" s="107"/>
      <c r="F44" s="266"/>
      <c r="G44"/>
      <c r="H44"/>
    </row>
    <row r="45" spans="1:8">
      <c r="F45" s="266"/>
    </row>
  </sheetData>
  <hyperlinks>
    <hyperlink ref="A3" r:id="rId1" xr:uid="{6AF45D33-B3D4-48FD-8B5D-FC9C26E8266F}"/>
    <hyperlink ref="A4" r:id="rId2" xr:uid="{216DB74C-ED28-4B01-8744-ED569E397C89}"/>
    <hyperlink ref="A5" r:id="rId3" xr:uid="{45D77D1C-8765-4C65-8A99-38C168AB7CBE}"/>
    <hyperlink ref="C29" r:id="rId4" xr:uid="{16BBC515-0514-4F88-AB3F-01B1E2D2F2C9}"/>
    <hyperlink ref="A12" r:id="rId5" xr:uid="{B5C7BE32-BF08-4AD0-86BD-7FDA34EA2715}"/>
    <hyperlink ref="E12" r:id="rId6" xr:uid="{333D6762-5A43-4D14-875B-F43B8528B146}"/>
    <hyperlink ref="E13" r:id="rId7" xr:uid="{D0E7FF63-3CE4-48AA-BD1A-6A17425DFD50}"/>
  </hyperlinks>
  <printOptions horizontalCentered="1"/>
  <pageMargins left="0.19685039370078741" right="0.19685039370078741" top="0.39370078740157483" bottom="0.39370078740157483" header="0.11811023622047245" footer="0.19685039370078741"/>
  <pageSetup paperSize="9" orientation="portrait" r:id="rId8"/>
  <headerFooter>
    <oddHeader>&amp;C&amp;"Aptos Black,Regular"&amp;14VALKYRIE V2 - AB GANTRY BOM</oddHeader>
    <oddFooter>&amp;CBETA PRELEASE&amp;R&amp;P of &amp;N</oddFooter>
  </headerFooter>
  <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D36-4232-4B9C-91F0-670E656621F4}">
  <sheetPr>
    <tabColor rgb="FF00B050"/>
    <pageSetUpPr fitToPage="1"/>
  </sheetPr>
  <dimension ref="A1:F39"/>
  <sheetViews>
    <sheetView view="pageLayout" topLeftCell="A30" zoomScaleNormal="100" workbookViewId="0">
      <selection activeCell="F12" sqref="F12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7109375" style="2" customWidth="1"/>
    <col min="6" max="6" width="54.5703125" style="2" customWidth="1"/>
    <col min="7" max="16361" width="11.42578125" style="2"/>
    <col min="16362" max="16367" width="11.42578125" style="2" bestFit="1" customWidth="1"/>
    <col min="16368" max="16384" width="11.42578125" style="2"/>
  </cols>
  <sheetData>
    <row r="1" spans="1:6" ht="30" customHeight="1">
      <c r="A1" s="49"/>
      <c r="B1" s="62" t="s">
        <v>377</v>
      </c>
      <c r="C1" s="261" t="s">
        <v>378</v>
      </c>
      <c r="D1" s="261" t="s">
        <v>379</v>
      </c>
      <c r="E1" s="46"/>
    </row>
    <row r="2" spans="1:6">
      <c r="A2" s="50" t="s">
        <v>380</v>
      </c>
      <c r="B2" s="266" t="s">
        <v>443</v>
      </c>
      <c r="C2"/>
      <c r="D2" s="13">
        <v>1</v>
      </c>
      <c r="E2" s="51" t="s">
        <v>383</v>
      </c>
    </row>
    <row r="3" spans="1:6">
      <c r="A3" s="47" t="s">
        <v>384</v>
      </c>
      <c r="B3" s="263" t="s">
        <v>352</v>
      </c>
      <c r="C3" s="263"/>
      <c r="D3" s="13">
        <v>1</v>
      </c>
      <c r="E3" s="283" t="s">
        <v>386</v>
      </c>
    </row>
    <row r="4" spans="1:6">
      <c r="A4" s="47" t="s">
        <v>387</v>
      </c>
      <c r="B4" s="263" t="s">
        <v>444</v>
      </c>
      <c r="C4" s="263"/>
      <c r="D4" s="13">
        <v>1</v>
      </c>
      <c r="E4" s="283" t="s">
        <v>389</v>
      </c>
    </row>
    <row r="5" spans="1:6">
      <c r="A5" s="47" t="s">
        <v>390</v>
      </c>
      <c r="B5" t="s">
        <v>138</v>
      </c>
      <c r="C5"/>
      <c r="D5" s="13">
        <v>1</v>
      </c>
      <c r="E5" s="283" t="s">
        <v>393</v>
      </c>
    </row>
    <row r="6" spans="1:6">
      <c r="A6" s="23"/>
      <c r="B6" s="26" t="s">
        <v>445</v>
      </c>
      <c r="C6"/>
      <c r="D6" s="13">
        <v>1</v>
      </c>
      <c r="E6" s="52"/>
      <c r="F6" s="127" t="s">
        <v>446</v>
      </c>
    </row>
    <row r="7" spans="1:6">
      <c r="A7" s="23"/>
      <c r="B7" s="54" t="s">
        <v>447</v>
      </c>
      <c r="C7"/>
      <c r="D7" s="13">
        <v>1</v>
      </c>
      <c r="E7" s="52"/>
    </row>
    <row r="8" spans="1:6">
      <c r="A8" s="23"/>
      <c r="B8" t="s">
        <v>448</v>
      </c>
      <c r="C8" s="63"/>
      <c r="D8" s="13">
        <v>9</v>
      </c>
      <c r="E8" s="52"/>
    </row>
    <row r="9" spans="1:6">
      <c r="A9" s="23"/>
      <c r="B9" t="s">
        <v>449</v>
      </c>
      <c r="C9"/>
      <c r="D9" s="13">
        <v>2</v>
      </c>
      <c r="E9" s="52"/>
    </row>
    <row r="10" spans="1:6">
      <c r="A10" s="23"/>
      <c r="B10" s="1" t="s">
        <v>450</v>
      </c>
      <c r="C10" s="1"/>
      <c r="D10" s="13">
        <v>7</v>
      </c>
      <c r="E10" s="52"/>
    </row>
    <row r="11" spans="1:6">
      <c r="A11" s="23"/>
      <c r="B11" t="s">
        <v>188</v>
      </c>
      <c r="C11"/>
      <c r="D11" s="13">
        <v>6</v>
      </c>
      <c r="E11" s="52"/>
    </row>
    <row r="12" spans="1:6">
      <c r="A12" s="47" t="s">
        <v>401</v>
      </c>
      <c r="B12" s="1" t="s">
        <v>451</v>
      </c>
      <c r="C12" s="1"/>
      <c r="D12" s="13">
        <v>2</v>
      </c>
      <c r="E12" s="52"/>
    </row>
    <row r="13" spans="1:6">
      <c r="A13" s="23"/>
      <c r="B13" s="1" t="s">
        <v>452</v>
      </c>
      <c r="C13" s="1"/>
      <c r="D13" s="13">
        <v>10</v>
      </c>
      <c r="E13" s="52"/>
    </row>
    <row r="14" spans="1:6">
      <c r="A14" s="23"/>
      <c r="B14" t="s">
        <v>453</v>
      </c>
      <c r="C14" s="1"/>
      <c r="D14" s="13">
        <v>1</v>
      </c>
      <c r="E14" s="52"/>
    </row>
    <row r="15" spans="1:6">
      <c r="A15" s="23"/>
      <c r="B15" s="1" t="s">
        <v>454</v>
      </c>
      <c r="C15" s="1"/>
      <c r="D15" s="13">
        <v>1</v>
      </c>
      <c r="E15" s="52"/>
    </row>
    <row r="16" spans="1:6">
      <c r="A16" s="23"/>
      <c r="B16" s="11" t="s">
        <v>263</v>
      </c>
      <c r="C16" s="11"/>
      <c r="D16" s="13">
        <v>4</v>
      </c>
      <c r="E16" s="52"/>
    </row>
    <row r="17" spans="1:5">
      <c r="A17" s="23"/>
      <c r="B17" s="11" t="s">
        <v>455</v>
      </c>
      <c r="C17" s="11"/>
      <c r="D17" s="13">
        <v>1</v>
      </c>
      <c r="E17" s="52"/>
    </row>
    <row r="18" spans="1:5">
      <c r="A18" s="23"/>
      <c r="B18" s="284" t="s">
        <v>456</v>
      </c>
      <c r="C18" s="64" t="s">
        <v>457</v>
      </c>
      <c r="D18" s="53">
        <v>1</v>
      </c>
      <c r="E18" s="52"/>
    </row>
    <row r="19" spans="1:5">
      <c r="A19" s="23"/>
      <c r="B19" s="65" t="s">
        <v>458</v>
      </c>
      <c r="C19" s="65"/>
      <c r="D19" s="13">
        <v>1</v>
      </c>
      <c r="E19" s="52"/>
    </row>
    <row r="20" spans="1:5">
      <c r="A20" s="23"/>
      <c r="B20" s="285" t="s">
        <v>459</v>
      </c>
      <c r="C20" s="285"/>
      <c r="D20" s="13">
        <v>1</v>
      </c>
      <c r="E20" s="52"/>
    </row>
    <row r="21" spans="1:5">
      <c r="A21" s="23"/>
      <c r="B21" s="63" t="s">
        <v>460</v>
      </c>
      <c r="C21" s="63"/>
      <c r="D21" s="13">
        <v>1</v>
      </c>
      <c r="E21" s="52"/>
    </row>
    <row r="22" spans="1:5">
      <c r="A22" s="23"/>
      <c r="B22" s="285" t="s">
        <v>461</v>
      </c>
      <c r="C22" s="285"/>
      <c r="D22" s="13">
        <v>1</v>
      </c>
      <c r="E22" s="52"/>
    </row>
    <row r="23" spans="1:5">
      <c r="A23" s="23"/>
      <c r="B23" s="63" t="s">
        <v>462</v>
      </c>
      <c r="C23" s="63"/>
      <c r="D23" s="13">
        <v>1</v>
      </c>
      <c r="E23" s="52"/>
    </row>
    <row r="24" spans="1:5">
      <c r="A24" s="23"/>
      <c r="B24" s="66" t="s">
        <v>463</v>
      </c>
      <c r="C24" s="66"/>
      <c r="D24" s="13">
        <v>1</v>
      </c>
      <c r="E24" s="52"/>
    </row>
    <row r="25" spans="1:5">
      <c r="A25" s="23"/>
      <c r="B25" s="36" t="s">
        <v>464</v>
      </c>
      <c r="C25" s="66"/>
      <c r="D25" s="13">
        <v>1</v>
      </c>
      <c r="E25" s="52"/>
    </row>
    <row r="26" spans="1:5">
      <c r="A26" s="23"/>
      <c r="B26" s="66" t="s">
        <v>465</v>
      </c>
      <c r="C26" s="63"/>
      <c r="D26" s="13">
        <v>1</v>
      </c>
      <c r="E26" s="52"/>
    </row>
    <row r="27" spans="1:5" ht="15.75" thickBot="1">
      <c r="A27" s="23"/>
      <c r="B27" s="60"/>
      <c r="C27" s="60"/>
      <c r="D27" s="277"/>
      <c r="E27" s="52"/>
    </row>
    <row r="28" spans="1:5" ht="18.75">
      <c r="A28" s="23"/>
      <c r="B28" s="19" t="s">
        <v>466</v>
      </c>
      <c r="C28" s="20"/>
      <c r="D28" s="42"/>
      <c r="E28" s="52"/>
    </row>
    <row r="29" spans="1:5" ht="30" customHeight="1">
      <c r="A29" s="23"/>
      <c r="B29" s="21" t="s">
        <v>377</v>
      </c>
      <c r="C29" s="286" t="s">
        <v>378</v>
      </c>
      <c r="D29" s="287" t="s">
        <v>379</v>
      </c>
      <c r="E29" s="52"/>
    </row>
    <row r="30" spans="1:5">
      <c r="A30" s="23"/>
      <c r="B30" s="18" t="s">
        <v>361</v>
      </c>
      <c r="C30" s="1"/>
      <c r="D30" s="43">
        <v>1</v>
      </c>
      <c r="E30" s="52"/>
    </row>
    <row r="31" spans="1:5">
      <c r="A31" s="23"/>
      <c r="B31" s="18" t="s">
        <v>467</v>
      </c>
      <c r="C31"/>
      <c r="D31" s="43">
        <v>1</v>
      </c>
      <c r="E31" s="52"/>
    </row>
    <row r="32" spans="1:5">
      <c r="A32" s="23"/>
      <c r="B32" s="18" t="s">
        <v>468</v>
      </c>
      <c r="C32" s="1"/>
      <c r="D32" s="43">
        <v>2</v>
      </c>
      <c r="E32" s="52"/>
    </row>
    <row r="33" spans="1:5">
      <c r="A33" s="23"/>
      <c r="B33" s="22" t="s">
        <v>469</v>
      </c>
      <c r="C33" s="63"/>
      <c r="D33" s="43">
        <v>1</v>
      </c>
      <c r="E33" s="52"/>
    </row>
    <row r="34" spans="1:5">
      <c r="A34" s="23"/>
      <c r="B34" s="15" t="s">
        <v>369</v>
      </c>
      <c r="C34" s="11"/>
      <c r="D34" s="43">
        <v>1</v>
      </c>
      <c r="E34" s="52"/>
    </row>
    <row r="35" spans="1:5">
      <c r="A35" s="23"/>
      <c r="B35" s="24" t="s">
        <v>363</v>
      </c>
      <c r="C35" s="65"/>
      <c r="D35" s="43">
        <v>1</v>
      </c>
      <c r="E35" s="52"/>
    </row>
    <row r="36" spans="1:5">
      <c r="A36" s="23"/>
      <c r="B36" s="25" t="s">
        <v>365</v>
      </c>
      <c r="C36" s="285"/>
      <c r="D36" s="43">
        <v>1</v>
      </c>
      <c r="E36" s="52"/>
    </row>
    <row r="37" spans="1:5">
      <c r="A37" s="23"/>
      <c r="B37" s="15" t="s">
        <v>367</v>
      </c>
      <c r="C37" s="11"/>
      <c r="D37" s="43">
        <v>1</v>
      </c>
      <c r="E37" s="52"/>
    </row>
    <row r="38" spans="1:5">
      <c r="A38" s="23"/>
      <c r="B38" s="18" t="s">
        <v>470</v>
      </c>
      <c r="C38" s="1"/>
      <c r="D38" s="43">
        <v>1</v>
      </c>
      <c r="E38" s="52"/>
    </row>
    <row r="39" spans="1:5" ht="15.75" thickBot="1">
      <c r="A39" s="57"/>
      <c r="B39" s="39" t="s">
        <v>358</v>
      </c>
      <c r="C39" s="40"/>
      <c r="D39" s="44">
        <v>1</v>
      </c>
      <c r="E39" s="59"/>
    </row>
  </sheetData>
  <hyperlinks>
    <hyperlink ref="A3" r:id="rId1" xr:uid="{D1E610B8-A5EA-4DF8-B13A-5510F4DBF900}"/>
    <hyperlink ref="A4" r:id="rId2" xr:uid="{447CB2D5-1E80-4C20-9CDD-7009683ACCF5}"/>
    <hyperlink ref="A5" r:id="rId3" xr:uid="{350F3B79-788B-4A8E-A5C2-A87B8F1476FD}"/>
    <hyperlink ref="A12" r:id="rId4" xr:uid="{19FF7FFB-DDA7-43DC-8EFD-8369B41B28C9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69" orientation="portrait" r:id="rId5"/>
  <headerFooter>
    <oddHeader>&amp;C&amp;"Aptos Black,Regular"&amp;14VALKYRIE V2 - TOOLHEAD BOM</oddHeader>
    <oddFooter>&amp;CBETA PRELEASE&amp;R&amp;P of &amp;N</oddFooter>
  </headerFooter>
  <drawing r:id="rId6"/>
  <tableParts count="2"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21DF-9FE7-4E8A-99F7-ADAD3966DA06}">
  <sheetPr>
    <tabColor rgb="FFFFC000"/>
    <pageSetUpPr fitToPage="1"/>
  </sheetPr>
  <dimension ref="A1:E47"/>
  <sheetViews>
    <sheetView view="pageLayout" topLeftCell="A14" zoomScaleNormal="100" workbookViewId="0">
      <selection activeCell="I26" sqref="I26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85546875" style="2" customWidth="1"/>
    <col min="6" max="16361" width="11.42578125" style="2"/>
    <col min="16362" max="16367" width="11.42578125" style="2" bestFit="1" customWidth="1"/>
    <col min="16368" max="16384" width="11.42578125" style="2"/>
  </cols>
  <sheetData>
    <row r="1" spans="1:5" ht="30" customHeight="1">
      <c r="A1" s="96"/>
      <c r="B1" s="97" t="s">
        <v>377</v>
      </c>
      <c r="C1" s="280" t="s">
        <v>378</v>
      </c>
      <c r="D1" s="280" t="s">
        <v>379</v>
      </c>
      <c r="E1" s="98"/>
    </row>
    <row r="2" spans="1:5" ht="18" customHeight="1">
      <c r="A2" s="99" t="s">
        <v>380</v>
      </c>
      <c r="B2" s="26" t="s">
        <v>169</v>
      </c>
      <c r="D2" s="13">
        <v>12</v>
      </c>
      <c r="E2" s="100" t="s">
        <v>383</v>
      </c>
    </row>
    <row r="3" spans="1:5" ht="18" customHeight="1">
      <c r="A3" s="101" t="s">
        <v>384</v>
      </c>
      <c r="B3" s="266" t="s">
        <v>471</v>
      </c>
      <c r="C3" s="266"/>
      <c r="D3" s="13">
        <v>12</v>
      </c>
      <c r="E3" s="281" t="s">
        <v>386</v>
      </c>
    </row>
    <row r="4" spans="1:5">
      <c r="A4" s="101" t="s">
        <v>387</v>
      </c>
      <c r="B4" s="266" t="s">
        <v>330</v>
      </c>
      <c r="C4" s="266"/>
      <c r="D4" s="13">
        <v>3</v>
      </c>
      <c r="E4" s="281" t="s">
        <v>389</v>
      </c>
    </row>
    <row r="5" spans="1:5">
      <c r="A5" s="101" t="s">
        <v>390</v>
      </c>
      <c r="B5" s="266" t="s">
        <v>336</v>
      </c>
      <c r="C5" s="266"/>
      <c r="D5" s="13">
        <v>6</v>
      </c>
      <c r="E5" s="281" t="s">
        <v>393</v>
      </c>
    </row>
    <row r="6" spans="1:5">
      <c r="A6" s="102"/>
      <c r="B6" s="41" t="s">
        <v>322</v>
      </c>
      <c r="C6" s="266" t="s">
        <v>323</v>
      </c>
      <c r="D6" s="272">
        <v>1</v>
      </c>
      <c r="E6" s="103"/>
    </row>
    <row r="7" spans="1:5">
      <c r="A7" s="102"/>
      <c r="B7" s="11" t="s">
        <v>472</v>
      </c>
      <c r="C7" s="266" t="s">
        <v>473</v>
      </c>
      <c r="D7" s="272">
        <v>28</v>
      </c>
      <c r="E7" s="103"/>
    </row>
    <row r="8" spans="1:5">
      <c r="A8" s="102"/>
      <c r="B8" s="266" t="s">
        <v>474</v>
      </c>
      <c r="C8" s="266"/>
      <c r="D8" s="13">
        <v>1</v>
      </c>
      <c r="E8" s="103"/>
    </row>
    <row r="9" spans="1:5">
      <c r="A9" s="102"/>
      <c r="B9" s="36" t="s">
        <v>475</v>
      </c>
      <c r="D9" s="13">
        <v>3</v>
      </c>
      <c r="E9" s="103"/>
    </row>
    <row r="10" spans="1:5">
      <c r="A10" s="102"/>
      <c r="B10" s="266" t="s">
        <v>254</v>
      </c>
      <c r="C10" s="266"/>
      <c r="D10" s="272">
        <v>6</v>
      </c>
      <c r="E10" s="103"/>
    </row>
    <row r="11" spans="1:5">
      <c r="A11" s="102"/>
      <c r="B11" s="266" t="s">
        <v>476</v>
      </c>
      <c r="C11" s="266"/>
      <c r="D11" s="272">
        <v>3</v>
      </c>
      <c r="E11" s="103"/>
    </row>
    <row r="12" spans="1:5">
      <c r="A12" s="101" t="s">
        <v>401</v>
      </c>
      <c r="B12" s="262" t="s">
        <v>477</v>
      </c>
      <c r="C12" s="266"/>
      <c r="D12" s="13">
        <v>1</v>
      </c>
      <c r="E12" s="103"/>
    </row>
    <row r="13" spans="1:5">
      <c r="A13" s="102"/>
      <c r="B13" s="266" t="s">
        <v>415</v>
      </c>
      <c r="C13" s="266"/>
      <c r="D13" s="13">
        <v>42</v>
      </c>
      <c r="E13" s="103"/>
    </row>
    <row r="14" spans="1:5">
      <c r="A14" s="102"/>
      <c r="B14" s="2" t="s">
        <v>478</v>
      </c>
      <c r="D14" s="13">
        <v>3</v>
      </c>
      <c r="E14" s="103"/>
    </row>
    <row r="15" spans="1:5">
      <c r="A15" s="102"/>
      <c r="B15" s="2" t="s">
        <v>479</v>
      </c>
      <c r="D15" s="13">
        <v>27</v>
      </c>
      <c r="E15" s="103"/>
    </row>
    <row r="16" spans="1:5">
      <c r="A16" s="102"/>
      <c r="B16" s="2" t="s">
        <v>189</v>
      </c>
      <c r="D16" s="13">
        <v>54</v>
      </c>
      <c r="E16" s="103"/>
    </row>
    <row r="17" spans="1:5">
      <c r="A17" s="102"/>
      <c r="B17" s="2" t="s">
        <v>191</v>
      </c>
      <c r="D17" s="13">
        <v>8</v>
      </c>
      <c r="E17" s="103"/>
    </row>
    <row r="18" spans="1:5">
      <c r="A18" s="102"/>
      <c r="B18" s="2" t="s">
        <v>419</v>
      </c>
      <c r="D18" s="13">
        <v>7</v>
      </c>
      <c r="E18" s="103"/>
    </row>
    <row r="19" spans="1:5">
      <c r="A19" s="102"/>
      <c r="B19" s="2" t="s">
        <v>480</v>
      </c>
      <c r="D19" s="13">
        <v>3</v>
      </c>
      <c r="E19" s="103"/>
    </row>
    <row r="20" spans="1:5">
      <c r="A20" s="102"/>
      <c r="B20" s="2" t="s">
        <v>481</v>
      </c>
      <c r="D20" s="13">
        <v>3</v>
      </c>
      <c r="E20" s="103"/>
    </row>
    <row r="21" spans="1:5">
      <c r="A21" s="102"/>
      <c r="B21" s="2" t="s">
        <v>482</v>
      </c>
      <c r="D21" s="13">
        <v>3</v>
      </c>
      <c r="E21" s="103"/>
    </row>
    <row r="22" spans="1:5">
      <c r="A22" s="102"/>
      <c r="B22" s="2" t="s">
        <v>215</v>
      </c>
      <c r="D22" s="13">
        <v>3</v>
      </c>
      <c r="E22" s="103"/>
    </row>
    <row r="23" spans="1:5">
      <c r="A23" s="102"/>
      <c r="B23" s="2" t="s">
        <v>420</v>
      </c>
      <c r="D23" s="13">
        <v>3</v>
      </c>
      <c r="E23" s="103"/>
    </row>
    <row r="24" spans="1:5">
      <c r="A24" s="102"/>
      <c r="B24" s="2" t="s">
        <v>400</v>
      </c>
      <c r="D24" s="13">
        <v>24</v>
      </c>
      <c r="E24" s="103"/>
    </row>
    <row r="25" spans="1:5">
      <c r="A25" s="102"/>
      <c r="B25" s="266" t="s">
        <v>402</v>
      </c>
      <c r="C25" s="266"/>
      <c r="D25" s="13">
        <v>6</v>
      </c>
      <c r="E25" s="103"/>
    </row>
    <row r="26" spans="1:5">
      <c r="A26" s="102"/>
      <c r="B26" s="266" t="s">
        <v>229</v>
      </c>
      <c r="C26" s="266"/>
      <c r="D26" s="13">
        <v>21</v>
      </c>
      <c r="E26" s="103"/>
    </row>
    <row r="27" spans="1:5">
      <c r="A27" s="102"/>
      <c r="B27" s="2" t="s">
        <v>231</v>
      </c>
      <c r="D27" s="13">
        <v>3</v>
      </c>
      <c r="E27" s="103"/>
    </row>
    <row r="28" spans="1:5">
      <c r="A28" s="102"/>
      <c r="B28" s="2" t="s">
        <v>483</v>
      </c>
      <c r="D28" s="13">
        <v>3</v>
      </c>
      <c r="E28" s="103"/>
    </row>
    <row r="29" spans="1:5">
      <c r="A29" s="102"/>
      <c r="B29" s="2" t="s">
        <v>484</v>
      </c>
      <c r="D29" s="13">
        <v>3</v>
      </c>
      <c r="E29" s="103"/>
    </row>
    <row r="30" spans="1:5">
      <c r="A30" s="102"/>
      <c r="B30" s="2" t="s">
        <v>485</v>
      </c>
      <c r="D30" s="13">
        <v>3</v>
      </c>
      <c r="E30" s="103"/>
    </row>
    <row r="31" spans="1:5">
      <c r="A31" s="102"/>
      <c r="B31" s="2" t="s">
        <v>486</v>
      </c>
      <c r="C31" s="2" t="s">
        <v>487</v>
      </c>
      <c r="D31" s="13">
        <v>1</v>
      </c>
      <c r="E31" s="103"/>
    </row>
    <row r="32" spans="1:5">
      <c r="A32" s="102"/>
      <c r="B32" s="2" t="s">
        <v>488</v>
      </c>
      <c r="C32" s="2" t="s">
        <v>487</v>
      </c>
      <c r="D32" s="13">
        <v>1</v>
      </c>
      <c r="E32" s="103"/>
    </row>
    <row r="33" spans="1:5">
      <c r="A33" s="102"/>
      <c r="B33" s="2" t="s">
        <v>489</v>
      </c>
      <c r="C33" s="2" t="s">
        <v>487</v>
      </c>
      <c r="D33" s="13">
        <v>1</v>
      </c>
      <c r="E33" s="103"/>
    </row>
    <row r="34" spans="1:5">
      <c r="A34" s="102"/>
      <c r="B34" s="2" t="s">
        <v>490</v>
      </c>
      <c r="C34" s="2" t="s">
        <v>487</v>
      </c>
      <c r="D34" s="13">
        <v>2</v>
      </c>
      <c r="E34" s="103"/>
    </row>
    <row r="35" spans="1:5">
      <c r="A35" s="102"/>
      <c r="B35" s="2" t="s">
        <v>491</v>
      </c>
      <c r="C35" s="2" t="s">
        <v>487</v>
      </c>
      <c r="D35" s="13">
        <v>1</v>
      </c>
      <c r="E35" s="103"/>
    </row>
    <row r="36" spans="1:5">
      <c r="A36" s="102"/>
      <c r="B36" s="2" t="s">
        <v>492</v>
      </c>
      <c r="C36" s="2" t="s">
        <v>487</v>
      </c>
      <c r="D36" s="13">
        <v>1</v>
      </c>
      <c r="E36" s="103"/>
    </row>
    <row r="37" spans="1:5">
      <c r="A37" s="102"/>
      <c r="B37" s="266" t="s">
        <v>493</v>
      </c>
      <c r="C37" s="2" t="s">
        <v>487</v>
      </c>
      <c r="D37" s="13">
        <v>1</v>
      </c>
      <c r="E37" s="103"/>
    </row>
    <row r="38" spans="1:5">
      <c r="A38" s="102"/>
      <c r="B38" s="2" t="s">
        <v>494</v>
      </c>
      <c r="C38" s="2" t="s">
        <v>487</v>
      </c>
      <c r="D38" s="13">
        <v>1</v>
      </c>
      <c r="E38" s="103"/>
    </row>
    <row r="39" spans="1:5">
      <c r="A39" s="102"/>
      <c r="B39" s="2" t="s">
        <v>495</v>
      </c>
      <c r="C39" s="2" t="s">
        <v>487</v>
      </c>
      <c r="D39" s="13">
        <v>1</v>
      </c>
      <c r="E39" s="103"/>
    </row>
    <row r="40" spans="1:5">
      <c r="A40" s="102"/>
      <c r="B40" s="2" t="s">
        <v>496</v>
      </c>
      <c r="C40" s="2" t="s">
        <v>487</v>
      </c>
      <c r="D40" s="13">
        <v>1</v>
      </c>
      <c r="E40" s="103"/>
    </row>
    <row r="41" spans="1:5">
      <c r="A41" s="102"/>
      <c r="B41" s="2" t="s">
        <v>497</v>
      </c>
      <c r="C41" s="2" t="s">
        <v>487</v>
      </c>
      <c r="D41" s="13">
        <v>1</v>
      </c>
      <c r="E41" s="103"/>
    </row>
    <row r="42" spans="1:5">
      <c r="A42" s="102"/>
      <c r="B42" s="2" t="s">
        <v>498</v>
      </c>
      <c r="C42" s="2" t="s">
        <v>487</v>
      </c>
      <c r="D42" s="13">
        <v>3</v>
      </c>
      <c r="E42" s="103"/>
    </row>
    <row r="43" spans="1:5">
      <c r="A43" s="102"/>
      <c r="B43" s="2" t="s">
        <v>499</v>
      </c>
      <c r="C43" s="2" t="s">
        <v>487</v>
      </c>
      <c r="D43" s="13">
        <v>1</v>
      </c>
      <c r="E43" s="103"/>
    </row>
    <row r="44" spans="1:5">
      <c r="A44" s="102"/>
      <c r="B44" s="2" t="s">
        <v>500</v>
      </c>
      <c r="C44" s="2" t="s">
        <v>487</v>
      </c>
      <c r="D44" s="13">
        <v>1</v>
      </c>
      <c r="E44" s="103"/>
    </row>
    <row r="45" spans="1:5">
      <c r="A45" s="105"/>
      <c r="B45" s="131" t="s">
        <v>501</v>
      </c>
      <c r="C45" s="2" t="s">
        <v>487</v>
      </c>
      <c r="D45" s="106">
        <v>1</v>
      </c>
      <c r="E45" s="107"/>
    </row>
    <row r="47" spans="1:5">
      <c r="B47" s="126" t="s">
        <v>502</v>
      </c>
    </row>
  </sheetData>
  <hyperlinks>
    <hyperlink ref="A3" r:id="rId1" xr:uid="{53307A63-1EE9-4517-B5F1-5CA0F953F7F5}"/>
    <hyperlink ref="A4" r:id="rId2" xr:uid="{2528CF81-6C8D-40AC-9D95-F3211B9A3D3E}"/>
    <hyperlink ref="A5" r:id="rId3" xr:uid="{D15883BE-833C-49EF-BA52-7A45CFA89940}"/>
    <hyperlink ref="A12" r:id="rId4" xr:uid="{0457FC39-15B1-4C12-8626-8DAC04CFC8BE}"/>
  </hyperlinks>
  <printOptions horizontalCentered="1"/>
  <pageMargins left="0.19685039370078741" right="0.19685039370078741" top="0.39370078740157483" bottom="0.39370078740157483" header="0.11811023622047245" footer="0.19685039370078741"/>
  <pageSetup paperSize="9" orientation="portrait" r:id="rId5"/>
  <headerFooter>
    <oddHeader>&amp;C&amp;"Aptos Black,Regular"&amp;14VALKYRIE V2 - Z SYSTEM BOM</oddHeader>
    <oddFooter>&amp;CBETA PRELEASE&amp;R&amp;P of &amp;N</oddFooter>
  </headerFooter>
  <drawing r:id="rId6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66A9-2DE8-4309-B046-5549D41C73FC}">
  <sheetPr>
    <tabColor rgb="FFFFC000"/>
    <pageSetUpPr fitToPage="1"/>
  </sheetPr>
  <dimension ref="A1:E74"/>
  <sheetViews>
    <sheetView view="pageLayout" topLeftCell="B8" zoomScaleNormal="100" workbookViewId="0">
      <selection activeCell="B33" sqref="B33"/>
    </sheetView>
  </sheetViews>
  <sheetFormatPr defaultColWidth="3.710937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5703125" style="2" customWidth="1"/>
    <col min="6" max="16338" width="3.7109375" style="2"/>
    <col min="16339" max="16344" width="11.42578125" style="2" bestFit="1" customWidth="1"/>
    <col min="16345" max="16384" width="3.7109375" style="2"/>
  </cols>
  <sheetData>
    <row r="1" spans="1:5" ht="30" customHeight="1">
      <c r="A1" s="49"/>
      <c r="B1" s="62" t="s">
        <v>377</v>
      </c>
      <c r="C1" s="261" t="s">
        <v>378</v>
      </c>
      <c r="D1" s="261" t="s">
        <v>379</v>
      </c>
      <c r="E1" s="46"/>
    </row>
    <row r="2" spans="1:5">
      <c r="A2" s="50" t="s">
        <v>380</v>
      </c>
      <c r="B2" s="26" t="s">
        <v>169</v>
      </c>
      <c r="C2" s="266"/>
      <c r="D2" s="13">
        <v>14</v>
      </c>
      <c r="E2" s="51" t="s">
        <v>383</v>
      </c>
    </row>
    <row r="3" spans="1:5">
      <c r="A3" s="47" t="s">
        <v>384</v>
      </c>
      <c r="B3" t="s">
        <v>503</v>
      </c>
      <c r="C3" s="266"/>
      <c r="D3" s="13">
        <v>13</v>
      </c>
      <c r="E3" s="283" t="s">
        <v>386</v>
      </c>
    </row>
    <row r="4" spans="1:5">
      <c r="A4" s="47" t="s">
        <v>387</v>
      </c>
      <c r="B4" s="266" t="s">
        <v>174</v>
      </c>
      <c r="C4" s="266"/>
      <c r="D4" s="13">
        <v>2</v>
      </c>
      <c r="E4" s="283" t="s">
        <v>389</v>
      </c>
    </row>
    <row r="5" spans="1:5">
      <c r="A5" s="47" t="s">
        <v>390</v>
      </c>
      <c r="B5" t="s">
        <v>504</v>
      </c>
      <c r="C5" s="266"/>
      <c r="D5" s="13">
        <v>2</v>
      </c>
      <c r="E5" s="283" t="s">
        <v>393</v>
      </c>
    </row>
    <row r="6" spans="1:5">
      <c r="A6" s="23"/>
      <c r="B6" s="266" t="s">
        <v>505</v>
      </c>
      <c r="C6" s="266"/>
      <c r="D6" s="13">
        <v>1</v>
      </c>
      <c r="E6" s="52"/>
    </row>
    <row r="7" spans="1:5">
      <c r="A7" s="23"/>
      <c r="B7" s="266" t="s">
        <v>506</v>
      </c>
      <c r="C7" s="266"/>
      <c r="D7" s="13">
        <v>4</v>
      </c>
      <c r="E7" s="52"/>
    </row>
    <row r="8" spans="1:5">
      <c r="A8" s="23"/>
      <c r="B8" s="1" t="s">
        <v>507</v>
      </c>
      <c r="C8" s="266"/>
      <c r="D8" s="13">
        <v>6</v>
      </c>
      <c r="E8" s="52"/>
    </row>
    <row r="9" spans="1:5">
      <c r="A9" s="23"/>
      <c r="B9" s="1" t="s">
        <v>508</v>
      </c>
      <c r="C9" s="266"/>
      <c r="D9" s="13">
        <v>6</v>
      </c>
      <c r="E9" s="52"/>
    </row>
    <row r="10" spans="1:5">
      <c r="A10" s="23"/>
      <c r="B10" s="11" t="s">
        <v>326</v>
      </c>
      <c r="C10" s="267" t="s">
        <v>509</v>
      </c>
      <c r="D10" s="13">
        <v>2</v>
      </c>
      <c r="E10" s="52"/>
    </row>
    <row r="11" spans="1:5">
      <c r="A11" s="23"/>
      <c r="B11" s="11" t="s">
        <v>510</v>
      </c>
      <c r="C11" s="266"/>
      <c r="D11" s="13">
        <v>1</v>
      </c>
      <c r="E11" s="52"/>
    </row>
    <row r="12" spans="1:5">
      <c r="A12" s="23"/>
      <c r="B12" s="266" t="s">
        <v>67</v>
      </c>
      <c r="C12" s="266"/>
      <c r="D12" s="13">
        <v>1</v>
      </c>
      <c r="E12" s="52"/>
    </row>
    <row r="13" spans="1:5">
      <c r="A13" s="47" t="s">
        <v>401</v>
      </c>
      <c r="B13" s="266" t="s">
        <v>70</v>
      </c>
      <c r="C13" s="266"/>
      <c r="D13" s="13">
        <v>1</v>
      </c>
      <c r="E13" s="52"/>
    </row>
    <row r="14" spans="1:5">
      <c r="A14" s="23"/>
      <c r="B14" t="s">
        <v>448</v>
      </c>
      <c r="C14" s="1"/>
      <c r="D14" s="13">
        <v>29</v>
      </c>
      <c r="E14" s="52"/>
    </row>
    <row r="15" spans="1:5">
      <c r="A15" s="23"/>
      <c r="B15" t="s">
        <v>511</v>
      </c>
      <c r="C15" s="1"/>
      <c r="D15" s="13">
        <v>19</v>
      </c>
      <c r="E15" s="52"/>
    </row>
    <row r="16" spans="1:5">
      <c r="A16" s="23"/>
      <c r="B16" t="s">
        <v>512</v>
      </c>
      <c r="C16" s="266"/>
      <c r="D16" s="13">
        <v>4</v>
      </c>
      <c r="E16" s="52"/>
    </row>
    <row r="17" spans="1:5">
      <c r="A17" s="23"/>
      <c r="B17" s="2" t="s">
        <v>451</v>
      </c>
      <c r="C17" s="266"/>
      <c r="D17" s="13">
        <v>19</v>
      </c>
      <c r="E17" s="52"/>
    </row>
    <row r="18" spans="1:5">
      <c r="A18" s="23"/>
      <c r="B18" s="61" t="s">
        <v>193</v>
      </c>
      <c r="C18" s="266"/>
      <c r="D18" s="13">
        <v>6</v>
      </c>
      <c r="E18" s="52"/>
    </row>
    <row r="19" spans="1:5">
      <c r="A19" s="23"/>
      <c r="B19" s="2" t="s">
        <v>481</v>
      </c>
      <c r="C19" s="266"/>
      <c r="D19" s="13">
        <v>13</v>
      </c>
      <c r="E19" s="52"/>
    </row>
    <row r="20" spans="1:5">
      <c r="A20" s="23"/>
      <c r="B20" s="266" t="s">
        <v>513</v>
      </c>
      <c r="C20" s="266"/>
      <c r="D20" s="13">
        <v>4</v>
      </c>
      <c r="E20" s="52"/>
    </row>
    <row r="21" spans="1:5">
      <c r="A21" s="23"/>
      <c r="B21" s="266" t="s">
        <v>514</v>
      </c>
      <c r="C21" s="266"/>
      <c r="D21" s="13">
        <v>6</v>
      </c>
      <c r="E21" s="52"/>
    </row>
    <row r="22" spans="1:5">
      <c r="A22" s="23"/>
      <c r="B22" s="26" t="s">
        <v>207</v>
      </c>
      <c r="C22" s="266"/>
      <c r="D22" s="13">
        <v>4</v>
      </c>
      <c r="E22" s="52"/>
    </row>
    <row r="23" spans="1:5">
      <c r="A23" s="23"/>
      <c r="B23" t="s">
        <v>515</v>
      </c>
      <c r="C23" s="266"/>
      <c r="D23" s="13">
        <v>6</v>
      </c>
      <c r="E23" s="52"/>
    </row>
    <row r="24" spans="1:5">
      <c r="A24" s="23"/>
      <c r="B24" s="26" t="s">
        <v>213</v>
      </c>
      <c r="C24" s="266"/>
      <c r="D24" s="13">
        <v>4</v>
      </c>
      <c r="E24" s="52"/>
    </row>
    <row r="25" spans="1:5">
      <c r="A25" s="23"/>
      <c r="B25" s="26" t="s">
        <v>219</v>
      </c>
      <c r="C25" s="266"/>
      <c r="D25" s="13">
        <v>4</v>
      </c>
      <c r="E25" s="52"/>
    </row>
    <row r="26" spans="1:5">
      <c r="A26" s="23"/>
      <c r="B26" s="266" t="s">
        <v>516</v>
      </c>
      <c r="C26" s="266"/>
      <c r="D26" s="13">
        <v>1</v>
      </c>
      <c r="E26" s="52"/>
    </row>
    <row r="27" spans="1:5">
      <c r="A27" s="23"/>
      <c r="B27" s="266" t="s">
        <v>223</v>
      </c>
      <c r="C27" s="266"/>
      <c r="D27" s="13">
        <v>16</v>
      </c>
      <c r="E27" s="52"/>
    </row>
    <row r="28" spans="1:5">
      <c r="A28" s="23"/>
      <c r="B28" s="2" t="s">
        <v>400</v>
      </c>
      <c r="C28" s="266"/>
      <c r="D28" s="13">
        <v>52</v>
      </c>
      <c r="E28" s="52"/>
    </row>
    <row r="29" spans="1:5">
      <c r="A29" s="23"/>
      <c r="B29" s="2" t="s">
        <v>402</v>
      </c>
      <c r="C29" s="266"/>
      <c r="D29" s="13">
        <v>77</v>
      </c>
      <c r="E29" s="52"/>
    </row>
    <row r="30" spans="1:5">
      <c r="A30" s="23"/>
      <c r="B30" s="2" t="s">
        <v>229</v>
      </c>
      <c r="C30" s="266"/>
      <c r="D30" s="13">
        <v>16</v>
      </c>
      <c r="E30" s="52"/>
    </row>
    <row r="31" spans="1:5">
      <c r="A31" s="23"/>
      <c r="B31" s="266" t="s">
        <v>517</v>
      </c>
      <c r="C31" s="266"/>
      <c r="D31" s="13">
        <v>44</v>
      </c>
      <c r="E31" s="52"/>
    </row>
    <row r="32" spans="1:5">
      <c r="A32" s="23"/>
      <c r="B32" s="266" t="s">
        <v>518</v>
      </c>
      <c r="C32" s="266"/>
      <c r="D32" s="13">
        <v>17</v>
      </c>
      <c r="E32" s="52"/>
    </row>
    <row r="33" spans="1:5">
      <c r="A33" s="23"/>
      <c r="B33" s="2" t="s">
        <v>519</v>
      </c>
      <c r="C33" s="2" t="s">
        <v>520</v>
      </c>
      <c r="D33" s="13">
        <v>1</v>
      </c>
      <c r="E33" s="52"/>
    </row>
    <row r="34" spans="1:5">
      <c r="A34" s="23"/>
      <c r="B34" s="266" t="s">
        <v>521</v>
      </c>
      <c r="C34" s="266" t="s">
        <v>522</v>
      </c>
      <c r="D34" s="13">
        <v>1</v>
      </c>
      <c r="E34" s="52"/>
    </row>
    <row r="35" spans="1:5">
      <c r="A35" s="23"/>
      <c r="B35" s="266" t="s">
        <v>523</v>
      </c>
      <c r="C35" s="2" t="s">
        <v>520</v>
      </c>
      <c r="D35" s="13">
        <v>2</v>
      </c>
      <c r="E35" s="52"/>
    </row>
    <row r="36" spans="1:5">
      <c r="A36" s="23"/>
      <c r="B36" s="2" t="s">
        <v>524</v>
      </c>
      <c r="C36" s="2" t="s">
        <v>520</v>
      </c>
      <c r="D36" s="13">
        <v>1</v>
      </c>
      <c r="E36" s="52"/>
    </row>
    <row r="37" spans="1:5">
      <c r="A37" s="23"/>
      <c r="B37" s="2" t="s">
        <v>525</v>
      </c>
      <c r="C37" s="2" t="s">
        <v>520</v>
      </c>
      <c r="D37" s="13">
        <v>1</v>
      </c>
      <c r="E37" s="52"/>
    </row>
    <row r="38" spans="1:5">
      <c r="A38" s="23"/>
      <c r="B38" s="284" t="s">
        <v>526</v>
      </c>
      <c r="C38" s="284" t="s">
        <v>527</v>
      </c>
      <c r="D38" s="53">
        <v>1</v>
      </c>
      <c r="E38" s="52"/>
    </row>
    <row r="39" spans="1:5">
      <c r="A39" s="23"/>
      <c r="B39" s="2" t="s">
        <v>528</v>
      </c>
      <c r="C39" s="2" t="s">
        <v>520</v>
      </c>
      <c r="D39" s="13">
        <v>4</v>
      </c>
      <c r="E39" s="52"/>
    </row>
    <row r="40" spans="1:5">
      <c r="A40" s="23"/>
      <c r="B40" s="266" t="s">
        <v>529</v>
      </c>
      <c r="C40" s="2" t="s">
        <v>520</v>
      </c>
      <c r="D40" s="13">
        <v>2</v>
      </c>
      <c r="E40" s="52"/>
    </row>
    <row r="41" spans="1:5">
      <c r="A41" s="23"/>
      <c r="B41" s="2" t="s">
        <v>530</v>
      </c>
      <c r="C41" s="2" t="s">
        <v>520</v>
      </c>
      <c r="D41" s="13">
        <v>1</v>
      </c>
      <c r="E41" s="52"/>
    </row>
    <row r="42" spans="1:5">
      <c r="A42" s="23"/>
      <c r="B42" s="2" t="s">
        <v>531</v>
      </c>
      <c r="C42" s="2" t="s">
        <v>520</v>
      </c>
      <c r="D42" s="13">
        <v>1</v>
      </c>
      <c r="E42" s="52"/>
    </row>
    <row r="43" spans="1:5">
      <c r="A43" s="23"/>
      <c r="B43" s="2" t="s">
        <v>532</v>
      </c>
      <c r="C43" s="2" t="s">
        <v>520</v>
      </c>
      <c r="D43" s="13">
        <v>2</v>
      </c>
      <c r="E43" s="52"/>
    </row>
    <row r="44" spans="1:5">
      <c r="A44" s="23"/>
      <c r="B44" s="2" t="s">
        <v>533</v>
      </c>
      <c r="C44" s="2" t="s">
        <v>520</v>
      </c>
      <c r="D44" s="13">
        <v>1</v>
      </c>
      <c r="E44" s="52"/>
    </row>
    <row r="45" spans="1:5">
      <c r="A45" s="23"/>
      <c r="B45" s="2" t="s">
        <v>534</v>
      </c>
      <c r="C45" s="2" t="s">
        <v>520</v>
      </c>
      <c r="D45" s="13">
        <v>1</v>
      </c>
      <c r="E45" s="52"/>
    </row>
    <row r="46" spans="1:5">
      <c r="A46" s="23"/>
      <c r="B46" s="2" t="s">
        <v>535</v>
      </c>
      <c r="C46" s="2" t="s">
        <v>520</v>
      </c>
      <c r="D46" s="13">
        <v>1</v>
      </c>
      <c r="E46" s="52"/>
    </row>
    <row r="47" spans="1:5">
      <c r="A47" s="23"/>
      <c r="B47" s="2" t="s">
        <v>536</v>
      </c>
      <c r="C47" s="2" t="s">
        <v>520</v>
      </c>
      <c r="D47" s="13">
        <v>1</v>
      </c>
      <c r="E47" s="52"/>
    </row>
    <row r="48" spans="1:5">
      <c r="A48" s="23"/>
      <c r="B48" s="266" t="s">
        <v>537</v>
      </c>
      <c r="C48" s="2" t="s">
        <v>520</v>
      </c>
      <c r="D48" s="13">
        <v>1</v>
      </c>
      <c r="E48" s="52"/>
    </row>
    <row r="49" spans="1:5">
      <c r="A49" s="23"/>
      <c r="B49" s="266" t="s">
        <v>538</v>
      </c>
      <c r="C49" s="2" t="s">
        <v>520</v>
      </c>
      <c r="D49" s="13">
        <v>1</v>
      </c>
      <c r="E49" s="52"/>
    </row>
    <row r="50" spans="1:5">
      <c r="A50" s="23"/>
      <c r="B50" s="266" t="s">
        <v>539</v>
      </c>
      <c r="C50" s="2" t="s">
        <v>520</v>
      </c>
      <c r="D50" s="13">
        <v>1</v>
      </c>
      <c r="E50" s="52"/>
    </row>
    <row r="51" spans="1:5">
      <c r="A51" s="23"/>
      <c r="B51" s="266" t="s">
        <v>540</v>
      </c>
      <c r="C51" s="2" t="s">
        <v>520</v>
      </c>
      <c r="D51" s="13">
        <v>1</v>
      </c>
      <c r="E51" s="52"/>
    </row>
    <row r="52" spans="1:5">
      <c r="A52" s="23"/>
      <c r="B52" s="2" t="s">
        <v>541</v>
      </c>
      <c r="C52" s="2" t="s">
        <v>520</v>
      </c>
      <c r="D52" s="13">
        <v>1</v>
      </c>
      <c r="E52" s="52"/>
    </row>
    <row r="53" spans="1:5">
      <c r="A53" s="23"/>
      <c r="B53" s="2" t="s">
        <v>542</v>
      </c>
      <c r="C53" s="2" t="s">
        <v>520</v>
      </c>
      <c r="D53" s="13">
        <v>1</v>
      </c>
      <c r="E53" s="52"/>
    </row>
    <row r="54" spans="1:5">
      <c r="A54" s="23"/>
      <c r="B54" s="2" t="s">
        <v>543</v>
      </c>
      <c r="C54" s="2" t="s">
        <v>544</v>
      </c>
      <c r="D54" s="13">
        <v>1</v>
      </c>
      <c r="E54" s="52"/>
    </row>
    <row r="55" spans="1:5">
      <c r="A55" s="23"/>
      <c r="B55" s="2" t="s">
        <v>545</v>
      </c>
      <c r="C55" s="2" t="s">
        <v>544</v>
      </c>
      <c r="D55" s="13">
        <v>1</v>
      </c>
      <c r="E55" s="52"/>
    </row>
    <row r="56" spans="1:5">
      <c r="A56" s="23"/>
      <c r="B56" s="2" t="s">
        <v>546</v>
      </c>
      <c r="C56" s="2" t="s">
        <v>544</v>
      </c>
      <c r="D56" s="13">
        <v>1</v>
      </c>
      <c r="E56" s="52"/>
    </row>
    <row r="57" spans="1:5">
      <c r="A57" s="23"/>
      <c r="B57" s="2" t="s">
        <v>547</v>
      </c>
      <c r="C57" s="2" t="s">
        <v>544</v>
      </c>
      <c r="D57" s="13">
        <v>1</v>
      </c>
      <c r="E57" s="52"/>
    </row>
    <row r="58" spans="1:5">
      <c r="A58" s="23"/>
      <c r="B58" s="2" t="s">
        <v>548</v>
      </c>
      <c r="C58" s="2" t="s">
        <v>544</v>
      </c>
      <c r="D58" s="13">
        <v>1</v>
      </c>
      <c r="E58" s="52"/>
    </row>
    <row r="59" spans="1:5">
      <c r="A59" s="23"/>
      <c r="B59" s="2" t="s">
        <v>549</v>
      </c>
      <c r="C59" s="2" t="s">
        <v>544</v>
      </c>
      <c r="D59" s="13">
        <v>1</v>
      </c>
      <c r="E59" s="52"/>
    </row>
    <row r="60" spans="1:5">
      <c r="A60" s="23"/>
      <c r="B60" s="2" t="s">
        <v>550</v>
      </c>
      <c r="C60" s="2" t="s">
        <v>551</v>
      </c>
      <c r="D60" s="13">
        <v>1</v>
      </c>
      <c r="E60" s="52"/>
    </row>
    <row r="61" spans="1:5">
      <c r="A61" s="23"/>
      <c r="B61" s="2" t="s">
        <v>552</v>
      </c>
      <c r="C61" s="2" t="s">
        <v>551</v>
      </c>
      <c r="D61" s="13">
        <v>2</v>
      </c>
      <c r="E61" s="52"/>
    </row>
    <row r="62" spans="1:5">
      <c r="A62" s="23"/>
      <c r="B62" s="2" t="s">
        <v>553</v>
      </c>
      <c r="C62" s="2" t="s">
        <v>551</v>
      </c>
      <c r="D62" s="13">
        <v>1</v>
      </c>
      <c r="E62" s="52"/>
    </row>
    <row r="63" spans="1:5">
      <c r="A63" s="23"/>
      <c r="B63" s="2" t="s">
        <v>554</v>
      </c>
      <c r="C63" s="2" t="s">
        <v>551</v>
      </c>
      <c r="D63" s="13">
        <v>1</v>
      </c>
      <c r="E63" s="52"/>
    </row>
    <row r="64" spans="1:5">
      <c r="A64" s="23"/>
      <c r="B64" s="2" t="s">
        <v>555</v>
      </c>
      <c r="C64" s="2" t="s">
        <v>551</v>
      </c>
      <c r="D64" s="13">
        <v>1</v>
      </c>
      <c r="E64" s="52"/>
    </row>
    <row r="65" spans="1:5">
      <c r="A65" s="23"/>
      <c r="B65" s="2" t="s">
        <v>556</v>
      </c>
      <c r="C65" s="2" t="s">
        <v>551</v>
      </c>
      <c r="D65" s="13">
        <v>1</v>
      </c>
      <c r="E65" s="52"/>
    </row>
    <row r="66" spans="1:5">
      <c r="A66" s="23"/>
      <c r="B66" s="2" t="s">
        <v>557</v>
      </c>
      <c r="C66" s="2" t="s">
        <v>551</v>
      </c>
      <c r="D66" s="13">
        <v>1</v>
      </c>
      <c r="E66" s="52"/>
    </row>
    <row r="67" spans="1:5">
      <c r="A67" s="23"/>
      <c r="B67" s="2" t="s">
        <v>558</v>
      </c>
      <c r="C67" s="2" t="s">
        <v>551</v>
      </c>
      <c r="D67" s="13">
        <v>1</v>
      </c>
      <c r="E67" s="52"/>
    </row>
    <row r="68" spans="1:5">
      <c r="A68" s="23"/>
      <c r="B68" s="2" t="s">
        <v>559</v>
      </c>
      <c r="C68" s="2" t="s">
        <v>551</v>
      </c>
      <c r="D68" s="13">
        <v>1</v>
      </c>
      <c r="E68" s="52"/>
    </row>
    <row r="69" spans="1:5">
      <c r="A69" s="23"/>
      <c r="B69" s="266" t="s">
        <v>560</v>
      </c>
      <c r="C69" s="2" t="s">
        <v>520</v>
      </c>
      <c r="D69" s="13">
        <v>6</v>
      </c>
      <c r="E69" s="52"/>
    </row>
    <row r="70" spans="1:5">
      <c r="A70" s="23"/>
      <c r="B70" s="2" t="s">
        <v>561</v>
      </c>
      <c r="C70" s="2" t="s">
        <v>551</v>
      </c>
      <c r="D70" s="13">
        <v>1</v>
      </c>
      <c r="E70" s="52"/>
    </row>
    <row r="71" spans="1:5">
      <c r="A71" s="23"/>
      <c r="B71" s="1" t="s">
        <v>562</v>
      </c>
      <c r="C71" s="266" t="s">
        <v>520</v>
      </c>
      <c r="D71" s="13">
        <v>1</v>
      </c>
      <c r="E71" s="52"/>
    </row>
    <row r="72" spans="1:5">
      <c r="A72" s="23"/>
      <c r="B72" t="s">
        <v>563</v>
      </c>
      <c r="C72" s="266" t="s">
        <v>520</v>
      </c>
      <c r="D72" s="13">
        <v>1</v>
      </c>
      <c r="E72" s="52"/>
    </row>
    <row r="73" spans="1:5">
      <c r="A73" s="23"/>
      <c r="B73" s="2" t="s">
        <v>564</v>
      </c>
      <c r="C73" s="2" t="s">
        <v>520</v>
      </c>
      <c r="D73" s="13">
        <v>2</v>
      </c>
      <c r="E73" s="52"/>
    </row>
    <row r="74" spans="1:5" ht="15.75" thickBot="1">
      <c r="A74" s="57"/>
      <c r="B74" s="48" t="s">
        <v>565</v>
      </c>
      <c r="C74" s="48" t="s">
        <v>520</v>
      </c>
      <c r="D74" s="58">
        <v>1</v>
      </c>
      <c r="E74" s="59"/>
    </row>
  </sheetData>
  <hyperlinks>
    <hyperlink ref="A3" r:id="rId1" xr:uid="{C0038DA9-598E-40D9-8FB8-D2073CC15AF1}"/>
    <hyperlink ref="A4" r:id="rId2" xr:uid="{CBC6A436-CD3F-43A1-BC5D-553D7AE0BAB2}"/>
    <hyperlink ref="A5" r:id="rId3" xr:uid="{32564E2D-78FA-43B8-A5AC-B72F0BDEEE47}"/>
    <hyperlink ref="A13" r:id="rId4" xr:uid="{E56F7780-6CEF-4406-8C8D-6CD14A1C787F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72" orientation="portrait" r:id="rId5"/>
  <headerFooter>
    <oddHeader>&amp;C&amp;"Aptos Black,Regular"&amp;14VALKYRIE V2 - ENCLOSURE BOM</oddHeader>
    <oddFooter>&amp;CBETA PRELEASE&amp;R&amp;P of &amp;N</oddFooter>
  </headerFooter>
  <drawing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6C79-BDB9-4C39-93AD-8B127B4C8773}">
  <sheetPr>
    <tabColor rgb="FFFFC000"/>
    <pageSetUpPr fitToPage="1"/>
  </sheetPr>
  <dimension ref="A1:F46"/>
  <sheetViews>
    <sheetView view="pageLayout" topLeftCell="A8" zoomScaleNormal="100" workbookViewId="0">
      <selection activeCell="B31" sqref="B31:D31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5" style="2" customWidth="1"/>
    <col min="6" max="16359" width="11.42578125" style="2"/>
    <col min="16360" max="16365" width="11.42578125" style="2" bestFit="1" customWidth="1"/>
    <col min="16366" max="16384" width="11.42578125" style="2"/>
  </cols>
  <sheetData>
    <row r="1" spans="1:5" ht="30" customHeight="1">
      <c r="A1" s="49"/>
      <c r="B1" s="8" t="s">
        <v>377</v>
      </c>
      <c r="C1" s="286" t="s">
        <v>378</v>
      </c>
      <c r="D1" s="286" t="s">
        <v>379</v>
      </c>
      <c r="E1" s="46"/>
    </row>
    <row r="2" spans="1:5">
      <c r="A2" s="50" t="s">
        <v>380</v>
      </c>
      <c r="B2" s="11" t="s">
        <v>566</v>
      </c>
      <c r="C2" s="286" t="s">
        <v>567</v>
      </c>
      <c r="D2" s="288" t="s">
        <v>568</v>
      </c>
      <c r="E2" s="51" t="s">
        <v>383</v>
      </c>
    </row>
    <row r="3" spans="1:5">
      <c r="A3" s="47" t="s">
        <v>384</v>
      </c>
      <c r="B3" s="266" t="s">
        <v>166</v>
      </c>
      <c r="C3" s="266" t="s">
        <v>567</v>
      </c>
      <c r="D3" s="266">
        <v>1</v>
      </c>
      <c r="E3" s="283" t="s">
        <v>386</v>
      </c>
    </row>
    <row r="4" spans="1:5">
      <c r="A4" s="47" t="s">
        <v>387</v>
      </c>
      <c r="B4" t="s">
        <v>503</v>
      </c>
      <c r="C4" s="266" t="s">
        <v>567</v>
      </c>
      <c r="D4" s="266">
        <v>4</v>
      </c>
      <c r="E4" s="283" t="s">
        <v>389</v>
      </c>
    </row>
    <row r="5" spans="1:5">
      <c r="A5" s="47" t="s">
        <v>390</v>
      </c>
      <c r="B5" s="266" t="s">
        <v>330</v>
      </c>
      <c r="C5" s="266" t="s">
        <v>567</v>
      </c>
      <c r="D5" s="266">
        <v>3</v>
      </c>
      <c r="E5" s="283" t="s">
        <v>393</v>
      </c>
    </row>
    <row r="6" spans="1:5">
      <c r="A6" s="23"/>
      <c r="B6" s="11" t="s">
        <v>569</v>
      </c>
      <c r="C6" s="266" t="s">
        <v>567</v>
      </c>
      <c r="D6" s="266">
        <v>1</v>
      </c>
      <c r="E6" s="52"/>
    </row>
    <row r="7" spans="1:5">
      <c r="A7" s="23"/>
      <c r="B7" s="266" t="s">
        <v>570</v>
      </c>
      <c r="C7" s="266" t="s">
        <v>567</v>
      </c>
      <c r="D7" s="2">
        <v>2</v>
      </c>
      <c r="E7" s="52"/>
    </row>
    <row r="8" spans="1:5">
      <c r="A8" s="23"/>
      <c r="B8" s="266" t="s">
        <v>571</v>
      </c>
      <c r="C8" s="266" t="s">
        <v>572</v>
      </c>
      <c r="D8" s="266">
        <v>1</v>
      </c>
      <c r="E8" s="52"/>
    </row>
    <row r="9" spans="1:5">
      <c r="A9" s="23"/>
      <c r="B9" s="270" t="s">
        <v>60</v>
      </c>
      <c r="C9" s="266" t="s">
        <v>572</v>
      </c>
      <c r="D9" s="266">
        <v>1</v>
      </c>
      <c r="E9" s="52"/>
    </row>
    <row r="10" spans="1:5">
      <c r="A10" s="23"/>
      <c r="B10" s="2" t="s">
        <v>56</v>
      </c>
      <c r="C10" s="266" t="s">
        <v>572</v>
      </c>
      <c r="D10" s="266">
        <v>1</v>
      </c>
      <c r="E10" s="52"/>
    </row>
    <row r="11" spans="1:5">
      <c r="A11" s="23"/>
      <c r="B11" s="26" t="s">
        <v>573</v>
      </c>
      <c r="C11" s="266" t="s">
        <v>572</v>
      </c>
      <c r="D11" s="266">
        <v>1</v>
      </c>
      <c r="E11" s="52"/>
    </row>
    <row r="12" spans="1:5">
      <c r="A12" s="47" t="s">
        <v>401</v>
      </c>
      <c r="B12" s="2" t="s">
        <v>188</v>
      </c>
      <c r="C12" s="266" t="s">
        <v>567</v>
      </c>
      <c r="D12" s="266">
        <v>10</v>
      </c>
      <c r="E12" s="52"/>
    </row>
    <row r="13" spans="1:5">
      <c r="A13" s="23"/>
      <c r="B13" s="266" t="s">
        <v>191</v>
      </c>
      <c r="C13" s="266" t="s">
        <v>567</v>
      </c>
      <c r="D13" s="266">
        <v>1</v>
      </c>
      <c r="E13" s="52"/>
    </row>
    <row r="14" spans="1:5">
      <c r="A14" s="23"/>
      <c r="B14" s="2" t="s">
        <v>574</v>
      </c>
      <c r="C14" s="266" t="s">
        <v>567</v>
      </c>
      <c r="D14" s="266">
        <v>2</v>
      </c>
      <c r="E14" s="52"/>
    </row>
    <row r="15" spans="1:5">
      <c r="A15" s="23"/>
      <c r="B15" s="2" t="s">
        <v>575</v>
      </c>
      <c r="C15" s="266" t="s">
        <v>567</v>
      </c>
      <c r="D15" s="266">
        <v>7</v>
      </c>
      <c r="E15" s="52"/>
    </row>
    <row r="16" spans="1:5">
      <c r="A16" s="23"/>
      <c r="B16" s="2" t="s">
        <v>209</v>
      </c>
      <c r="C16" s="266" t="s">
        <v>567</v>
      </c>
      <c r="D16" s="266">
        <v>3</v>
      </c>
      <c r="E16" s="52"/>
    </row>
    <row r="17" spans="1:6">
      <c r="A17" s="23"/>
      <c r="B17" s="266" t="s">
        <v>576</v>
      </c>
      <c r="C17" s="266" t="s">
        <v>567</v>
      </c>
      <c r="D17" s="2">
        <v>2</v>
      </c>
      <c r="E17" s="52"/>
    </row>
    <row r="18" spans="1:6">
      <c r="A18" s="23"/>
      <c r="B18" s="266" t="s">
        <v>221</v>
      </c>
      <c r="C18" s="266" t="s">
        <v>567</v>
      </c>
      <c r="D18" s="266">
        <v>1</v>
      </c>
      <c r="E18" s="52"/>
    </row>
    <row r="19" spans="1:6">
      <c r="A19" s="23"/>
      <c r="B19" t="s">
        <v>577</v>
      </c>
      <c r="C19" s="266" t="s">
        <v>567</v>
      </c>
      <c r="D19" s="266">
        <v>2</v>
      </c>
      <c r="E19" s="52"/>
    </row>
    <row r="20" spans="1:6">
      <c r="A20" s="23"/>
      <c r="B20" t="s">
        <v>578</v>
      </c>
      <c r="C20" s="266" t="s">
        <v>567</v>
      </c>
      <c r="D20" s="266">
        <v>2</v>
      </c>
      <c r="E20" s="52"/>
    </row>
    <row r="21" spans="1:6">
      <c r="A21" s="23"/>
      <c r="B21" s="266" t="s">
        <v>579</v>
      </c>
      <c r="C21" s="266" t="s">
        <v>572</v>
      </c>
      <c r="D21" s="2">
        <v>1</v>
      </c>
      <c r="E21" s="52"/>
      <c r="F21" s="2" t="s">
        <v>580</v>
      </c>
    </row>
    <row r="22" spans="1:6">
      <c r="A22" s="23"/>
      <c r="B22" t="s">
        <v>581</v>
      </c>
      <c r="C22" s="266" t="s">
        <v>405</v>
      </c>
      <c r="D22" s="2">
        <v>1</v>
      </c>
      <c r="E22" s="52"/>
    </row>
    <row r="23" spans="1:6">
      <c r="A23" s="23"/>
      <c r="B23" t="s">
        <v>582</v>
      </c>
      <c r="C23" s="266" t="s">
        <v>405</v>
      </c>
      <c r="D23" s="2">
        <v>2</v>
      </c>
      <c r="E23" s="52"/>
    </row>
    <row r="24" spans="1:6">
      <c r="A24" s="23"/>
      <c r="B24" t="s">
        <v>583</v>
      </c>
      <c r="C24" s="266" t="s">
        <v>405</v>
      </c>
      <c r="D24" s="2">
        <v>1</v>
      </c>
      <c r="E24" s="52"/>
    </row>
    <row r="25" spans="1:6">
      <c r="A25" s="23"/>
      <c r="B25" t="s">
        <v>584</v>
      </c>
      <c r="C25" s="266" t="s">
        <v>405</v>
      </c>
      <c r="D25" s="266">
        <v>1</v>
      </c>
      <c r="E25" s="52"/>
    </row>
    <row r="26" spans="1:6">
      <c r="A26" s="23"/>
      <c r="B26" t="s">
        <v>585</v>
      </c>
      <c r="C26" s="266" t="s">
        <v>405</v>
      </c>
      <c r="D26" s="1">
        <v>1</v>
      </c>
      <c r="E26" s="52"/>
    </row>
    <row r="27" spans="1:6">
      <c r="A27" s="23"/>
      <c r="B27" t="s">
        <v>586</v>
      </c>
      <c r="C27" s="266" t="s">
        <v>405</v>
      </c>
      <c r="D27" s="1">
        <v>1</v>
      </c>
      <c r="E27" s="52"/>
    </row>
    <row r="28" spans="1:6">
      <c r="A28" s="23"/>
      <c r="B28" s="1" t="s">
        <v>587</v>
      </c>
      <c r="C28" s="266" t="s">
        <v>405</v>
      </c>
      <c r="D28" s="266">
        <v>2</v>
      </c>
      <c r="E28" s="52"/>
    </row>
    <row r="29" spans="1:6">
      <c r="A29" s="23"/>
      <c r="B29" s="266" t="s">
        <v>588</v>
      </c>
      <c r="C29" s="266" t="s">
        <v>405</v>
      </c>
      <c r="D29" s="2">
        <v>4</v>
      </c>
      <c r="E29" s="52"/>
    </row>
    <row r="30" spans="1:6">
      <c r="A30" s="23"/>
      <c r="B30" s="266" t="s">
        <v>589</v>
      </c>
      <c r="C30" s="266" t="s">
        <v>551</v>
      </c>
      <c r="D30" s="2">
        <v>1</v>
      </c>
      <c r="E30" s="52"/>
    </row>
    <row r="31" spans="1:6">
      <c r="A31" s="23"/>
      <c r="B31" t="s">
        <v>590</v>
      </c>
      <c r="C31" s="266" t="s">
        <v>405</v>
      </c>
      <c r="D31" s="266">
        <v>1</v>
      </c>
      <c r="E31" s="52"/>
    </row>
    <row r="32" spans="1:6">
      <c r="A32" s="23"/>
      <c r="B32" s="1" t="s">
        <v>591</v>
      </c>
      <c r="C32" s="266" t="s">
        <v>592</v>
      </c>
      <c r="D32" s="266">
        <v>2</v>
      </c>
      <c r="E32" s="52"/>
    </row>
    <row r="33" spans="1:5">
      <c r="A33" s="23"/>
      <c r="B33" t="s">
        <v>593</v>
      </c>
      <c r="C33" s="266" t="s">
        <v>594</v>
      </c>
      <c r="D33" s="266">
        <v>2</v>
      </c>
      <c r="E33" s="52"/>
    </row>
    <row r="34" spans="1:5">
      <c r="A34" s="23"/>
      <c r="B34" s="1" t="s">
        <v>595</v>
      </c>
      <c r="C34" s="266" t="s">
        <v>596</v>
      </c>
      <c r="D34" s="266">
        <v>2</v>
      </c>
      <c r="E34" s="52"/>
    </row>
    <row r="35" spans="1:5">
      <c r="A35" s="23"/>
      <c r="B35" s="1" t="s">
        <v>597</v>
      </c>
      <c r="C35" s="266" t="s">
        <v>592</v>
      </c>
      <c r="D35" s="266">
        <v>2</v>
      </c>
      <c r="E35" s="52"/>
    </row>
    <row r="36" spans="1:5">
      <c r="A36" s="23"/>
      <c r="B36" s="266" t="s">
        <v>598</v>
      </c>
      <c r="C36" s="266" t="s">
        <v>599</v>
      </c>
      <c r="D36" s="266">
        <v>2</v>
      </c>
      <c r="E36" s="52"/>
    </row>
    <row r="37" spans="1:5">
      <c r="A37" s="23"/>
      <c r="B37" s="266" t="s">
        <v>600</v>
      </c>
      <c r="C37" s="266" t="s">
        <v>596</v>
      </c>
      <c r="D37" s="266">
        <v>2</v>
      </c>
      <c r="E37" s="52"/>
    </row>
    <row r="38" spans="1:5">
      <c r="A38" s="23"/>
      <c r="B38" s="1" t="s">
        <v>601</v>
      </c>
      <c r="C38" s="266" t="s">
        <v>405</v>
      </c>
      <c r="D38" s="266">
        <v>1</v>
      </c>
      <c r="E38" s="52"/>
    </row>
    <row r="39" spans="1:5">
      <c r="A39" s="23"/>
      <c r="B39" s="266" t="s">
        <v>602</v>
      </c>
      <c r="C39" s="266" t="s">
        <v>405</v>
      </c>
      <c r="D39" s="2">
        <v>1</v>
      </c>
      <c r="E39" s="52"/>
    </row>
    <row r="40" spans="1:5">
      <c r="A40" s="23"/>
      <c r="B40" s="266" t="s">
        <v>603</v>
      </c>
      <c r="C40" s="266" t="s">
        <v>405</v>
      </c>
      <c r="D40" s="2">
        <v>1</v>
      </c>
      <c r="E40" s="52"/>
    </row>
    <row r="41" spans="1:5">
      <c r="A41" s="23"/>
      <c r="B41" s="266" t="s">
        <v>604</v>
      </c>
      <c r="C41" s="266" t="s">
        <v>405</v>
      </c>
      <c r="D41" s="2">
        <v>1</v>
      </c>
      <c r="E41" s="52"/>
    </row>
    <row r="42" spans="1:5">
      <c r="A42" s="23"/>
      <c r="B42" s="266" t="s">
        <v>605</v>
      </c>
      <c r="C42" s="266" t="s">
        <v>405</v>
      </c>
      <c r="D42" s="2">
        <v>1</v>
      </c>
      <c r="E42" s="52"/>
    </row>
    <row r="43" spans="1:5">
      <c r="A43" s="23"/>
      <c r="B43" s="266" t="s">
        <v>606</v>
      </c>
      <c r="C43" s="266" t="s">
        <v>405</v>
      </c>
      <c r="D43" s="266">
        <v>1</v>
      </c>
      <c r="E43" s="52"/>
    </row>
    <row r="44" spans="1:5" ht="15.75" thickBot="1">
      <c r="A44" s="57"/>
      <c r="B44" s="266" t="s">
        <v>607</v>
      </c>
      <c r="C44" s="266" t="s">
        <v>405</v>
      </c>
      <c r="D44" s="2">
        <v>1</v>
      </c>
      <c r="E44" s="59"/>
    </row>
    <row r="45" spans="1:5">
      <c r="C45" s="277"/>
    </row>
    <row r="46" spans="1:5" ht="30">
      <c r="B46" s="128" t="s">
        <v>608</v>
      </c>
    </row>
  </sheetData>
  <hyperlinks>
    <hyperlink ref="A3" r:id="rId1" xr:uid="{F452EBED-B07E-411A-BD10-A76B75B4D1DF}"/>
    <hyperlink ref="A4" r:id="rId2" xr:uid="{D814B011-CB96-4075-8F8E-51A6A54BAB25}"/>
    <hyperlink ref="A5" r:id="rId3" xr:uid="{D2B2A955-A806-421B-A3AE-61388E5766E2}"/>
    <hyperlink ref="A12" r:id="rId4" xr:uid="{D01EBC21-93B3-46AE-A6B8-DF0ED8566BBA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99" orientation="portrait" r:id="rId5"/>
  <headerFooter>
    <oddHeader>&amp;C&amp;"Aptos Black,Regular"&amp;14VALKYRIE V2 - DRYBOX BOM</oddHeader>
    <oddFooter>&amp;CBETA PRELEASE&amp;R&amp;P of &amp;N</oddFooter>
  </headerFooter>
  <drawing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4F9-8CF9-41A9-B50B-696BFD4E565C}">
  <sheetPr>
    <tabColor rgb="FF00B050"/>
    <pageSetUpPr fitToPage="1"/>
  </sheetPr>
  <dimension ref="A1:E18"/>
  <sheetViews>
    <sheetView view="pageLayout" zoomScaleNormal="100" workbookViewId="0">
      <selection activeCell="B3" sqref="B3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7" style="2" customWidth="1"/>
    <col min="6" max="16355" width="11.42578125" style="2"/>
    <col min="16356" max="16361" width="11.42578125" style="2" bestFit="1" customWidth="1"/>
    <col min="16362" max="16384" width="11.42578125" style="2"/>
  </cols>
  <sheetData>
    <row r="1" spans="1:5" ht="30" customHeight="1">
      <c r="A1" s="49"/>
      <c r="B1" s="62" t="s">
        <v>377</v>
      </c>
      <c r="C1" s="261" t="s">
        <v>378</v>
      </c>
      <c r="D1" s="261" t="s">
        <v>379</v>
      </c>
      <c r="E1" s="46"/>
    </row>
    <row r="2" spans="1:5">
      <c r="A2" s="50" t="s">
        <v>380</v>
      </c>
      <c r="B2" s="11" t="s">
        <v>609</v>
      </c>
      <c r="C2" s="266"/>
      <c r="D2" s="266">
        <v>6</v>
      </c>
      <c r="E2" s="51" t="s">
        <v>383</v>
      </c>
    </row>
    <row r="3" spans="1:5">
      <c r="A3" s="47" t="s">
        <v>384</v>
      </c>
      <c r="B3" s="265" t="s">
        <v>281</v>
      </c>
      <c r="D3" s="266">
        <v>1</v>
      </c>
      <c r="E3" s="283" t="s">
        <v>386</v>
      </c>
    </row>
    <row r="4" spans="1:5">
      <c r="A4" s="47" t="s">
        <v>387</v>
      </c>
      <c r="B4" s="266" t="s">
        <v>610</v>
      </c>
      <c r="C4" s="266"/>
      <c r="D4" s="266">
        <v>1</v>
      </c>
      <c r="E4" s="283" t="s">
        <v>389</v>
      </c>
    </row>
    <row r="5" spans="1:5">
      <c r="A5" s="47" t="s">
        <v>390</v>
      </c>
      <c r="B5" s="265" t="s">
        <v>290</v>
      </c>
      <c r="C5" s="266"/>
      <c r="D5" s="266">
        <v>1</v>
      </c>
      <c r="E5" s="283" t="s">
        <v>393</v>
      </c>
    </row>
    <row r="6" spans="1:5">
      <c r="A6" s="23"/>
      <c r="B6" s="265" t="s">
        <v>611</v>
      </c>
      <c r="D6" s="266">
        <v>1</v>
      </c>
      <c r="E6" s="52"/>
    </row>
    <row r="7" spans="1:5">
      <c r="A7" s="23"/>
      <c r="B7" s="266" t="s">
        <v>612</v>
      </c>
      <c r="C7" s="266"/>
      <c r="D7" s="266">
        <v>1</v>
      </c>
      <c r="E7" s="52"/>
    </row>
    <row r="8" spans="1:5">
      <c r="A8" s="23"/>
      <c r="B8" t="s">
        <v>176</v>
      </c>
      <c r="C8" s="266"/>
      <c r="D8" s="266">
        <v>4</v>
      </c>
      <c r="E8" s="52"/>
    </row>
    <row r="9" spans="1:5">
      <c r="A9" s="23"/>
      <c r="B9" t="s">
        <v>180</v>
      </c>
      <c r="D9" s="266">
        <v>12</v>
      </c>
      <c r="E9" s="52"/>
    </row>
    <row r="10" spans="1:5">
      <c r="A10" s="23"/>
      <c r="B10" t="s">
        <v>613</v>
      </c>
      <c r="D10" s="266">
        <v>4</v>
      </c>
      <c r="E10" s="52"/>
    </row>
    <row r="11" spans="1:5">
      <c r="A11" s="23"/>
      <c r="B11" t="s">
        <v>452</v>
      </c>
      <c r="D11" s="266">
        <v>4</v>
      </c>
      <c r="E11" s="52"/>
    </row>
    <row r="12" spans="1:5">
      <c r="A12" s="47" t="s">
        <v>401</v>
      </c>
      <c r="B12" t="s">
        <v>400</v>
      </c>
      <c r="D12" s="266">
        <v>2</v>
      </c>
      <c r="E12" s="52"/>
    </row>
    <row r="13" spans="1:5">
      <c r="A13" s="23"/>
      <c r="B13" s="1" t="s">
        <v>402</v>
      </c>
      <c r="D13" s="266">
        <v>2</v>
      </c>
      <c r="E13" s="52"/>
    </row>
    <row r="14" spans="1:5">
      <c r="A14" s="23"/>
      <c r="B14" s="2" t="s">
        <v>229</v>
      </c>
      <c r="D14" s="266">
        <v>6</v>
      </c>
      <c r="E14" s="52"/>
    </row>
    <row r="15" spans="1:5">
      <c r="A15" s="23"/>
      <c r="B15" t="s">
        <v>614</v>
      </c>
      <c r="D15" s="266">
        <v>1</v>
      </c>
      <c r="E15" s="52"/>
    </row>
    <row r="16" spans="1:5">
      <c r="A16" s="23"/>
      <c r="B16" s="262" t="s">
        <v>615</v>
      </c>
      <c r="D16" s="266">
        <v>1</v>
      </c>
      <c r="E16" s="52"/>
    </row>
    <row r="17" spans="1:5">
      <c r="A17" s="23"/>
      <c r="B17" s="26" t="s">
        <v>616</v>
      </c>
      <c r="D17" s="266">
        <v>1</v>
      </c>
      <c r="E17" s="52"/>
    </row>
    <row r="18" spans="1:5" ht="15.75" thickBot="1">
      <c r="A18" s="57"/>
      <c r="B18" s="48" t="s">
        <v>617</v>
      </c>
      <c r="C18" s="48"/>
      <c r="D18" s="289">
        <v>1</v>
      </c>
      <c r="E18" s="59"/>
    </row>
  </sheetData>
  <phoneticPr fontId="32" type="noConversion"/>
  <hyperlinks>
    <hyperlink ref="A3" r:id="rId1" xr:uid="{56D987F7-1DEA-4AB6-8914-496460BCDA52}"/>
    <hyperlink ref="A4" r:id="rId2" xr:uid="{1D303F7D-0D91-4B14-8D79-05AA3A12FF0C}"/>
    <hyperlink ref="A5" r:id="rId3" xr:uid="{59A1302C-9981-4A84-95A7-487DDC4A1BBD}"/>
    <hyperlink ref="A12" r:id="rId4" xr:uid="{4ACA5512-5D4F-4A27-8CBB-7F9B30E93290}"/>
  </hyperlinks>
  <printOptions horizontalCentered="1"/>
  <pageMargins left="0.19685039370078741" right="0.19685039370078741" top="0.39370078740157483" bottom="0.39370078740157483" header="0.11811023622047245" footer="0.19685039370078741"/>
  <pageSetup paperSize="9" orientation="portrait" r:id="rId5"/>
  <headerFooter>
    <oddHeader>&amp;C&amp;"Aptos Black,Regular"&amp;14VALKYRIE V2 - LC BOM</oddHeader>
    <oddFooter>&amp;CBETA PRELEASE&amp;R&amp;P of &amp;N</oddFooter>
  </headerFooter>
  <drawing r:id="rId6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E317-6EFB-4F88-AD07-5555A49576B6}">
  <sheetPr>
    <tabColor rgb="FFFFC000"/>
    <pageSetUpPr fitToPage="1"/>
  </sheetPr>
  <dimension ref="A1:E56"/>
  <sheetViews>
    <sheetView view="pageLayout" topLeftCell="A35" zoomScaleNormal="100" workbookViewId="0">
      <selection activeCell="C59" sqref="C59"/>
    </sheetView>
  </sheetViews>
  <sheetFormatPr defaultColWidth="10.285156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5" style="2" customWidth="1"/>
    <col min="6" max="16233" width="10.28515625" style="2"/>
    <col min="16234" max="16239" width="11.42578125" style="2" bestFit="1" customWidth="1"/>
    <col min="16240" max="16384" width="10.28515625" style="2"/>
  </cols>
  <sheetData>
    <row r="1" spans="1:5" ht="30" customHeight="1">
      <c r="A1" s="49"/>
      <c r="B1" s="17" t="s">
        <v>377</v>
      </c>
      <c r="C1" s="261" t="s">
        <v>378</v>
      </c>
      <c r="D1" s="261" t="s">
        <v>379</v>
      </c>
      <c r="E1" s="46"/>
    </row>
    <row r="2" spans="1:5">
      <c r="A2" s="50" t="s">
        <v>380</v>
      </c>
      <c r="B2" s="29" t="s">
        <v>618</v>
      </c>
      <c r="C2" s="2" t="s">
        <v>619</v>
      </c>
      <c r="D2" s="13">
        <v>1</v>
      </c>
      <c r="E2" s="51" t="s">
        <v>383</v>
      </c>
    </row>
    <row r="3" spans="1:5">
      <c r="A3" s="47" t="s">
        <v>384</v>
      </c>
      <c r="B3" s="29" t="s">
        <v>618</v>
      </c>
      <c r="C3" s="2" t="s">
        <v>620</v>
      </c>
      <c r="D3" s="13">
        <v>1</v>
      </c>
      <c r="E3" s="283" t="s">
        <v>386</v>
      </c>
    </row>
    <row r="4" spans="1:5">
      <c r="A4" s="47" t="s">
        <v>387</v>
      </c>
      <c r="B4" s="29" t="s">
        <v>618</v>
      </c>
      <c r="C4" s="2" t="s">
        <v>621</v>
      </c>
      <c r="D4" s="13">
        <v>1</v>
      </c>
      <c r="E4" s="283" t="s">
        <v>389</v>
      </c>
    </row>
    <row r="5" spans="1:5">
      <c r="A5" s="47" t="s">
        <v>390</v>
      </c>
      <c r="B5" s="28" t="s">
        <v>622</v>
      </c>
      <c r="C5" s="266" t="s">
        <v>623</v>
      </c>
      <c r="D5" s="272">
        <v>2</v>
      </c>
      <c r="E5" s="283" t="s">
        <v>393</v>
      </c>
    </row>
    <row r="6" spans="1:5">
      <c r="A6" s="23"/>
      <c r="B6" s="290" t="s">
        <v>622</v>
      </c>
      <c r="C6" s="266" t="s">
        <v>624</v>
      </c>
      <c r="D6" s="272">
        <v>5</v>
      </c>
      <c r="E6" s="52"/>
    </row>
    <row r="7" spans="1:5">
      <c r="A7" s="23"/>
      <c r="B7" s="18" t="s">
        <v>625</v>
      </c>
      <c r="C7" s="266" t="s">
        <v>623</v>
      </c>
      <c r="D7" s="272">
        <v>2</v>
      </c>
      <c r="E7" s="52"/>
    </row>
    <row r="8" spans="1:5">
      <c r="A8" s="23"/>
      <c r="B8" s="18" t="s">
        <v>625</v>
      </c>
      <c r="C8" s="266" t="s">
        <v>624</v>
      </c>
      <c r="D8" s="13">
        <v>2</v>
      </c>
      <c r="E8" s="52"/>
    </row>
    <row r="9" spans="1:5">
      <c r="A9" s="23"/>
      <c r="B9" s="291" t="s">
        <v>149</v>
      </c>
      <c r="C9" s="266" t="s">
        <v>626</v>
      </c>
      <c r="D9" s="13">
        <v>1</v>
      </c>
      <c r="E9" s="52"/>
    </row>
    <row r="10" spans="1:5">
      <c r="A10" s="23"/>
      <c r="B10" s="28" t="s">
        <v>627</v>
      </c>
      <c r="C10" s="266" t="s">
        <v>623</v>
      </c>
      <c r="D10" s="272">
        <v>2</v>
      </c>
      <c r="E10" s="52"/>
    </row>
    <row r="11" spans="1:5">
      <c r="A11" s="23"/>
      <c r="B11" s="28" t="s">
        <v>627</v>
      </c>
      <c r="C11" s="266" t="s">
        <v>624</v>
      </c>
      <c r="D11" s="13">
        <v>2</v>
      </c>
      <c r="E11" s="52"/>
    </row>
    <row r="12" spans="1:5">
      <c r="A12" s="47" t="s">
        <v>401</v>
      </c>
      <c r="B12" s="291" t="s">
        <v>628</v>
      </c>
      <c r="C12" s="266" t="s">
        <v>629</v>
      </c>
      <c r="D12" s="13">
        <v>5</v>
      </c>
      <c r="E12" s="52"/>
    </row>
    <row r="13" spans="1:5">
      <c r="A13" s="47"/>
      <c r="B13" s="28" t="s">
        <v>630</v>
      </c>
      <c r="C13" s="266" t="s">
        <v>631</v>
      </c>
      <c r="D13" s="272">
        <v>2</v>
      </c>
      <c r="E13" s="52"/>
    </row>
    <row r="14" spans="1:5">
      <c r="A14" s="47"/>
      <c r="B14" s="28" t="s">
        <v>622</v>
      </c>
      <c r="C14" s="266" t="s">
        <v>631</v>
      </c>
      <c r="D14" s="272">
        <v>2</v>
      </c>
      <c r="E14" s="52"/>
    </row>
    <row r="15" spans="1:5">
      <c r="A15" s="23"/>
      <c r="B15" s="28" t="s">
        <v>630</v>
      </c>
      <c r="C15" s="266" t="s">
        <v>623</v>
      </c>
      <c r="D15" s="272">
        <v>2</v>
      </c>
      <c r="E15" s="52"/>
    </row>
    <row r="16" spans="1:5">
      <c r="A16" s="23"/>
      <c r="B16" s="28" t="s">
        <v>630</v>
      </c>
      <c r="C16" s="266" t="s">
        <v>624</v>
      </c>
      <c r="D16" s="272">
        <v>5</v>
      </c>
      <c r="E16" s="52"/>
    </row>
    <row r="17" spans="1:5">
      <c r="A17" s="23"/>
      <c r="B17" s="291" t="s">
        <v>632</v>
      </c>
      <c r="C17" s="266" t="s">
        <v>633</v>
      </c>
      <c r="D17" s="272">
        <v>5</v>
      </c>
      <c r="E17" s="52"/>
    </row>
    <row r="18" spans="1:5">
      <c r="A18" s="23"/>
      <c r="B18" s="291" t="s">
        <v>632</v>
      </c>
      <c r="C18" s="266" t="s">
        <v>624</v>
      </c>
      <c r="D18" s="272">
        <v>5</v>
      </c>
      <c r="E18" s="52"/>
    </row>
    <row r="19" spans="1:5">
      <c r="A19" s="23"/>
      <c r="B19" s="28" t="s">
        <v>630</v>
      </c>
      <c r="C19" s="2" t="s">
        <v>634</v>
      </c>
      <c r="D19" s="13">
        <v>2</v>
      </c>
      <c r="E19" s="52"/>
    </row>
    <row r="20" spans="1:5">
      <c r="A20" s="23"/>
      <c r="B20" s="290" t="s">
        <v>622</v>
      </c>
      <c r="C20" s="2" t="s">
        <v>634</v>
      </c>
      <c r="D20" s="13">
        <v>2</v>
      </c>
      <c r="E20" s="52"/>
    </row>
    <row r="21" spans="1:5">
      <c r="A21" s="23"/>
      <c r="B21" s="2" t="s">
        <v>635</v>
      </c>
      <c r="C21" s="2" t="s">
        <v>636</v>
      </c>
      <c r="D21" s="13">
        <v>3</v>
      </c>
      <c r="E21" s="52"/>
    </row>
    <row r="22" spans="1:5">
      <c r="A22" s="23"/>
      <c r="B22" s="2" t="s">
        <v>637</v>
      </c>
      <c r="C22" s="2" t="s">
        <v>636</v>
      </c>
      <c r="D22" s="13">
        <v>3</v>
      </c>
      <c r="E22" s="52"/>
    </row>
    <row r="23" spans="1:5">
      <c r="A23" s="23"/>
      <c r="B23" s="2" t="s">
        <v>638</v>
      </c>
      <c r="C23" s="2" t="s">
        <v>636</v>
      </c>
      <c r="D23" s="13">
        <v>3</v>
      </c>
      <c r="E23" s="52"/>
    </row>
    <row r="24" spans="1:5">
      <c r="A24" s="23"/>
      <c r="B24" s="284" t="s">
        <v>639</v>
      </c>
      <c r="C24" s="284" t="s">
        <v>457</v>
      </c>
      <c r="D24" s="53"/>
      <c r="E24" s="52"/>
    </row>
    <row r="25" spans="1:5">
      <c r="A25" s="23"/>
      <c r="B25" s="266" t="s">
        <v>146</v>
      </c>
      <c r="C25" s="266" t="s">
        <v>640</v>
      </c>
      <c r="D25" s="266">
        <v>1</v>
      </c>
      <c r="E25" s="52"/>
    </row>
    <row r="26" spans="1:5">
      <c r="A26" s="23"/>
      <c r="B26" s="266" t="s">
        <v>641</v>
      </c>
      <c r="D26" s="13">
        <v>1</v>
      </c>
      <c r="E26" s="52"/>
    </row>
    <row r="27" spans="1:5">
      <c r="A27" s="23"/>
      <c r="B27" s="54" t="s">
        <v>447</v>
      </c>
      <c r="D27" s="13">
        <v>1</v>
      </c>
      <c r="E27" s="52"/>
    </row>
    <row r="28" spans="1:5" ht="14.25" customHeight="1">
      <c r="A28" s="23"/>
      <c r="B28" s="55" t="s">
        <v>86</v>
      </c>
      <c r="C28" s="56"/>
      <c r="D28" s="56">
        <v>1</v>
      </c>
      <c r="E28" s="52"/>
    </row>
    <row r="29" spans="1:5" ht="15.75" customHeight="1">
      <c r="A29" s="23"/>
      <c r="B29" s="55" t="s">
        <v>89</v>
      </c>
      <c r="C29" s="56"/>
      <c r="D29" s="56">
        <v>1</v>
      </c>
      <c r="E29" s="52"/>
    </row>
    <row r="30" spans="1:5" ht="15" customHeight="1">
      <c r="A30" s="23"/>
      <c r="B30" s="55" t="s">
        <v>91</v>
      </c>
      <c r="C30" s="56"/>
      <c r="D30" s="56">
        <v>2</v>
      </c>
      <c r="E30" s="52"/>
    </row>
    <row r="31" spans="1:5" ht="14.25" customHeight="1">
      <c r="A31" s="23"/>
      <c r="B31" s="55" t="s">
        <v>93</v>
      </c>
      <c r="C31" s="56"/>
      <c r="D31" s="56">
        <v>2</v>
      </c>
      <c r="E31" s="52"/>
    </row>
    <row r="32" spans="1:5">
      <c r="A32" s="23"/>
      <c r="B32" s="265" t="s">
        <v>44</v>
      </c>
      <c r="D32" s="266">
        <v>1</v>
      </c>
      <c r="E32" s="52"/>
    </row>
    <row r="33" spans="1:5">
      <c r="A33" s="23"/>
      <c r="B33" t="s">
        <v>176</v>
      </c>
      <c r="C33" s="26"/>
      <c r="D33">
        <v>6</v>
      </c>
      <c r="E33" s="52"/>
    </row>
    <row r="34" spans="1:5">
      <c r="A34" s="23"/>
      <c r="B34" t="s">
        <v>180</v>
      </c>
      <c r="C34" s="26"/>
      <c r="D34">
        <v>20</v>
      </c>
      <c r="E34" s="52"/>
    </row>
    <row r="35" spans="1:5">
      <c r="A35" s="23"/>
      <c r="B35" s="16" t="s">
        <v>613</v>
      </c>
      <c r="C35" s="26"/>
      <c r="D35">
        <v>12</v>
      </c>
      <c r="E35" s="52"/>
    </row>
    <row r="36" spans="1:5">
      <c r="A36" s="23"/>
      <c r="B36" s="16" t="s">
        <v>452</v>
      </c>
      <c r="C36" s="26"/>
      <c r="D36">
        <v>6</v>
      </c>
      <c r="E36" s="52"/>
    </row>
    <row r="37" spans="1:5">
      <c r="A37" s="23"/>
      <c r="B37" s="16" t="s">
        <v>223</v>
      </c>
      <c r="C37" s="26"/>
      <c r="D37">
        <v>3</v>
      </c>
      <c r="E37" s="52"/>
    </row>
    <row r="38" spans="1:5">
      <c r="A38" s="23"/>
      <c r="B38" s="16" t="s">
        <v>400</v>
      </c>
      <c r="C38" s="26"/>
      <c r="D38">
        <v>14</v>
      </c>
      <c r="E38" s="52"/>
    </row>
    <row r="39" spans="1:5">
      <c r="A39" s="23"/>
      <c r="B39" s="16" t="s">
        <v>402</v>
      </c>
      <c r="C39" s="26"/>
      <c r="D39">
        <v>15</v>
      </c>
      <c r="E39" s="52"/>
    </row>
    <row r="40" spans="1:5">
      <c r="A40" s="23"/>
      <c r="B40" s="16" t="s">
        <v>229</v>
      </c>
      <c r="C40" s="26"/>
      <c r="D40">
        <v>17</v>
      </c>
      <c r="E40" s="52"/>
    </row>
    <row r="41" spans="1:5">
      <c r="A41" s="23"/>
      <c r="B41" s="291" t="s">
        <v>47</v>
      </c>
      <c r="C41" s="266" t="s">
        <v>642</v>
      </c>
      <c r="D41" s="13">
        <v>2</v>
      </c>
      <c r="E41" s="52"/>
    </row>
    <row r="42" spans="1:5" ht="15" customHeight="1">
      <c r="A42" s="23"/>
      <c r="B42" s="291" t="s">
        <v>50</v>
      </c>
      <c r="C42" s="266" t="s">
        <v>642</v>
      </c>
      <c r="D42" s="13">
        <v>1</v>
      </c>
      <c r="E42" s="52"/>
    </row>
    <row r="43" spans="1:5">
      <c r="A43" s="23"/>
      <c r="B43" s="23" t="s">
        <v>643</v>
      </c>
      <c r="C43" s="266" t="s">
        <v>642</v>
      </c>
      <c r="D43" s="13">
        <v>1</v>
      </c>
      <c r="E43" s="52"/>
    </row>
    <row r="44" spans="1:5">
      <c r="A44" s="23"/>
      <c r="B44" s="291" t="s">
        <v>95</v>
      </c>
      <c r="C44" s="266" t="s">
        <v>644</v>
      </c>
      <c r="D44" s="13">
        <v>1</v>
      </c>
      <c r="E44" s="52"/>
    </row>
    <row r="45" spans="1:5">
      <c r="A45" s="23"/>
      <c r="B45" s="15" t="s">
        <v>645</v>
      </c>
      <c r="C45" s="266" t="s">
        <v>646</v>
      </c>
      <c r="D45" s="266">
        <v>1</v>
      </c>
      <c r="E45" s="52"/>
    </row>
    <row r="46" spans="1:5">
      <c r="A46" s="23"/>
      <c r="B46" s="291" t="s">
        <v>133</v>
      </c>
      <c r="C46" s="266" t="s">
        <v>647</v>
      </c>
      <c r="D46" s="266">
        <v>1</v>
      </c>
      <c r="E46" s="52"/>
    </row>
    <row r="47" spans="1:5">
      <c r="A47" s="23"/>
      <c r="B47" s="2" t="s">
        <v>82</v>
      </c>
      <c r="C47" s="266" t="s">
        <v>648</v>
      </c>
      <c r="D47" s="13">
        <v>3</v>
      </c>
      <c r="E47" s="52"/>
    </row>
    <row r="48" spans="1:5" ht="16.5" customHeight="1">
      <c r="A48" s="23"/>
      <c r="B48" t="s">
        <v>649</v>
      </c>
      <c r="C48" s="266" t="s">
        <v>650</v>
      </c>
      <c r="D48" s="13">
        <v>1</v>
      </c>
      <c r="E48" s="52"/>
    </row>
    <row r="49" spans="1:5" ht="16.5" customHeight="1">
      <c r="A49" s="23"/>
      <c r="B49" t="s">
        <v>651</v>
      </c>
      <c r="C49" s="266" t="s">
        <v>652</v>
      </c>
      <c r="D49" s="13">
        <v>1</v>
      </c>
      <c r="E49" s="52"/>
    </row>
    <row r="50" spans="1:5" ht="16.5" customHeight="1">
      <c r="A50" s="23"/>
      <c r="B50" s="266" t="s">
        <v>653</v>
      </c>
      <c r="C50" s="266" t="s">
        <v>654</v>
      </c>
      <c r="D50" s="13">
        <v>2</v>
      </c>
      <c r="E50" s="52"/>
    </row>
    <row r="51" spans="1:5" ht="16.5" customHeight="1" thickBot="1">
      <c r="A51" s="57"/>
      <c r="B51" s="45" t="s">
        <v>655</v>
      </c>
      <c r="C51" s="289" t="s">
        <v>650</v>
      </c>
      <c r="D51" s="58">
        <v>1</v>
      </c>
      <c r="E51" s="59"/>
    </row>
    <row r="53" spans="1:5" ht="60">
      <c r="B53" s="2" t="s">
        <v>656</v>
      </c>
      <c r="C53" s="127" t="s">
        <v>657</v>
      </c>
      <c r="E53" s="134" t="s">
        <v>658</v>
      </c>
    </row>
    <row r="54" spans="1:5">
      <c r="B54" s="2" t="s">
        <v>659</v>
      </c>
    </row>
    <row r="56" spans="1:5">
      <c r="B56" s="2" t="s">
        <v>660</v>
      </c>
      <c r="D56" s="2">
        <v>4</v>
      </c>
    </row>
  </sheetData>
  <hyperlinks>
    <hyperlink ref="A3" r:id="rId1" xr:uid="{3EE9F396-BD2B-446A-9A8E-780F2189BA76}"/>
    <hyperlink ref="A4" r:id="rId2" xr:uid="{E85F94F1-2447-47D2-B853-0886C93F239D}"/>
    <hyperlink ref="A5" r:id="rId3" xr:uid="{813C9C94-92D2-4435-8864-1D0F122EFF20}"/>
    <hyperlink ref="A12" r:id="rId4" xr:uid="{1B61D95B-12FA-4C91-8840-7928A20E530F}"/>
    <hyperlink ref="E53" r:id="rId5" xr:uid="{0775AE39-3E92-45EA-995C-11171C29A6B8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77" fitToHeight="0" orientation="portrait" r:id="rId6"/>
  <headerFooter>
    <oddHeader>&amp;C&amp;"Aptos Black,Regular"&amp;14VALKYRIE V2 - Electronics BOM</oddHeader>
    <oddFooter>&amp;CBETA PRELEASE&amp;R&amp;P of &amp;N</oddFooter>
  </headerFooter>
  <drawing r:id="rId7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5B86-E95C-4011-9439-D0FF2E82F7CA}">
  <sheetPr>
    <tabColor rgb="FFFFFF00"/>
    <pageSetUpPr fitToPage="1"/>
  </sheetPr>
  <dimension ref="A1:M95"/>
  <sheetViews>
    <sheetView workbookViewId="0">
      <pane ySplit="1" topLeftCell="A63" activePane="bottomLeft" state="frozen"/>
      <selection pane="bottomLeft" activeCell="E95" sqref="E95"/>
    </sheetView>
  </sheetViews>
  <sheetFormatPr defaultRowHeight="15"/>
  <cols>
    <col min="1" max="1" width="20.28515625" customWidth="1"/>
    <col min="2" max="2" width="31.7109375" bestFit="1" customWidth="1"/>
    <col min="3" max="3" width="9.7109375" bestFit="1" customWidth="1"/>
    <col min="4" max="4" width="12.140625" bestFit="1" customWidth="1"/>
    <col min="5" max="5" width="8.28515625" bestFit="1" customWidth="1"/>
    <col min="6" max="6" width="12.42578125" customWidth="1"/>
    <col min="7" max="7" width="11.5703125" bestFit="1" customWidth="1"/>
    <col min="8" max="9" width="16.140625" bestFit="1" customWidth="1"/>
    <col min="10" max="10" width="14" bestFit="1" customWidth="1"/>
    <col min="11" max="11" width="13.42578125" bestFit="1" customWidth="1"/>
    <col min="13" max="13" width="16" bestFit="1" customWidth="1"/>
  </cols>
  <sheetData>
    <row r="1" spans="1:13">
      <c r="A1" s="1" t="s">
        <v>661</v>
      </c>
      <c r="B1" s="1" t="s">
        <v>1</v>
      </c>
      <c r="C1" s="1" t="s">
        <v>662</v>
      </c>
      <c r="D1" s="1" t="s">
        <v>663</v>
      </c>
      <c r="E1" s="1" t="s">
        <v>664</v>
      </c>
      <c r="F1" s="108" t="s">
        <v>665</v>
      </c>
      <c r="G1" s="1" t="s">
        <v>666</v>
      </c>
      <c r="H1" s="1" t="s">
        <v>667</v>
      </c>
      <c r="J1" s="1" t="s">
        <v>668</v>
      </c>
      <c r="K1" s="1" t="s">
        <v>669</v>
      </c>
      <c r="L1" s="1" t="s">
        <v>670</v>
      </c>
      <c r="M1" s="1" t="s">
        <v>671</v>
      </c>
    </row>
    <row r="2" spans="1:13">
      <c r="A2" s="1" t="s">
        <v>672</v>
      </c>
      <c r="B2" s="36" t="s">
        <v>427</v>
      </c>
      <c r="D2" s="120">
        <v>98</v>
      </c>
      <c r="E2" s="36">
        <v>1</v>
      </c>
      <c r="F2" s="114">
        <f>SUM(Table6[[#This Row],[Weight]]*Table6[[#This Row],[Items]])</f>
        <v>98</v>
      </c>
      <c r="G2" s="110">
        <f>$K$2/1000*Table6[[#This Row],[Weight]]*Table6[[#This Row],[Items]]</f>
        <v>12.74</v>
      </c>
      <c r="H2" s="112"/>
      <c r="J2" s="1" t="s">
        <v>673</v>
      </c>
      <c r="K2" s="1">
        <v>130</v>
      </c>
      <c r="L2">
        <v>1.3</v>
      </c>
    </row>
    <row r="3" spans="1:13">
      <c r="A3" s="1" t="s">
        <v>672</v>
      </c>
      <c r="B3" s="36" t="s">
        <v>428</v>
      </c>
      <c r="D3" s="120"/>
      <c r="E3" s="36">
        <v>4</v>
      </c>
      <c r="F3" s="114">
        <f>SUM(Table6[[#This Row],[Weight]]*Table6[[#This Row],[Items]])</f>
        <v>0</v>
      </c>
      <c r="G3" s="110">
        <f>$K$2/1000*Table6[[#This Row],[Weight]]*Table6[[#This Row],[Items]]</f>
        <v>0</v>
      </c>
      <c r="H3" s="112"/>
      <c r="J3" s="1" t="s">
        <v>674</v>
      </c>
      <c r="K3">
        <v>130</v>
      </c>
      <c r="L3">
        <v>1.3</v>
      </c>
    </row>
    <row r="4" spans="1:13">
      <c r="A4" s="1" t="s">
        <v>672</v>
      </c>
      <c r="B4" s="1" t="s">
        <v>429</v>
      </c>
      <c r="D4" s="120">
        <v>49</v>
      </c>
      <c r="E4" s="1">
        <v>1</v>
      </c>
      <c r="F4" s="115">
        <f>SUM(Table6[[#This Row],[Weight]]*Table6[[#This Row],[Items]])</f>
        <v>49</v>
      </c>
      <c r="G4" s="110">
        <f>$K$2/1000*Table6[[#This Row],[Weight]]*Table6[[#This Row],[Items]]</f>
        <v>6.37</v>
      </c>
      <c r="H4" s="112"/>
      <c r="J4" s="1" t="s">
        <v>675</v>
      </c>
      <c r="K4" s="1">
        <v>155</v>
      </c>
      <c r="L4">
        <v>1.3</v>
      </c>
    </row>
    <row r="5" spans="1:13">
      <c r="A5" s="1" t="s">
        <v>672</v>
      </c>
      <c r="B5" s="1" t="s">
        <v>430</v>
      </c>
      <c r="D5" s="120">
        <v>47</v>
      </c>
      <c r="E5" s="1">
        <v>1</v>
      </c>
      <c r="F5" s="115">
        <f>SUM(Table6[[#This Row],[Weight]]*Table6[[#This Row],[Items]])</f>
        <v>47</v>
      </c>
      <c r="G5" s="110">
        <f>$K$2/1000*Table6[[#This Row],[Weight]]*Table6[[#This Row],[Items]]</f>
        <v>6.11</v>
      </c>
      <c r="H5" s="112"/>
      <c r="J5" s="1" t="s">
        <v>676</v>
      </c>
      <c r="K5" s="1">
        <v>150</v>
      </c>
      <c r="L5">
        <v>1.25</v>
      </c>
    </row>
    <row r="6" spans="1:13">
      <c r="A6" s="1" t="s">
        <v>672</v>
      </c>
      <c r="B6" s="36" t="s">
        <v>431</v>
      </c>
      <c r="D6" s="120">
        <v>11</v>
      </c>
      <c r="E6" s="36">
        <v>2</v>
      </c>
      <c r="F6" s="114">
        <f>SUM(Table6[[#This Row],[Weight]]*Table6[[#This Row],[Items]])</f>
        <v>22</v>
      </c>
      <c r="G6" s="110">
        <f>$K$2/1000*Table6[[#This Row],[Weight]]*Table6[[#This Row],[Items]]</f>
        <v>2.8600000000000003</v>
      </c>
      <c r="H6" s="112"/>
      <c r="J6" s="1"/>
      <c r="M6" s="1"/>
    </row>
    <row r="7" spans="1:13">
      <c r="A7" s="1" t="s">
        <v>672</v>
      </c>
      <c r="B7" s="1" t="s">
        <v>432</v>
      </c>
      <c r="D7" s="120">
        <v>200</v>
      </c>
      <c r="E7" s="1">
        <v>1</v>
      </c>
      <c r="F7" s="115">
        <f>SUM(Table6[[#This Row],[Weight]]*Table6[[#This Row],[Items]])</f>
        <v>200</v>
      </c>
      <c r="G7" s="110">
        <f>$K$2/1000*Table6[[#This Row],[Weight]]*Table6[[#This Row],[Items]]</f>
        <v>26</v>
      </c>
      <c r="H7" s="112">
        <v>0.29166666666666669</v>
      </c>
    </row>
    <row r="8" spans="1:13">
      <c r="A8" s="1" t="s">
        <v>672</v>
      </c>
      <c r="B8" s="1" t="s">
        <v>433</v>
      </c>
      <c r="D8" s="120">
        <v>28</v>
      </c>
      <c r="E8" s="1">
        <v>1</v>
      </c>
      <c r="F8" s="115">
        <f>SUM(Table6[[#This Row],[Weight]]*Table6[[#This Row],[Items]])</f>
        <v>28</v>
      </c>
      <c r="G8" s="110">
        <f>$K$2/1000*Table6[[#This Row],[Weight]]*Table6[[#This Row],[Items]]</f>
        <v>3.64</v>
      </c>
      <c r="H8" s="112"/>
      <c r="J8" s="1" t="s">
        <v>677</v>
      </c>
    </row>
    <row r="9" spans="1:13">
      <c r="A9" s="1" t="s">
        <v>672</v>
      </c>
      <c r="B9" s="1" t="s">
        <v>434</v>
      </c>
      <c r="D9" s="120">
        <v>15</v>
      </c>
      <c r="E9" s="1">
        <v>1</v>
      </c>
      <c r="F9" s="115">
        <f>SUM(Table6[[#This Row],[Weight]]*Table6[[#This Row],[Items]])</f>
        <v>15</v>
      </c>
      <c r="G9" s="110">
        <f>$K$2/1000*Table6[[#This Row],[Weight]]*Table6[[#This Row],[Items]]</f>
        <v>1.9500000000000002</v>
      </c>
      <c r="H9" s="112"/>
      <c r="J9" s="122" t="s">
        <v>678</v>
      </c>
      <c r="K9" s="122">
        <v>3</v>
      </c>
    </row>
    <row r="10" spans="1:13">
      <c r="A10" s="1" t="s">
        <v>672</v>
      </c>
      <c r="B10" s="36" t="s">
        <v>435</v>
      </c>
      <c r="D10" s="120"/>
      <c r="E10" s="36">
        <v>1</v>
      </c>
      <c r="F10" s="114">
        <f>SUM(Table6[[#This Row],[Weight]]*Table6[[#This Row],[Items]])</f>
        <v>0</v>
      </c>
      <c r="G10" s="110">
        <f>$K$2/1000*Table6[[#This Row],[Weight]]*Table6[[#This Row],[Items]]</f>
        <v>0</v>
      </c>
      <c r="H10" s="112"/>
      <c r="J10" s="1" t="s">
        <v>679</v>
      </c>
      <c r="K10">
        <v>0.25</v>
      </c>
    </row>
    <row r="11" spans="1:13">
      <c r="A11" s="1" t="s">
        <v>672</v>
      </c>
      <c r="B11" s="36" t="s">
        <v>436</v>
      </c>
      <c r="D11" s="120"/>
      <c r="E11" s="36">
        <v>1</v>
      </c>
      <c r="F11" s="114">
        <f>SUM(Table6[[#This Row],[Weight]]*Table6[[#This Row],[Items]])</f>
        <v>0</v>
      </c>
      <c r="G11" s="110">
        <f>$K$2/1000*Table6[[#This Row],[Weight]]*Table6[[#This Row],[Items]]</f>
        <v>0</v>
      </c>
      <c r="H11" s="112"/>
      <c r="J11" s="1" t="s">
        <v>680</v>
      </c>
      <c r="K11">
        <f>K9/K10</f>
        <v>12</v>
      </c>
    </row>
    <row r="12" spans="1:13">
      <c r="A12" s="1" t="s">
        <v>672</v>
      </c>
      <c r="B12" s="36" t="s">
        <v>437</v>
      </c>
      <c r="D12" s="120"/>
      <c r="E12" s="36">
        <v>2</v>
      </c>
      <c r="F12" s="114">
        <f>SUM(Table6[[#This Row],[Weight]]*Table6[[#This Row],[Items]])</f>
        <v>0</v>
      </c>
      <c r="G12" s="110">
        <f>$K$2/1000*Table6[[#This Row],[Weight]]*Table6[[#This Row],[Items]]</f>
        <v>0</v>
      </c>
      <c r="H12" s="112"/>
      <c r="J12" s="1" t="s">
        <v>681</v>
      </c>
      <c r="K12">
        <f>K9/K10</f>
        <v>12</v>
      </c>
    </row>
    <row r="13" spans="1:13">
      <c r="A13" s="1" t="s">
        <v>672</v>
      </c>
      <c r="B13" s="36" t="s">
        <v>438</v>
      </c>
      <c r="D13" s="120"/>
      <c r="E13" s="36">
        <v>2</v>
      </c>
      <c r="F13" s="114">
        <f>SUM(Table6[[#This Row],[Weight]]*Table6[[#This Row],[Items]])</f>
        <v>0</v>
      </c>
      <c r="G13" s="110">
        <f>$K$2/1000*Table6[[#This Row],[Weight]]*Table6[[#This Row],[Items]]</f>
        <v>0</v>
      </c>
      <c r="H13" s="112"/>
      <c r="J13" s="1" t="s">
        <v>682</v>
      </c>
      <c r="K13">
        <v>0.6</v>
      </c>
    </row>
    <row r="14" spans="1:13">
      <c r="A14" s="1" t="s">
        <v>672</v>
      </c>
      <c r="B14" s="1" t="s">
        <v>439</v>
      </c>
      <c r="D14" s="120"/>
      <c r="E14" s="1">
        <v>1</v>
      </c>
      <c r="F14" s="115">
        <f>SUM(Table6[[#This Row],[Weight]]*Table6[[#This Row],[Items]])</f>
        <v>0</v>
      </c>
      <c r="G14" s="110">
        <f>$K$2/1000*Table6[[#This Row],[Weight]]*Table6[[#This Row],[Items]]</f>
        <v>0</v>
      </c>
      <c r="H14" s="112"/>
      <c r="J14" s="1" t="s">
        <v>683</v>
      </c>
      <c r="K14" s="120">
        <f>K9/K13</f>
        <v>5</v>
      </c>
    </row>
    <row r="15" spans="1:13">
      <c r="A15" s="1" t="s">
        <v>672</v>
      </c>
      <c r="B15" s="1" t="s">
        <v>440</v>
      </c>
      <c r="D15" s="120"/>
      <c r="E15" s="1">
        <v>1</v>
      </c>
      <c r="F15" s="115">
        <f>SUM(Table6[[#This Row],[Weight]]*Table6[[#This Row],[Items]])</f>
        <v>0</v>
      </c>
      <c r="G15" s="110">
        <f>$K$2/1000*Table6[[#This Row],[Weight]]*Table6[[#This Row],[Items]]</f>
        <v>0</v>
      </c>
      <c r="H15" s="112"/>
      <c r="J15" s="1" t="s">
        <v>684</v>
      </c>
      <c r="K15" s="121">
        <v>0.25</v>
      </c>
    </row>
    <row r="16" spans="1:13">
      <c r="A16" s="1" t="s">
        <v>672</v>
      </c>
      <c r="B16" s="36" t="s">
        <v>441</v>
      </c>
      <c r="D16" s="120"/>
      <c r="E16" s="36">
        <v>1</v>
      </c>
      <c r="F16" s="114">
        <f>SUM(Table6[[#This Row],[Weight]]*Table6[[#This Row],[Items]])</f>
        <v>0</v>
      </c>
      <c r="G16" s="110">
        <f>$K$2/1000*Table6[[#This Row],[Weight]]*Table6[[#This Row],[Items]]</f>
        <v>0</v>
      </c>
      <c r="H16" s="112"/>
      <c r="J16" s="1" t="s">
        <v>685</v>
      </c>
      <c r="K16" s="1" t="s">
        <v>686</v>
      </c>
    </row>
    <row r="17" spans="1:8">
      <c r="A17" s="1" t="s">
        <v>672</v>
      </c>
      <c r="B17" s="36" t="s">
        <v>442</v>
      </c>
      <c r="D17" s="120"/>
      <c r="E17" s="36">
        <v>1</v>
      </c>
      <c r="F17" s="114">
        <f>SUM(Table6[[#This Row],[Weight]]*Table6[[#This Row],[Items]])</f>
        <v>0</v>
      </c>
      <c r="G17" s="110">
        <f>$K$2/1000*Table6[[#This Row],[Weight]]*Table6[[#This Row],[Items]]</f>
        <v>0</v>
      </c>
      <c r="H17" s="112"/>
    </row>
    <row r="18" spans="1:8">
      <c r="A18" s="1" t="s">
        <v>687</v>
      </c>
      <c r="B18" s="1" t="s">
        <v>581</v>
      </c>
      <c r="D18" s="120"/>
      <c r="E18" s="1">
        <v>1</v>
      </c>
      <c r="F18" s="115">
        <f>SUM(Table6[[#This Row],[Weight]]*Table6[[#This Row],[Items]])</f>
        <v>0</v>
      </c>
      <c r="G18" s="110">
        <f>$K$2/1000*Table6[[#This Row],[Weight]]*Table6[[#This Row],[Items]]</f>
        <v>0</v>
      </c>
      <c r="H18" s="112"/>
    </row>
    <row r="19" spans="1:8">
      <c r="A19" s="1" t="s">
        <v>687</v>
      </c>
      <c r="B19" s="1" t="s">
        <v>582</v>
      </c>
      <c r="D19" s="120"/>
      <c r="E19" s="1">
        <v>1</v>
      </c>
      <c r="F19" s="115">
        <f>SUM(Table6[[#This Row],[Weight]]*Table6[[#This Row],[Items]])</f>
        <v>0</v>
      </c>
      <c r="G19" s="110">
        <f>$K$2/1000*Table6[[#This Row],[Weight]]*Table6[[#This Row],[Items]]</f>
        <v>0</v>
      </c>
      <c r="H19" s="112"/>
    </row>
    <row r="20" spans="1:8">
      <c r="A20" s="1" t="s">
        <v>687</v>
      </c>
      <c r="B20" s="1" t="s">
        <v>583</v>
      </c>
      <c r="D20" s="120"/>
      <c r="E20" s="1">
        <v>1</v>
      </c>
      <c r="F20" s="115">
        <f>SUM(Table6[[#This Row],[Weight]]*Table6[[#This Row],[Items]])</f>
        <v>0</v>
      </c>
      <c r="G20" s="110">
        <f>$K$2/1000*Table6[[#This Row],[Weight]]*Table6[[#This Row],[Items]]</f>
        <v>0</v>
      </c>
      <c r="H20" s="112"/>
    </row>
    <row r="21" spans="1:8">
      <c r="A21" s="1" t="s">
        <v>687</v>
      </c>
      <c r="B21" s="1" t="s">
        <v>584</v>
      </c>
      <c r="D21" s="120"/>
      <c r="E21" s="1">
        <v>1</v>
      </c>
      <c r="F21" s="115">
        <f>SUM(Table6[[#This Row],[Weight]]*Table6[[#This Row],[Items]])</f>
        <v>0</v>
      </c>
      <c r="G21" s="110">
        <f>$K$2/1000*Table6[[#This Row],[Weight]]*Table6[[#This Row],[Items]]</f>
        <v>0</v>
      </c>
      <c r="H21" s="112"/>
    </row>
    <row r="22" spans="1:8">
      <c r="A22" s="1" t="s">
        <v>687</v>
      </c>
      <c r="B22" s="1" t="s">
        <v>585</v>
      </c>
      <c r="D22" s="120"/>
      <c r="E22" s="1">
        <v>1</v>
      </c>
      <c r="F22" s="115">
        <f>SUM(Table6[[#This Row],[Weight]]*Table6[[#This Row],[Items]])</f>
        <v>0</v>
      </c>
      <c r="G22" s="110">
        <f>$K$2/1000*Table6[[#This Row],[Weight]]*Table6[[#This Row],[Items]]</f>
        <v>0</v>
      </c>
      <c r="H22" s="112"/>
    </row>
    <row r="23" spans="1:8">
      <c r="A23" s="1" t="s">
        <v>687</v>
      </c>
      <c r="B23" s="1" t="s">
        <v>586</v>
      </c>
      <c r="D23" s="120"/>
      <c r="E23" s="1">
        <v>1</v>
      </c>
      <c r="F23" s="115">
        <f>SUM(Table6[[#This Row],[Weight]]*Table6[[#This Row],[Items]])</f>
        <v>0</v>
      </c>
      <c r="G23" s="110">
        <f>$K$2/1000*Table6[[#This Row],[Weight]]*Table6[[#This Row],[Items]]</f>
        <v>0</v>
      </c>
      <c r="H23" s="112"/>
    </row>
    <row r="24" spans="1:8">
      <c r="A24" s="1" t="s">
        <v>687</v>
      </c>
      <c r="B24" s="1" t="s">
        <v>587</v>
      </c>
      <c r="D24" s="120"/>
      <c r="E24" s="1">
        <v>2</v>
      </c>
      <c r="F24" s="115">
        <f>SUM(Table6[[#This Row],[Weight]]*Table6[[#This Row],[Items]])</f>
        <v>0</v>
      </c>
      <c r="G24" s="110">
        <f>$K$2/1000*Table6[[#This Row],[Weight]]*Table6[[#This Row],[Items]]</f>
        <v>0</v>
      </c>
      <c r="H24" s="112"/>
    </row>
    <row r="25" spans="1:8">
      <c r="A25" s="1" t="s">
        <v>687</v>
      </c>
      <c r="B25" s="36" t="s">
        <v>588</v>
      </c>
      <c r="D25" s="120"/>
      <c r="E25" s="36">
        <v>4</v>
      </c>
      <c r="F25" s="114">
        <f>SUM(Table6[[#This Row],[Weight]]*Table6[[#This Row],[Items]])</f>
        <v>0</v>
      </c>
      <c r="G25" s="110">
        <f>$K$2/1000*Table6[[#This Row],[Weight]]*Table6[[#This Row],[Items]]</f>
        <v>0</v>
      </c>
      <c r="H25" s="112"/>
    </row>
    <row r="26" spans="1:8">
      <c r="A26" s="1" t="s">
        <v>687</v>
      </c>
      <c r="B26" s="1" t="s">
        <v>590</v>
      </c>
      <c r="D26" s="120"/>
      <c r="E26" s="1">
        <v>1</v>
      </c>
      <c r="F26" s="115">
        <f>SUM(Table6[[#This Row],[Weight]]*Table6[[#This Row],[Items]])</f>
        <v>0</v>
      </c>
      <c r="G26" s="110">
        <f>$K$2/1000*Table6[[#This Row],[Weight]]*Table6[[#This Row],[Items]]</f>
        <v>0</v>
      </c>
      <c r="H26" s="112"/>
    </row>
    <row r="27" spans="1:8">
      <c r="A27" s="1" t="s">
        <v>687</v>
      </c>
      <c r="B27" s="1" t="s">
        <v>601</v>
      </c>
      <c r="D27" s="120"/>
      <c r="E27" s="1">
        <v>1</v>
      </c>
      <c r="F27" s="115">
        <f>SUM(Table6[[#This Row],[Weight]]*Table6[[#This Row],[Items]])</f>
        <v>0</v>
      </c>
      <c r="G27" s="110">
        <f>$K$2/1000*Table6[[#This Row],[Weight]]*Table6[[#This Row],[Items]]</f>
        <v>0</v>
      </c>
      <c r="H27" s="112"/>
    </row>
    <row r="28" spans="1:8">
      <c r="A28" s="1" t="s">
        <v>687</v>
      </c>
      <c r="B28" s="36" t="s">
        <v>602</v>
      </c>
      <c r="D28" s="120"/>
      <c r="E28" s="36">
        <v>1</v>
      </c>
      <c r="F28" s="114">
        <f>SUM(Table6[[#This Row],[Weight]]*Table6[[#This Row],[Items]])</f>
        <v>0</v>
      </c>
      <c r="G28" s="110">
        <f>$K$2/1000*Table6[[#This Row],[Weight]]*Table6[[#This Row],[Items]]</f>
        <v>0</v>
      </c>
      <c r="H28" s="112"/>
    </row>
    <row r="29" spans="1:8">
      <c r="A29" s="1" t="s">
        <v>687</v>
      </c>
      <c r="B29" s="36" t="s">
        <v>603</v>
      </c>
      <c r="D29" s="120"/>
      <c r="E29" s="36">
        <v>1</v>
      </c>
      <c r="F29" s="114">
        <f>SUM(Table6[[#This Row],[Weight]]*Table6[[#This Row],[Items]])</f>
        <v>0</v>
      </c>
      <c r="G29" s="110">
        <f>$K$2/1000*Table6[[#This Row],[Weight]]*Table6[[#This Row],[Items]]</f>
        <v>0</v>
      </c>
      <c r="H29" s="112"/>
    </row>
    <row r="30" spans="1:8">
      <c r="A30" s="1" t="s">
        <v>687</v>
      </c>
      <c r="B30" s="36" t="s">
        <v>604</v>
      </c>
      <c r="D30" s="120"/>
      <c r="E30" s="36">
        <v>1</v>
      </c>
      <c r="F30" s="114">
        <f>SUM(Table6[[#This Row],[Weight]]*Table6[[#This Row],[Items]])</f>
        <v>0</v>
      </c>
      <c r="G30" s="110">
        <f>$K$2/1000*Table6[[#This Row],[Weight]]*Table6[[#This Row],[Items]]</f>
        <v>0</v>
      </c>
      <c r="H30" s="112"/>
    </row>
    <row r="31" spans="1:8">
      <c r="A31" s="1" t="s">
        <v>687</v>
      </c>
      <c r="B31" s="36" t="s">
        <v>605</v>
      </c>
      <c r="D31" s="120"/>
      <c r="E31" s="36">
        <v>1</v>
      </c>
      <c r="F31" s="114">
        <f>SUM(Table6[[#This Row],[Weight]]*Table6[[#This Row],[Items]])</f>
        <v>0</v>
      </c>
      <c r="G31" s="110">
        <f>$K$2/1000*Table6[[#This Row],[Weight]]*Table6[[#This Row],[Items]]</f>
        <v>0</v>
      </c>
      <c r="H31" s="112"/>
    </row>
    <row r="32" spans="1:8">
      <c r="A32" s="1" t="s">
        <v>687</v>
      </c>
      <c r="B32" s="36" t="s">
        <v>606</v>
      </c>
      <c r="D32" s="120"/>
      <c r="E32" s="36">
        <v>1</v>
      </c>
      <c r="F32" s="114">
        <f>SUM(Table6[[#This Row],[Weight]]*Table6[[#This Row],[Items]])</f>
        <v>0</v>
      </c>
      <c r="G32" s="110">
        <f>$K$2/1000*Table6[[#This Row],[Weight]]*Table6[[#This Row],[Items]]</f>
        <v>0</v>
      </c>
      <c r="H32" s="112"/>
    </row>
    <row r="33" spans="1:8">
      <c r="A33" s="1" t="s">
        <v>687</v>
      </c>
      <c r="B33" s="36" t="s">
        <v>607</v>
      </c>
      <c r="D33" s="120"/>
      <c r="E33" s="36">
        <v>1</v>
      </c>
      <c r="F33" s="114">
        <f>SUM(Table6[[#This Row],[Weight]]*Table6[[#This Row],[Items]])</f>
        <v>0</v>
      </c>
      <c r="G33" s="110">
        <f>$K$2/1000*Table6[[#This Row],[Weight]]*Table6[[#This Row],[Items]]</f>
        <v>0</v>
      </c>
      <c r="H33" s="112"/>
    </row>
    <row r="34" spans="1:8">
      <c r="A34" s="1" t="s">
        <v>688</v>
      </c>
      <c r="B34" s="36" t="s">
        <v>519</v>
      </c>
      <c r="D34" s="120"/>
      <c r="E34" s="36">
        <v>1</v>
      </c>
      <c r="F34" s="114">
        <f>SUM(Table6[[#This Row],[Weight]]*Table6[[#This Row],[Items]])</f>
        <v>0</v>
      </c>
      <c r="G34" s="110">
        <f>$K$2/1000*Table6[[#This Row],[Weight]]*Table6[[#This Row],[Items]]</f>
        <v>0</v>
      </c>
      <c r="H34" s="112"/>
    </row>
    <row r="35" spans="1:8">
      <c r="A35" s="1" t="s">
        <v>688</v>
      </c>
      <c r="B35" s="36" t="s">
        <v>521</v>
      </c>
      <c r="D35" s="120"/>
      <c r="E35" s="36">
        <v>1</v>
      </c>
      <c r="F35" s="114">
        <f>SUM(Table6[[#This Row],[Weight]]*Table6[[#This Row],[Items]])</f>
        <v>0</v>
      </c>
      <c r="G35" s="110">
        <f>$K$2/1000*Table6[[#This Row],[Weight]]*Table6[[#This Row],[Items]]</f>
        <v>0</v>
      </c>
      <c r="H35" s="112"/>
    </row>
    <row r="36" spans="1:8">
      <c r="A36" s="1" t="s">
        <v>688</v>
      </c>
      <c r="B36" s="36" t="s">
        <v>524</v>
      </c>
      <c r="D36" s="120"/>
      <c r="E36" s="36">
        <v>1</v>
      </c>
      <c r="F36" s="114">
        <f>SUM(Table6[[#This Row],[Weight]]*Table6[[#This Row],[Items]])</f>
        <v>0</v>
      </c>
      <c r="G36" s="110">
        <f>$K$2/1000*Table6[[#This Row],[Weight]]*Table6[[#This Row],[Items]]</f>
        <v>0</v>
      </c>
      <c r="H36" s="112"/>
    </row>
    <row r="37" spans="1:8">
      <c r="A37" s="1" t="s">
        <v>688</v>
      </c>
      <c r="B37" s="36" t="s">
        <v>525</v>
      </c>
      <c r="D37" s="120"/>
      <c r="E37" s="36">
        <v>1</v>
      </c>
      <c r="F37" s="114">
        <f>SUM(Table6[[#This Row],[Weight]]*Table6[[#This Row],[Items]])</f>
        <v>0</v>
      </c>
      <c r="G37" s="110">
        <f>$K$2/1000*Table6[[#This Row],[Weight]]*Table6[[#This Row],[Items]]</f>
        <v>0</v>
      </c>
      <c r="H37" s="112"/>
    </row>
    <row r="38" spans="1:8">
      <c r="A38" s="1" t="s">
        <v>688</v>
      </c>
      <c r="B38" s="111" t="s">
        <v>526</v>
      </c>
      <c r="D38" s="120"/>
      <c r="E38" s="111">
        <v>1</v>
      </c>
      <c r="F38" s="116">
        <f>SUM(Table6[[#This Row],[Weight]]*Table6[[#This Row],[Items]])</f>
        <v>0</v>
      </c>
      <c r="G38" s="110">
        <f>$K$2/1000*Table6[[#This Row],[Weight]]*Table6[[#This Row],[Items]]</f>
        <v>0</v>
      </c>
      <c r="H38" s="112"/>
    </row>
    <row r="39" spans="1:8">
      <c r="A39" s="1" t="s">
        <v>688</v>
      </c>
      <c r="B39" s="36" t="s">
        <v>528</v>
      </c>
      <c r="D39" s="120"/>
      <c r="E39" s="36">
        <v>4</v>
      </c>
      <c r="F39" s="114">
        <f>SUM(Table6[[#This Row],[Weight]]*Table6[[#This Row],[Items]])</f>
        <v>0</v>
      </c>
      <c r="G39" s="110">
        <f>$K$2/1000*Table6[[#This Row],[Weight]]*Table6[[#This Row],[Items]]</f>
        <v>0</v>
      </c>
      <c r="H39" s="112"/>
    </row>
    <row r="40" spans="1:8">
      <c r="A40" s="1" t="s">
        <v>688</v>
      </c>
      <c r="B40" s="36" t="s">
        <v>529</v>
      </c>
      <c r="D40" s="120"/>
      <c r="E40" s="36">
        <v>2</v>
      </c>
      <c r="F40" s="114">
        <f>SUM(Table6[[#This Row],[Weight]]*Table6[[#This Row],[Items]])</f>
        <v>0</v>
      </c>
      <c r="G40" s="110">
        <f>$K$2/1000*Table6[[#This Row],[Weight]]*Table6[[#This Row],[Items]]</f>
        <v>0</v>
      </c>
      <c r="H40" s="112"/>
    </row>
    <row r="41" spans="1:8">
      <c r="A41" s="1" t="s">
        <v>688</v>
      </c>
      <c r="B41" s="36" t="s">
        <v>530</v>
      </c>
      <c r="D41" s="120"/>
      <c r="E41" s="36">
        <v>1</v>
      </c>
      <c r="F41" s="114">
        <f>SUM(Table6[[#This Row],[Weight]]*Table6[[#This Row],[Items]])</f>
        <v>0</v>
      </c>
      <c r="G41" s="110">
        <f>$K$2/1000*Table6[[#This Row],[Weight]]*Table6[[#This Row],[Items]]</f>
        <v>0</v>
      </c>
      <c r="H41" s="112"/>
    </row>
    <row r="42" spans="1:8">
      <c r="A42" s="1" t="s">
        <v>688</v>
      </c>
      <c r="B42" s="36" t="s">
        <v>531</v>
      </c>
      <c r="D42" s="120"/>
      <c r="E42" s="36">
        <v>1</v>
      </c>
      <c r="F42" s="114">
        <f>SUM(Table6[[#This Row],[Weight]]*Table6[[#This Row],[Items]])</f>
        <v>0</v>
      </c>
      <c r="G42" s="110">
        <f>$K$2/1000*Table6[[#This Row],[Weight]]*Table6[[#This Row],[Items]]</f>
        <v>0</v>
      </c>
      <c r="H42" s="112"/>
    </row>
    <row r="43" spans="1:8">
      <c r="A43" s="1" t="s">
        <v>688</v>
      </c>
      <c r="B43" s="36" t="s">
        <v>532</v>
      </c>
      <c r="D43" s="120"/>
      <c r="E43" s="36">
        <v>2</v>
      </c>
      <c r="F43" s="114">
        <f>SUM(Table6[[#This Row],[Weight]]*Table6[[#This Row],[Items]])</f>
        <v>0</v>
      </c>
      <c r="G43" s="110">
        <f>$K$2/1000*Table6[[#This Row],[Weight]]*Table6[[#This Row],[Items]]</f>
        <v>0</v>
      </c>
      <c r="H43" s="112"/>
    </row>
    <row r="44" spans="1:8">
      <c r="A44" s="1" t="s">
        <v>688</v>
      </c>
      <c r="B44" s="36" t="s">
        <v>533</v>
      </c>
      <c r="D44" s="120"/>
      <c r="E44" s="36">
        <v>1</v>
      </c>
      <c r="F44" s="114">
        <f>SUM(Table6[[#This Row],[Weight]]*Table6[[#This Row],[Items]])</f>
        <v>0</v>
      </c>
      <c r="G44" s="110">
        <f>$K$2/1000*Table6[[#This Row],[Weight]]*Table6[[#This Row],[Items]]</f>
        <v>0</v>
      </c>
      <c r="H44" s="112"/>
    </row>
    <row r="45" spans="1:8">
      <c r="A45" s="1" t="s">
        <v>688</v>
      </c>
      <c r="B45" s="36" t="s">
        <v>534</v>
      </c>
      <c r="D45" s="120"/>
      <c r="E45" s="36">
        <v>1</v>
      </c>
      <c r="F45" s="114">
        <f>SUM(Table6[[#This Row],[Weight]]*Table6[[#This Row],[Items]])</f>
        <v>0</v>
      </c>
      <c r="G45" s="110">
        <f>$K$2/1000*Table6[[#This Row],[Weight]]*Table6[[#This Row],[Items]]</f>
        <v>0</v>
      </c>
      <c r="H45" s="112"/>
    </row>
    <row r="46" spans="1:8">
      <c r="A46" s="1" t="s">
        <v>688</v>
      </c>
      <c r="B46" s="36" t="s">
        <v>535</v>
      </c>
      <c r="D46" s="120"/>
      <c r="E46" s="36">
        <v>1</v>
      </c>
      <c r="F46" s="114">
        <f>SUM(Table6[[#This Row],[Weight]]*Table6[[#This Row],[Items]])</f>
        <v>0</v>
      </c>
      <c r="G46" s="110">
        <f>$K$2/1000*Table6[[#This Row],[Weight]]*Table6[[#This Row],[Items]]</f>
        <v>0</v>
      </c>
      <c r="H46" s="112"/>
    </row>
    <row r="47" spans="1:8">
      <c r="A47" s="1" t="s">
        <v>688</v>
      </c>
      <c r="B47" s="36" t="s">
        <v>536</v>
      </c>
      <c r="D47" s="120"/>
      <c r="E47" s="36">
        <v>1</v>
      </c>
      <c r="F47" s="114">
        <f>SUM(Table6[[#This Row],[Weight]]*Table6[[#This Row],[Items]])</f>
        <v>0</v>
      </c>
      <c r="G47" s="110">
        <f>$K$2/1000*Table6[[#This Row],[Weight]]*Table6[[#This Row],[Items]]</f>
        <v>0</v>
      </c>
      <c r="H47" s="112"/>
    </row>
    <row r="48" spans="1:8">
      <c r="A48" s="1" t="s">
        <v>688</v>
      </c>
      <c r="B48" s="36" t="s">
        <v>537</v>
      </c>
      <c r="D48" s="120"/>
      <c r="E48" s="36">
        <v>1</v>
      </c>
      <c r="F48" s="114">
        <f>SUM(Table6[[#This Row],[Weight]]*Table6[[#This Row],[Items]])</f>
        <v>0</v>
      </c>
      <c r="G48" s="110">
        <f>$K$2/1000*Table6[[#This Row],[Weight]]*Table6[[#This Row],[Items]]</f>
        <v>0</v>
      </c>
      <c r="H48" s="112"/>
    </row>
    <row r="49" spans="1:8">
      <c r="A49" s="1" t="s">
        <v>688</v>
      </c>
      <c r="B49" s="36" t="s">
        <v>538</v>
      </c>
      <c r="D49" s="120"/>
      <c r="E49" s="36">
        <v>1</v>
      </c>
      <c r="F49" s="114">
        <f>SUM(Table6[[#This Row],[Weight]]*Table6[[#This Row],[Items]])</f>
        <v>0</v>
      </c>
      <c r="G49" s="110">
        <f>$K$2/1000*Table6[[#This Row],[Weight]]*Table6[[#This Row],[Items]]</f>
        <v>0</v>
      </c>
      <c r="H49" s="112"/>
    </row>
    <row r="50" spans="1:8">
      <c r="A50" s="1" t="s">
        <v>688</v>
      </c>
      <c r="B50" s="36" t="s">
        <v>539</v>
      </c>
      <c r="D50" s="120"/>
      <c r="E50" s="36">
        <v>1</v>
      </c>
      <c r="F50" s="114">
        <f>SUM(Table6[[#This Row],[Weight]]*Table6[[#This Row],[Items]])</f>
        <v>0</v>
      </c>
      <c r="G50" s="110">
        <f>$K$2/1000*Table6[[#This Row],[Weight]]*Table6[[#This Row],[Items]]</f>
        <v>0</v>
      </c>
      <c r="H50" s="112"/>
    </row>
    <row r="51" spans="1:8">
      <c r="A51" s="1" t="s">
        <v>688</v>
      </c>
      <c r="B51" s="36" t="s">
        <v>540</v>
      </c>
      <c r="D51" s="120"/>
      <c r="E51" s="36">
        <v>1</v>
      </c>
      <c r="F51" s="114">
        <f>SUM(Table6[[#This Row],[Weight]]*Table6[[#This Row],[Items]])</f>
        <v>0</v>
      </c>
      <c r="G51" s="110">
        <f>$K$2/1000*Table6[[#This Row],[Weight]]*Table6[[#This Row],[Items]]</f>
        <v>0</v>
      </c>
      <c r="H51" s="112"/>
    </row>
    <row r="52" spans="1:8">
      <c r="A52" s="295" t="s">
        <v>689</v>
      </c>
      <c r="B52" s="36" t="s">
        <v>541</v>
      </c>
      <c r="D52" s="120"/>
      <c r="E52" s="36">
        <v>1</v>
      </c>
      <c r="F52" s="114">
        <f>SUM(Table6[[#This Row],[Weight]]*Table6[[#This Row],[Items]])</f>
        <v>0</v>
      </c>
      <c r="G52" s="110">
        <f>$K$2/1000*Table6[[#This Row],[Weight]]*Table6[[#This Row],[Items]]</f>
        <v>0</v>
      </c>
      <c r="H52" s="112"/>
    </row>
    <row r="53" spans="1:8">
      <c r="A53" s="295" t="s">
        <v>689</v>
      </c>
      <c r="B53" s="36" t="s">
        <v>542</v>
      </c>
      <c r="D53" s="120"/>
      <c r="E53" s="36">
        <v>1</v>
      </c>
      <c r="F53" s="114">
        <f>SUM(Table6[[#This Row],[Weight]]*Table6[[#This Row],[Items]])</f>
        <v>0</v>
      </c>
      <c r="G53" s="110">
        <f>$K$2/1000*Table6[[#This Row],[Weight]]*Table6[[#This Row],[Items]]</f>
        <v>0</v>
      </c>
      <c r="H53" s="112"/>
    </row>
    <row r="54" spans="1:8">
      <c r="A54" s="1" t="s">
        <v>688</v>
      </c>
      <c r="B54" s="36" t="s">
        <v>560</v>
      </c>
      <c r="D54" s="120"/>
      <c r="E54" s="36">
        <v>6</v>
      </c>
      <c r="F54" s="114">
        <f>SUM(Table6[[#This Row],[Weight]]*Table6[[#This Row],[Items]])</f>
        <v>0</v>
      </c>
      <c r="G54" s="110">
        <f>$K$2/1000*Table6[[#This Row],[Weight]]*Table6[[#This Row],[Items]]</f>
        <v>0</v>
      </c>
      <c r="H54" s="112"/>
    </row>
    <row r="55" spans="1:8">
      <c r="A55" s="1" t="s">
        <v>688</v>
      </c>
      <c r="B55" s="1" t="s">
        <v>562</v>
      </c>
      <c r="D55" s="120"/>
      <c r="E55" s="1">
        <v>1</v>
      </c>
      <c r="F55" s="115">
        <f>SUM(Table6[[#This Row],[Weight]]*Table6[[#This Row],[Items]])</f>
        <v>0</v>
      </c>
      <c r="G55" s="110">
        <f>$K$2/1000*Table6[[#This Row],[Weight]]*Table6[[#This Row],[Items]]</f>
        <v>0</v>
      </c>
      <c r="H55" s="112"/>
    </row>
    <row r="56" spans="1:8">
      <c r="A56" s="1" t="s">
        <v>688</v>
      </c>
      <c r="B56" s="1" t="s">
        <v>563</v>
      </c>
      <c r="D56" s="120"/>
      <c r="E56" s="1">
        <v>1</v>
      </c>
      <c r="F56" s="115">
        <f>SUM(Table6[[#This Row],[Weight]]*Table6[[#This Row],[Items]])</f>
        <v>0</v>
      </c>
      <c r="G56" s="110">
        <f>$K$2/1000*Table6[[#This Row],[Weight]]*Table6[[#This Row],[Items]]</f>
        <v>0</v>
      </c>
      <c r="H56" s="112"/>
    </row>
    <row r="57" spans="1:8">
      <c r="A57" s="1" t="s">
        <v>688</v>
      </c>
      <c r="B57" s="36" t="s">
        <v>564</v>
      </c>
      <c r="D57" s="120"/>
      <c r="E57" s="36">
        <v>2</v>
      </c>
      <c r="F57" s="114">
        <f>SUM(Table6[[#This Row],[Weight]]*Table6[[#This Row],[Items]])</f>
        <v>0</v>
      </c>
      <c r="G57" s="110">
        <f>$K$2/1000*Table6[[#This Row],[Weight]]*Table6[[#This Row],[Items]]</f>
        <v>0</v>
      </c>
      <c r="H57" s="112"/>
    </row>
    <row r="58" spans="1:8">
      <c r="A58" s="1" t="s">
        <v>688</v>
      </c>
      <c r="B58" s="36" t="s">
        <v>565</v>
      </c>
      <c r="D58" s="120"/>
      <c r="E58" s="36">
        <v>1</v>
      </c>
      <c r="F58" s="114">
        <f>SUM(Table6[[#This Row],[Weight]]*Table6[[#This Row],[Items]])</f>
        <v>0</v>
      </c>
      <c r="G58" s="110">
        <f>$K$2/1000*Table6[[#This Row],[Weight]]*Table6[[#This Row],[Items]]</f>
        <v>0</v>
      </c>
      <c r="H58" s="112"/>
    </row>
    <row r="59" spans="1:8">
      <c r="A59" s="1" t="s">
        <v>690</v>
      </c>
      <c r="B59" s="1" t="s">
        <v>404</v>
      </c>
      <c r="D59" s="120">
        <v>17</v>
      </c>
      <c r="E59" s="1">
        <v>1</v>
      </c>
      <c r="F59" s="115">
        <f>SUM(Table6[[#This Row],[Weight]]*Table6[[#This Row],[Items]])</f>
        <v>17</v>
      </c>
      <c r="G59" s="110">
        <f>$K$2/1000*Table6[[#This Row],[Weight]]*Table6[[#This Row],[Items]]</f>
        <v>2.21</v>
      </c>
      <c r="H59" s="112">
        <v>1.7361111111111112E-2</v>
      </c>
    </row>
    <row r="60" spans="1:8">
      <c r="A60" s="1" t="s">
        <v>690</v>
      </c>
      <c r="B60" s="1" t="s">
        <v>406</v>
      </c>
      <c r="D60" s="120"/>
      <c r="E60" s="1">
        <v>4</v>
      </c>
      <c r="F60" s="115">
        <f>SUM(Table6[[#This Row],[Weight]]*Table6[[#This Row],[Items]])</f>
        <v>0</v>
      </c>
      <c r="G60" s="110">
        <f>$K$2/1000*Table6[[#This Row],[Weight]]*Table6[[#This Row],[Items]]</f>
        <v>0</v>
      </c>
      <c r="H60" s="112"/>
    </row>
    <row r="61" spans="1:8">
      <c r="A61" s="1" t="s">
        <v>690</v>
      </c>
      <c r="B61" s="1" t="s">
        <v>408</v>
      </c>
      <c r="D61" s="120">
        <v>6</v>
      </c>
      <c r="E61" s="1">
        <v>4</v>
      </c>
      <c r="F61" s="115">
        <f>SUM(Table6[[#This Row],[Weight]]*Table6[[#This Row],[Items]])</f>
        <v>24</v>
      </c>
      <c r="G61" s="110">
        <f>$K$2/1000*Table6[[#This Row],[Weight]]*Table6[[#This Row],[Items]]</f>
        <v>3.12</v>
      </c>
      <c r="H61" s="112"/>
    </row>
    <row r="62" spans="1:8">
      <c r="A62" s="1" t="s">
        <v>690</v>
      </c>
      <c r="B62" s="1" t="s">
        <v>409</v>
      </c>
      <c r="D62" s="120">
        <v>9</v>
      </c>
      <c r="E62" s="1">
        <v>4</v>
      </c>
      <c r="F62" s="115">
        <f>SUM(Table6[[#This Row],[Weight]]*Table6[[#This Row],[Items]])</f>
        <v>36</v>
      </c>
      <c r="G62" s="110">
        <f>$K$2/1000*Table6[[#This Row],[Weight]]*Table6[[#This Row],[Items]]</f>
        <v>4.68</v>
      </c>
      <c r="H62" s="112"/>
    </row>
    <row r="63" spans="1:8">
      <c r="A63" s="1" t="s">
        <v>691</v>
      </c>
      <c r="B63" s="1" t="s">
        <v>614</v>
      </c>
      <c r="D63" s="120"/>
      <c r="E63" s="1">
        <v>1</v>
      </c>
      <c r="F63" s="115">
        <f>SUM(Table6[[#This Row],[Weight]]*Table6[[#This Row],[Items]])</f>
        <v>0</v>
      </c>
      <c r="G63" s="110">
        <f>$K$2/1000*Table6[[#This Row],[Weight]]*Table6[[#This Row],[Items]]</f>
        <v>0</v>
      </c>
      <c r="H63" s="112"/>
    </row>
    <row r="64" spans="1:8">
      <c r="A64" s="1" t="s">
        <v>691</v>
      </c>
      <c r="B64" s="41" t="s">
        <v>615</v>
      </c>
      <c r="D64" s="120"/>
      <c r="E64" s="41">
        <v>1</v>
      </c>
      <c r="F64" s="117">
        <f>SUM(Table6[[#This Row],[Weight]]*Table6[[#This Row],[Items]])</f>
        <v>0</v>
      </c>
      <c r="G64" s="110">
        <f>$K$2/1000*Table6[[#This Row],[Weight]]*Table6[[#This Row],[Items]]</f>
        <v>0</v>
      </c>
      <c r="H64" s="112"/>
    </row>
    <row r="65" spans="1:8">
      <c r="A65" s="1" t="s">
        <v>691</v>
      </c>
      <c r="B65" s="36" t="s">
        <v>616</v>
      </c>
      <c r="D65" s="120"/>
      <c r="E65" s="36">
        <v>1</v>
      </c>
      <c r="F65" s="114">
        <f>SUM(Table6[[#This Row],[Weight]]*Table6[[#This Row],[Items]])</f>
        <v>0</v>
      </c>
      <c r="G65" s="110">
        <f>$K$2/1000*Table6[[#This Row],[Weight]]*Table6[[#This Row],[Items]]</f>
        <v>0</v>
      </c>
      <c r="H65" s="112"/>
    </row>
    <row r="66" spans="1:8">
      <c r="A66" s="1" t="s">
        <v>691</v>
      </c>
      <c r="B66" s="36" t="s">
        <v>692</v>
      </c>
      <c r="D66" s="120"/>
      <c r="E66" s="36">
        <v>1</v>
      </c>
      <c r="F66" s="114">
        <f>SUM(Table6[[#This Row],[Weight]]*Table6[[#This Row],[Items]])</f>
        <v>0</v>
      </c>
      <c r="G66" s="110">
        <f>$K$2/1000*Table6[[#This Row],[Weight]]*Table6[[#This Row],[Items]]</f>
        <v>0</v>
      </c>
      <c r="H66" s="112"/>
    </row>
    <row r="67" spans="1:8">
      <c r="A67" s="1" t="s">
        <v>693</v>
      </c>
      <c r="B67" s="111" t="s">
        <v>456</v>
      </c>
      <c r="D67" s="120"/>
      <c r="E67" s="111">
        <v>1</v>
      </c>
      <c r="F67" s="116">
        <f>SUM(Table6[[#This Row],[Weight]]*Table6[[#This Row],[Items]])</f>
        <v>0</v>
      </c>
      <c r="G67" s="110">
        <f>$K$2/1000*Table6[[#This Row],[Weight]]*Table6[[#This Row],[Items]]</f>
        <v>0</v>
      </c>
      <c r="H67" s="112"/>
    </row>
    <row r="68" spans="1:8">
      <c r="A68" s="1" t="s">
        <v>693</v>
      </c>
      <c r="B68" s="65" t="s">
        <v>458</v>
      </c>
      <c r="D68" s="120"/>
      <c r="E68" s="65">
        <v>1</v>
      </c>
      <c r="F68" s="118">
        <f>SUM(Table6[[#This Row],[Weight]]*Table6[[#This Row],[Items]])</f>
        <v>0</v>
      </c>
      <c r="G68" s="110">
        <f>$K$2/1000*Table6[[#This Row],[Weight]]*Table6[[#This Row],[Items]]</f>
        <v>0</v>
      </c>
      <c r="H68" s="112">
        <v>1.1111111111111112E-2</v>
      </c>
    </row>
    <row r="69" spans="1:8">
      <c r="A69" s="1" t="s">
        <v>693</v>
      </c>
      <c r="B69" s="65" t="s">
        <v>459</v>
      </c>
      <c r="D69" s="120">
        <v>2</v>
      </c>
      <c r="E69" s="65">
        <v>1</v>
      </c>
      <c r="F69" s="118">
        <f>SUM(Table6[[#This Row],[Weight]]*Table6[[#This Row],[Items]])</f>
        <v>2</v>
      </c>
      <c r="G69" s="110">
        <f>$K$2/1000*Table6[[#This Row],[Weight]]*Table6[[#This Row],[Items]]</f>
        <v>0.26</v>
      </c>
      <c r="H69" s="112"/>
    </row>
    <row r="70" spans="1:8">
      <c r="A70" s="1" t="s">
        <v>693</v>
      </c>
      <c r="B70" s="65" t="s">
        <v>460</v>
      </c>
      <c r="D70" s="120">
        <v>9</v>
      </c>
      <c r="E70" s="65">
        <v>1</v>
      </c>
      <c r="F70" s="118">
        <f>SUM(Table6[[#This Row],[Weight]]*Table6[[#This Row],[Items]])</f>
        <v>9</v>
      </c>
      <c r="G70" s="110">
        <f>$K$2/1000*Table6[[#This Row],[Weight]]*Table6[[#This Row],[Items]]</f>
        <v>1.17</v>
      </c>
      <c r="H70" s="112"/>
    </row>
    <row r="71" spans="1:8">
      <c r="A71" s="1" t="s">
        <v>693</v>
      </c>
      <c r="B71" s="65" t="s">
        <v>461</v>
      </c>
      <c r="D71" s="120"/>
      <c r="E71" s="65">
        <v>1</v>
      </c>
      <c r="F71" s="118">
        <f>SUM(Table6[[#This Row],[Weight]]*Table6[[#This Row],[Items]])</f>
        <v>0</v>
      </c>
      <c r="G71" s="110">
        <f>$K$2/1000*Table6[[#This Row],[Weight]]*Table6[[#This Row],[Items]]</f>
        <v>0</v>
      </c>
      <c r="H71" s="112"/>
    </row>
    <row r="72" spans="1:8">
      <c r="A72" s="1" t="s">
        <v>693</v>
      </c>
      <c r="B72" s="65" t="s">
        <v>462</v>
      </c>
      <c r="D72" s="120"/>
      <c r="E72" s="65">
        <v>1</v>
      </c>
      <c r="F72" s="118">
        <f>SUM(Table6[[#This Row],[Weight]]*Table6[[#This Row],[Items]])</f>
        <v>0</v>
      </c>
      <c r="G72" s="110">
        <f>$K$2/1000*Table6[[#This Row],[Weight]]*Table6[[#This Row],[Items]]</f>
        <v>0</v>
      </c>
      <c r="H72" s="112"/>
    </row>
    <row r="73" spans="1:8">
      <c r="A73" s="1" t="s">
        <v>693</v>
      </c>
      <c r="B73" s="65" t="s">
        <v>465</v>
      </c>
      <c r="C73">
        <v>12.38</v>
      </c>
      <c r="D73" s="120">
        <v>40</v>
      </c>
      <c r="E73" s="65">
        <v>1</v>
      </c>
      <c r="F73" s="118">
        <f>SUM(Table6[[#This Row],[Weight]]*Table6[[#This Row],[Items]])</f>
        <v>40</v>
      </c>
      <c r="G73" s="110">
        <f>$K$2/1000*Table6[[#This Row],[Weight]]*Table6[[#This Row],[Items]]</f>
        <v>5.2</v>
      </c>
      <c r="H73" s="112">
        <v>8.3333333333333329E-2</v>
      </c>
    </row>
    <row r="74" spans="1:8">
      <c r="A74" s="1" t="s">
        <v>693</v>
      </c>
      <c r="B74" s="36" t="s">
        <v>464</v>
      </c>
      <c r="C74">
        <v>12.68</v>
      </c>
      <c r="D74" s="120">
        <v>40</v>
      </c>
      <c r="E74" s="36">
        <v>1</v>
      </c>
      <c r="F74" s="114">
        <f>SUM(Table6[[#This Row],[Weight]]*Table6[[#This Row],[Items]])</f>
        <v>40</v>
      </c>
      <c r="G74" s="110">
        <f>$K$2/1000*Table6[[#This Row],[Weight]]*Table6[[#This Row],[Items]]</f>
        <v>5.2</v>
      </c>
      <c r="H74" s="112">
        <v>8.3333333333333329E-2</v>
      </c>
    </row>
    <row r="75" spans="1:8">
      <c r="A75" s="1" t="s">
        <v>693</v>
      </c>
      <c r="B75" s="65" t="s">
        <v>463</v>
      </c>
      <c r="D75" s="120">
        <v>45</v>
      </c>
      <c r="E75" s="65">
        <v>1</v>
      </c>
      <c r="F75" s="118">
        <f>SUM(Table6[[#This Row],[Weight]]*Table6[[#This Row],[Items]])</f>
        <v>45</v>
      </c>
      <c r="G75" s="110">
        <f>$K$2/1000*Table6[[#This Row],[Weight]]*Table6[[#This Row],[Items]]</f>
        <v>5.8500000000000005</v>
      </c>
      <c r="H75" s="112">
        <v>0.6069444444444444</v>
      </c>
    </row>
    <row r="76" spans="1:8">
      <c r="A76" s="1" t="s">
        <v>694</v>
      </c>
      <c r="B76" s="36" t="s">
        <v>695</v>
      </c>
      <c r="C76">
        <v>7.45</v>
      </c>
      <c r="D76" s="120">
        <v>23</v>
      </c>
      <c r="E76" s="65">
        <v>1</v>
      </c>
      <c r="F76" s="118">
        <f>SUM(Table6[[#This Row],[Weight]]*Table6[[#This Row],[Items]])</f>
        <v>23</v>
      </c>
      <c r="G76" s="110">
        <f>$K$2/1000*Table6[[#This Row],[Weight]]*Table6[[#This Row],[Items]]</f>
        <v>2.99</v>
      </c>
      <c r="H76" s="112">
        <v>4.027777777777778E-2</v>
      </c>
    </row>
    <row r="77" spans="1:8">
      <c r="A77" s="1" t="s">
        <v>696</v>
      </c>
      <c r="B77" s="36" t="s">
        <v>486</v>
      </c>
      <c r="D77" s="120"/>
      <c r="E77" s="65">
        <v>1</v>
      </c>
      <c r="F77" s="118">
        <f>SUM(Table6[[#This Row],[Weight]]*Table6[[#This Row],[Items]])</f>
        <v>0</v>
      </c>
      <c r="G77" s="110">
        <f>$K$2/1000*Table6[[#This Row],[Weight]]*Table6[[#This Row],[Items]]</f>
        <v>0</v>
      </c>
      <c r="H77" s="112"/>
    </row>
    <row r="78" spans="1:8">
      <c r="A78" s="1" t="s">
        <v>696</v>
      </c>
      <c r="B78" s="36" t="s">
        <v>488</v>
      </c>
      <c r="D78" s="120"/>
      <c r="E78" s="65">
        <v>1</v>
      </c>
      <c r="F78" s="118">
        <f>SUM(Table6[[#This Row],[Weight]]*Table6[[#This Row],[Items]])</f>
        <v>0</v>
      </c>
      <c r="G78" s="110">
        <f>$K$2/1000*Table6[[#This Row],[Weight]]*Table6[[#This Row],[Items]]</f>
        <v>0</v>
      </c>
      <c r="H78" s="112"/>
    </row>
    <row r="79" spans="1:8">
      <c r="A79" s="1" t="s">
        <v>696</v>
      </c>
      <c r="B79" s="36" t="s">
        <v>489</v>
      </c>
      <c r="D79" s="120"/>
      <c r="E79" s="65">
        <v>1</v>
      </c>
      <c r="F79" s="118">
        <f>SUM(Table6[[#This Row],[Weight]]*Table6[[#This Row],[Items]])</f>
        <v>0</v>
      </c>
      <c r="G79" s="110">
        <f>$K$2/1000*Table6[[#This Row],[Weight]]*Table6[[#This Row],[Items]]</f>
        <v>0</v>
      </c>
      <c r="H79" s="112"/>
    </row>
    <row r="80" spans="1:8">
      <c r="A80" s="1" t="s">
        <v>696</v>
      </c>
      <c r="B80" s="36" t="s">
        <v>490</v>
      </c>
      <c r="D80" s="120"/>
      <c r="E80" s="65">
        <v>2</v>
      </c>
      <c r="F80" s="118">
        <f>SUM(Table6[[#This Row],[Weight]]*Table6[[#This Row],[Items]])</f>
        <v>0</v>
      </c>
      <c r="G80" s="110">
        <f>$K$2/1000*Table6[[#This Row],[Weight]]*Table6[[#This Row],[Items]]</f>
        <v>0</v>
      </c>
      <c r="H80" s="112"/>
    </row>
    <row r="81" spans="1:9">
      <c r="A81" s="1" t="s">
        <v>696</v>
      </c>
      <c r="B81" s="36" t="s">
        <v>491</v>
      </c>
      <c r="D81" s="120"/>
      <c r="E81" s="65">
        <v>1</v>
      </c>
      <c r="F81" s="118">
        <f>SUM(Table6[[#This Row],[Weight]]*Table6[[#This Row],[Items]])</f>
        <v>0</v>
      </c>
      <c r="G81" s="110">
        <f>$K$2/1000*Table6[[#This Row],[Weight]]*Table6[[#This Row],[Items]]</f>
        <v>0</v>
      </c>
      <c r="H81" s="112"/>
    </row>
    <row r="82" spans="1:9">
      <c r="A82" s="1" t="s">
        <v>696</v>
      </c>
      <c r="B82" s="36" t="s">
        <v>492</v>
      </c>
      <c r="D82" s="120"/>
      <c r="E82" s="65">
        <v>1</v>
      </c>
      <c r="F82" s="118">
        <f>SUM(Table6[[#This Row],[Weight]]*Table6[[#This Row],[Items]])</f>
        <v>0</v>
      </c>
      <c r="G82" s="110">
        <f>$K$2/1000*Table6[[#This Row],[Weight]]*Table6[[#This Row],[Items]]</f>
        <v>0</v>
      </c>
      <c r="H82" s="112"/>
    </row>
    <row r="83" spans="1:9">
      <c r="A83" s="1" t="s">
        <v>696</v>
      </c>
      <c r="B83" s="36" t="s">
        <v>493</v>
      </c>
      <c r="D83" s="120"/>
      <c r="E83" s="65">
        <v>1</v>
      </c>
      <c r="F83" s="118">
        <f>SUM(Table6[[#This Row],[Weight]]*Table6[[#This Row],[Items]])</f>
        <v>0</v>
      </c>
      <c r="G83" s="110">
        <f>$K$2/1000*Table6[[#This Row],[Weight]]*Table6[[#This Row],[Items]]</f>
        <v>0</v>
      </c>
      <c r="H83" s="112"/>
    </row>
    <row r="84" spans="1:9">
      <c r="A84" s="1" t="s">
        <v>696</v>
      </c>
      <c r="B84" s="36" t="s">
        <v>494</v>
      </c>
      <c r="D84" s="120"/>
      <c r="E84" s="65">
        <v>1</v>
      </c>
      <c r="F84" s="118">
        <f>SUM(Table6[[#This Row],[Weight]]*Table6[[#This Row],[Items]])</f>
        <v>0</v>
      </c>
      <c r="G84" s="110">
        <f>$K$2/1000*Table6[[#This Row],[Weight]]*Table6[[#This Row],[Items]]</f>
        <v>0</v>
      </c>
      <c r="H84" s="112"/>
    </row>
    <row r="85" spans="1:9">
      <c r="A85" s="1" t="s">
        <v>696</v>
      </c>
      <c r="B85" s="36" t="s">
        <v>495</v>
      </c>
      <c r="D85" s="120"/>
      <c r="E85" s="65">
        <v>1</v>
      </c>
      <c r="F85" s="118">
        <f>SUM(Table6[[#This Row],[Weight]]*Table6[[#This Row],[Items]])</f>
        <v>0</v>
      </c>
      <c r="G85" s="110">
        <f>$K$2/1000*Table6[[#This Row],[Weight]]*Table6[[#This Row],[Items]]</f>
        <v>0</v>
      </c>
      <c r="H85" s="112"/>
    </row>
    <row r="86" spans="1:9">
      <c r="A86" s="1" t="s">
        <v>696</v>
      </c>
      <c r="B86" s="36" t="s">
        <v>496</v>
      </c>
      <c r="D86" s="120"/>
      <c r="E86" s="65">
        <v>1</v>
      </c>
      <c r="F86" s="118">
        <f>SUM(Table6[[#This Row],[Weight]]*Table6[[#This Row],[Items]])</f>
        <v>0</v>
      </c>
      <c r="G86" s="110">
        <f>$K$2/1000*Table6[[#This Row],[Weight]]*Table6[[#This Row],[Items]]</f>
        <v>0</v>
      </c>
      <c r="H86" s="112"/>
    </row>
    <row r="87" spans="1:9">
      <c r="A87" s="1" t="s">
        <v>696</v>
      </c>
      <c r="B87" s="36" t="s">
        <v>497</v>
      </c>
      <c r="D87" s="120"/>
      <c r="E87" s="65">
        <v>1</v>
      </c>
      <c r="F87" s="118">
        <f>SUM(Table6[[#This Row],[Weight]]*Table6[[#This Row],[Items]])</f>
        <v>0</v>
      </c>
      <c r="G87" s="110">
        <f>$K$2/1000*Table6[[#This Row],[Weight]]*Table6[[#This Row],[Items]]</f>
        <v>0</v>
      </c>
      <c r="H87" s="112"/>
    </row>
    <row r="88" spans="1:9">
      <c r="A88" s="1" t="s">
        <v>696</v>
      </c>
      <c r="B88" s="36" t="s">
        <v>498</v>
      </c>
      <c r="D88" s="120"/>
      <c r="E88" s="65">
        <v>3</v>
      </c>
      <c r="F88" s="118">
        <f>SUM(Table6[[#This Row],[Weight]]*Table6[[#This Row],[Items]])</f>
        <v>0</v>
      </c>
      <c r="G88" s="110">
        <f>$K$2/1000*Table6[[#This Row],[Weight]]*Table6[[#This Row],[Items]]</f>
        <v>0</v>
      </c>
      <c r="H88" s="112"/>
    </row>
    <row r="89" spans="1:9">
      <c r="A89" s="1" t="s">
        <v>696</v>
      </c>
      <c r="B89" s="36" t="s">
        <v>499</v>
      </c>
      <c r="D89" s="120"/>
      <c r="E89" s="65">
        <v>1</v>
      </c>
      <c r="F89" s="118">
        <f>SUM(Table6[[#This Row],[Weight]]*Table6[[#This Row],[Items]])</f>
        <v>0</v>
      </c>
      <c r="G89" s="110">
        <f>$K$2/1000*Table6[[#This Row],[Weight]]*Table6[[#This Row],[Items]]</f>
        <v>0</v>
      </c>
      <c r="H89" s="112"/>
    </row>
    <row r="90" spans="1:9">
      <c r="A90" s="1" t="s">
        <v>696</v>
      </c>
      <c r="B90" s="36" t="s">
        <v>500</v>
      </c>
      <c r="D90" s="120"/>
      <c r="E90" s="65">
        <v>1</v>
      </c>
      <c r="F90" s="118">
        <f>SUM(Table6[[#This Row],[Weight]]*Table6[[#This Row],[Items]])</f>
        <v>0</v>
      </c>
      <c r="G90" s="110">
        <f>$K$2/1000*Table6[[#This Row],[Weight]]*Table6[[#This Row],[Items]]</f>
        <v>0</v>
      </c>
      <c r="H90" s="112"/>
    </row>
    <row r="91" spans="1:9">
      <c r="A91" s="1" t="s">
        <v>696</v>
      </c>
      <c r="B91" s="36" t="s">
        <v>501</v>
      </c>
      <c r="D91" s="120"/>
      <c r="E91" s="65">
        <v>1</v>
      </c>
      <c r="F91" s="118">
        <f>SUM(Table6[[#This Row],[Weight]]*Table6[[#This Row],[Items]])</f>
        <v>0</v>
      </c>
      <c r="G91" s="110">
        <f>$K$2/1000*Table6[[#This Row],[Weight]]*Table6[[#This Row],[Items]]</f>
        <v>0</v>
      </c>
      <c r="H91" s="112"/>
    </row>
    <row r="92" spans="1:9">
      <c r="A92" s="1"/>
      <c r="B92" s="1"/>
      <c r="E92" s="1">
        <f>SUBTOTAL(109,Table6[Items])</f>
        <v>123</v>
      </c>
      <c r="F92" s="113" t="str">
        <f>SUBTOTAL(109,Table6[weight Tot])&amp;"g"</f>
        <v>695g</v>
      </c>
      <c r="G92" s="110">
        <f>SUBTOTAL(109,Table6[Cost/part])</f>
        <v>90.350000000000009</v>
      </c>
      <c r="H92" s="119">
        <f>SUBTOTAL(109,Table6[Time estimate])</f>
        <v>1.1340277777777779</v>
      </c>
    </row>
    <row r="93" spans="1:9">
      <c r="A93" s="312" t="s">
        <v>689</v>
      </c>
      <c r="B93" t="s">
        <v>697</v>
      </c>
      <c r="D93">
        <v>46</v>
      </c>
      <c r="E93">
        <v>1</v>
      </c>
      <c r="I93" t="s">
        <v>698</v>
      </c>
    </row>
    <row r="94" spans="1:9">
      <c r="A94" s="295" t="s">
        <v>689</v>
      </c>
      <c r="B94" t="s">
        <v>699</v>
      </c>
      <c r="D94">
        <v>20</v>
      </c>
      <c r="E94">
        <v>1</v>
      </c>
      <c r="I94" t="s">
        <v>698</v>
      </c>
    </row>
    <row r="95" spans="1:9">
      <c r="A95" s="295" t="s">
        <v>689</v>
      </c>
      <c r="B95" t="s">
        <v>700</v>
      </c>
      <c r="I95" t="s">
        <v>698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9B0-1F64-43EA-B8A8-B58E6C73D378}">
  <sheetPr>
    <tabColor rgb="FFFF0000"/>
  </sheetPr>
  <dimension ref="A1:D15"/>
  <sheetViews>
    <sheetView tabSelected="1" workbookViewId="0">
      <selection activeCell="A16" sqref="A16"/>
    </sheetView>
  </sheetViews>
  <sheetFormatPr defaultRowHeight="15"/>
  <cols>
    <col min="1" max="1" width="83.140625" customWidth="1"/>
    <col min="2" max="2" width="11.42578125" customWidth="1"/>
    <col min="3" max="3" width="46.140625" customWidth="1"/>
    <col min="4" max="4" width="70.85546875" customWidth="1"/>
  </cols>
  <sheetData>
    <row r="1" spans="1:4" ht="15.75">
      <c r="A1" s="5" t="s">
        <v>701</v>
      </c>
      <c r="B1" t="s">
        <v>702</v>
      </c>
      <c r="C1" t="s">
        <v>703</v>
      </c>
      <c r="D1" t="s">
        <v>704</v>
      </c>
    </row>
    <row r="2" spans="1:4" ht="20.25" customHeight="1">
      <c r="A2" s="4" t="s">
        <v>705</v>
      </c>
      <c r="B2" t="s">
        <v>706</v>
      </c>
      <c r="C2" s="124" t="s">
        <v>707</v>
      </c>
      <c r="D2" s="7" t="s">
        <v>708</v>
      </c>
    </row>
    <row r="3" spans="1:4" ht="14.25" customHeight="1">
      <c r="A3" t="s">
        <v>709</v>
      </c>
      <c r="B3" t="s">
        <v>710</v>
      </c>
      <c r="C3" s="309" t="s">
        <v>711</v>
      </c>
    </row>
    <row r="4" spans="1:4">
      <c r="A4" s="6" t="s">
        <v>712</v>
      </c>
      <c r="B4" s="6" t="s">
        <v>713</v>
      </c>
      <c r="C4" s="6" t="s">
        <v>714</v>
      </c>
      <c r="D4" s="310" t="s">
        <v>715</v>
      </c>
    </row>
    <row r="5" spans="1:4">
      <c r="A5" s="1" t="s">
        <v>716</v>
      </c>
      <c r="C5" s="125" t="s">
        <v>717</v>
      </c>
    </row>
    <row r="6" spans="1:4">
      <c r="A6" s="1" t="s">
        <v>718</v>
      </c>
      <c r="B6" t="s">
        <v>719</v>
      </c>
      <c r="C6" t="s">
        <v>527</v>
      </c>
    </row>
    <row r="7" spans="1:4">
      <c r="A7" t="s">
        <v>720</v>
      </c>
      <c r="B7" s="1" t="s">
        <v>713</v>
      </c>
      <c r="C7" s="125" t="s">
        <v>721</v>
      </c>
    </row>
    <row r="8" spans="1:4">
      <c r="A8" s="1" t="s">
        <v>722</v>
      </c>
      <c r="C8" s="123" t="s">
        <v>723</v>
      </c>
      <c r="D8" t="s">
        <v>724</v>
      </c>
    </row>
    <row r="9" spans="1:4">
      <c r="A9" t="s">
        <v>725</v>
      </c>
      <c r="B9" t="s">
        <v>726</v>
      </c>
      <c r="C9" s="123" t="s">
        <v>727</v>
      </c>
    </row>
    <row r="10" spans="1:4">
      <c r="A10" t="s">
        <v>728</v>
      </c>
      <c r="B10" t="s">
        <v>729</v>
      </c>
    </row>
    <row r="12" spans="1:4">
      <c r="A12" t="s">
        <v>730</v>
      </c>
    </row>
    <row r="14" spans="1:4">
      <c r="A14" t="s">
        <v>1098</v>
      </c>
      <c r="B14" t="s">
        <v>1099</v>
      </c>
    </row>
    <row r="15" spans="1:4">
      <c r="A15" t="s">
        <v>1100</v>
      </c>
      <c r="B15" t="s">
        <v>1099</v>
      </c>
    </row>
  </sheetData>
  <hyperlinks>
    <hyperlink ref="D4" r:id="rId1" xr:uid="{36F730E6-D2FB-4DE8-A8CA-115837D74B2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623-0653-4148-A217-057459B36D84}">
  <sheetPr>
    <tabColor rgb="FFFFC000"/>
  </sheetPr>
  <dimension ref="A1:D54"/>
  <sheetViews>
    <sheetView workbookViewId="0">
      <selection activeCell="D15" sqref="D15"/>
    </sheetView>
  </sheetViews>
  <sheetFormatPr defaultRowHeight="15"/>
  <cols>
    <col min="1" max="1" width="44.28515625" customWidth="1"/>
    <col min="2" max="2" width="54" customWidth="1"/>
    <col min="3" max="3" width="83.42578125" customWidth="1"/>
    <col min="4" max="4" width="70.7109375" customWidth="1"/>
  </cols>
  <sheetData>
    <row r="1" spans="1:4">
      <c r="A1" t="s">
        <v>731</v>
      </c>
      <c r="B1" t="s">
        <v>732</v>
      </c>
      <c r="C1" t="s">
        <v>378</v>
      </c>
      <c r="D1" t="s">
        <v>733</v>
      </c>
    </row>
    <row r="2" spans="1:4">
      <c r="A2" t="s">
        <v>734</v>
      </c>
      <c r="B2" s="54" t="s">
        <v>735</v>
      </c>
      <c r="C2" s="4" t="s">
        <v>736</v>
      </c>
    </row>
    <row r="3" spans="1:4" ht="15" customHeight="1">
      <c r="A3" t="s">
        <v>737</v>
      </c>
      <c r="B3" s="38" t="s">
        <v>738</v>
      </c>
      <c r="C3" s="4" t="s">
        <v>739</v>
      </c>
    </row>
    <row r="4" spans="1:4">
      <c r="A4" t="s">
        <v>740</v>
      </c>
      <c r="B4" s="38" t="s">
        <v>741</v>
      </c>
      <c r="C4" t="s">
        <v>742</v>
      </c>
    </row>
    <row r="5" spans="1:4">
      <c r="A5" t="s">
        <v>743</v>
      </c>
      <c r="B5" s="38" t="s">
        <v>744</v>
      </c>
      <c r="C5" t="s">
        <v>745</v>
      </c>
      <c r="D5" s="4" t="s">
        <v>746</v>
      </c>
    </row>
    <row r="6" spans="1:4" ht="12" customHeight="1">
      <c r="A6" t="s">
        <v>747</v>
      </c>
      <c r="B6" s="38" t="s">
        <v>748</v>
      </c>
      <c r="C6" t="s">
        <v>749</v>
      </c>
    </row>
    <row r="7" spans="1:4">
      <c r="A7" t="s">
        <v>750</v>
      </c>
      <c r="B7" s="38" t="s">
        <v>751</v>
      </c>
      <c r="C7" t="s">
        <v>752</v>
      </c>
    </row>
    <row r="8" spans="1:4">
      <c r="A8" t="s">
        <v>753</v>
      </c>
      <c r="B8" s="203" t="s">
        <v>754</v>
      </c>
      <c r="C8" t="s">
        <v>755</v>
      </c>
    </row>
    <row r="9" spans="1:4">
      <c r="A9" t="s">
        <v>756</v>
      </c>
      <c r="B9" s="38" t="s">
        <v>757</v>
      </c>
      <c r="C9" t="s">
        <v>758</v>
      </c>
    </row>
    <row r="10" spans="1:4">
      <c r="A10" t="s">
        <v>759</v>
      </c>
      <c r="B10" s="38" t="s">
        <v>760</v>
      </c>
      <c r="C10" t="s">
        <v>761</v>
      </c>
    </row>
    <row r="11" spans="1:4">
      <c r="A11" t="s">
        <v>762</v>
      </c>
      <c r="B11" s="38" t="s">
        <v>763</v>
      </c>
      <c r="C11" t="s">
        <v>764</v>
      </c>
    </row>
    <row r="12" spans="1:4">
      <c r="A12" s="254" t="s">
        <v>765</v>
      </c>
      <c r="B12" s="38" t="s">
        <v>766</v>
      </c>
      <c r="C12" t="s">
        <v>767</v>
      </c>
    </row>
    <row r="13" spans="1:4">
      <c r="B13" s="38"/>
    </row>
    <row r="14" spans="1:4">
      <c r="A14" t="s">
        <v>731</v>
      </c>
      <c r="B14" s="93" t="s">
        <v>661</v>
      </c>
      <c r="C14" t="s">
        <v>378</v>
      </c>
      <c r="D14" t="s">
        <v>12</v>
      </c>
    </row>
    <row r="15" spans="1:4">
      <c r="A15" t="s">
        <v>768</v>
      </c>
      <c r="B15" s="38" t="s">
        <v>769</v>
      </c>
      <c r="C15" t="s">
        <v>770</v>
      </c>
    </row>
    <row r="16" spans="1:4">
      <c r="B16" s="38" t="s">
        <v>771</v>
      </c>
      <c r="C16" s="4" t="s">
        <v>772</v>
      </c>
    </row>
    <row r="17" spans="1:4">
      <c r="B17" s="38" t="s">
        <v>773</v>
      </c>
      <c r="C17" t="s">
        <v>774</v>
      </c>
    </row>
    <row r="18" spans="1:4">
      <c r="B18" s="38" t="s">
        <v>775</v>
      </c>
      <c r="C18" t="s">
        <v>776</v>
      </c>
    </row>
    <row r="19" spans="1:4">
      <c r="B19" s="38" t="s">
        <v>777</v>
      </c>
      <c r="C19" t="s">
        <v>778</v>
      </c>
    </row>
    <row r="20" spans="1:4">
      <c r="B20" s="38" t="s">
        <v>779</v>
      </c>
      <c r="C20" t="s">
        <v>780</v>
      </c>
    </row>
    <row r="21" spans="1:4">
      <c r="B21" s="38" t="s">
        <v>781</v>
      </c>
      <c r="C21" t="s">
        <v>782</v>
      </c>
      <c r="D21" s="253" t="s">
        <v>783</v>
      </c>
    </row>
    <row r="22" spans="1:4">
      <c r="A22" t="s">
        <v>784</v>
      </c>
      <c r="B22" s="38" t="s">
        <v>785</v>
      </c>
      <c r="C22" t="s">
        <v>786</v>
      </c>
      <c r="D22" t="s">
        <v>787</v>
      </c>
    </row>
    <row r="23" spans="1:4">
      <c r="B23" s="38" t="s">
        <v>788</v>
      </c>
      <c r="C23" t="s">
        <v>789</v>
      </c>
    </row>
    <row r="24" spans="1:4">
      <c r="B24" s="38" t="s">
        <v>790</v>
      </c>
      <c r="C24" t="s">
        <v>791</v>
      </c>
    </row>
    <row r="25" spans="1:4">
      <c r="B25" s="38" t="s">
        <v>792</v>
      </c>
      <c r="C25" t="s">
        <v>793</v>
      </c>
    </row>
    <row r="26" spans="1:4">
      <c r="A26" t="s">
        <v>794</v>
      </c>
      <c r="B26" s="38" t="s">
        <v>795</v>
      </c>
      <c r="C26" t="s">
        <v>796</v>
      </c>
      <c r="D26" t="s">
        <v>797</v>
      </c>
    </row>
    <row r="27" spans="1:4">
      <c r="A27" t="s">
        <v>798</v>
      </c>
      <c r="B27" s="38" t="s">
        <v>799</v>
      </c>
      <c r="C27" t="s">
        <v>800</v>
      </c>
    </row>
    <row r="28" spans="1:4">
      <c r="B28" s="38" t="s">
        <v>801</v>
      </c>
      <c r="C28" t="s">
        <v>802</v>
      </c>
    </row>
    <row r="29" spans="1:4">
      <c r="B29" s="38" t="s">
        <v>803</v>
      </c>
      <c r="C29" t="s">
        <v>804</v>
      </c>
    </row>
    <row r="30" spans="1:4">
      <c r="B30" s="38" t="s">
        <v>805</v>
      </c>
      <c r="C30" t="s">
        <v>806</v>
      </c>
    </row>
    <row r="31" spans="1:4">
      <c r="B31" s="38"/>
    </row>
    <row r="32" spans="1:4">
      <c r="B32" s="38"/>
    </row>
    <row r="33" spans="1:4">
      <c r="A33" t="s">
        <v>807</v>
      </c>
      <c r="B33" s="60" t="s">
        <v>808</v>
      </c>
      <c r="C33" t="s">
        <v>378</v>
      </c>
    </row>
    <row r="34" spans="1:4">
      <c r="B34" t="s">
        <v>809</v>
      </c>
      <c r="C34" t="s">
        <v>810</v>
      </c>
    </row>
    <row r="35" spans="1:4">
      <c r="B35" t="s">
        <v>811</v>
      </c>
      <c r="C35" t="s">
        <v>810</v>
      </c>
    </row>
    <row r="36" spans="1:4">
      <c r="B36" t="s">
        <v>812</v>
      </c>
      <c r="C36" t="s">
        <v>810</v>
      </c>
    </row>
    <row r="37" spans="1:4">
      <c r="B37" t="s">
        <v>813</v>
      </c>
      <c r="C37" t="s">
        <v>810</v>
      </c>
    </row>
    <row r="39" spans="1:4">
      <c r="B39" t="s">
        <v>814</v>
      </c>
      <c r="C39" t="s">
        <v>810</v>
      </c>
      <c r="D39" t="s">
        <v>815</v>
      </c>
    </row>
    <row r="40" spans="1:4">
      <c r="D40" t="s">
        <v>816</v>
      </c>
    </row>
    <row r="41" spans="1:4">
      <c r="B41" t="s">
        <v>817</v>
      </c>
    </row>
    <row r="42" spans="1:4">
      <c r="B42" t="s">
        <v>818</v>
      </c>
    </row>
    <row r="44" spans="1:4">
      <c r="A44" t="s">
        <v>807</v>
      </c>
      <c r="B44" s="60" t="s">
        <v>819</v>
      </c>
      <c r="C44" t="s">
        <v>378</v>
      </c>
    </row>
    <row r="45" spans="1:4">
      <c r="B45" t="s">
        <v>820</v>
      </c>
      <c r="C45" t="s">
        <v>810</v>
      </c>
    </row>
    <row r="46" spans="1:4">
      <c r="B46" t="s">
        <v>821</v>
      </c>
      <c r="C46" t="s">
        <v>810</v>
      </c>
    </row>
    <row r="47" spans="1:4">
      <c r="B47" t="s">
        <v>822</v>
      </c>
      <c r="C47" t="s">
        <v>810</v>
      </c>
    </row>
    <row r="48" spans="1:4">
      <c r="B48" t="s">
        <v>823</v>
      </c>
      <c r="C48" t="s">
        <v>810</v>
      </c>
    </row>
    <row r="49" spans="2:3">
      <c r="B49" t="s">
        <v>824</v>
      </c>
      <c r="C49" t="s">
        <v>810</v>
      </c>
    </row>
    <row r="50" spans="2:3">
      <c r="B50" t="s">
        <v>825</v>
      </c>
      <c r="C50" t="s">
        <v>810</v>
      </c>
    </row>
    <row r="51" spans="2:3">
      <c r="B51" t="s">
        <v>826</v>
      </c>
      <c r="C51" t="s">
        <v>827</v>
      </c>
    </row>
    <row r="52" spans="2:3">
      <c r="B52" t="s">
        <v>828</v>
      </c>
      <c r="C52" t="s">
        <v>810</v>
      </c>
    </row>
    <row r="53" spans="2:3">
      <c r="B53" t="s">
        <v>829</v>
      </c>
      <c r="C53" t="s">
        <v>810</v>
      </c>
    </row>
    <row r="54" spans="2:3">
      <c r="B54" t="s">
        <v>830</v>
      </c>
      <c r="C54" t="s">
        <v>810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1214-FEDF-4959-B6B1-8C60CA48A0FC}">
  <dimension ref="A1:E17"/>
  <sheetViews>
    <sheetView workbookViewId="0">
      <selection activeCell="C22" sqref="C22"/>
    </sheetView>
  </sheetViews>
  <sheetFormatPr defaultRowHeight="15"/>
  <cols>
    <col min="1" max="1" width="51.42578125" customWidth="1"/>
    <col min="2" max="2" width="20.42578125" customWidth="1"/>
    <col min="3" max="3" width="32.85546875" customWidth="1"/>
    <col min="4" max="4" width="19.42578125" customWidth="1"/>
    <col min="5" max="5" width="71.85546875" customWidth="1"/>
  </cols>
  <sheetData>
    <row r="1" spans="1:5">
      <c r="A1" s="3" t="s">
        <v>377</v>
      </c>
      <c r="B1" s="3" t="s">
        <v>831</v>
      </c>
      <c r="C1" s="3" t="s">
        <v>378</v>
      </c>
      <c r="D1" s="3" t="s">
        <v>8</v>
      </c>
      <c r="E1" s="3" t="s">
        <v>832</v>
      </c>
    </row>
    <row r="2" spans="1:5">
      <c r="A2" t="s">
        <v>833</v>
      </c>
      <c r="B2" t="s">
        <v>834</v>
      </c>
      <c r="C2" t="s">
        <v>835</v>
      </c>
      <c r="D2" t="s">
        <v>836</v>
      </c>
      <c r="E2" s="109" t="s">
        <v>837</v>
      </c>
    </row>
    <row r="3" spans="1:5">
      <c r="A3" t="s">
        <v>838</v>
      </c>
      <c r="C3" t="s">
        <v>839</v>
      </c>
    </row>
    <row r="4" spans="1:5">
      <c r="A4" t="s">
        <v>840</v>
      </c>
    </row>
    <row r="5" spans="1:5">
      <c r="A5" t="s">
        <v>841</v>
      </c>
    </row>
    <row r="6" spans="1:5" ht="16.5" customHeight="1">
      <c r="A6" t="s">
        <v>842</v>
      </c>
      <c r="C6" s="4" t="s">
        <v>843</v>
      </c>
    </row>
    <row r="7" spans="1:5">
      <c r="A7" t="s">
        <v>844</v>
      </c>
    </row>
    <row r="8" spans="1:5">
      <c r="A8" t="s">
        <v>845</v>
      </c>
    </row>
    <row r="9" spans="1:5">
      <c r="A9" t="s">
        <v>846</v>
      </c>
    </row>
    <row r="10" spans="1:5" ht="14.25" customHeight="1">
      <c r="A10" s="4" t="s">
        <v>847</v>
      </c>
    </row>
    <row r="11" spans="1:5">
      <c r="A11" t="s">
        <v>848</v>
      </c>
    </row>
    <row r="12" spans="1:5">
      <c r="A12" t="s">
        <v>849</v>
      </c>
      <c r="C12" t="s">
        <v>850</v>
      </c>
    </row>
    <row r="13" spans="1:5">
      <c r="A13" t="s">
        <v>851</v>
      </c>
      <c r="B13">
        <v>1</v>
      </c>
      <c r="C13" t="s">
        <v>852</v>
      </c>
      <c r="E13" s="134" t="s">
        <v>853</v>
      </c>
    </row>
    <row r="14" spans="1:5">
      <c r="A14" s="308" t="s">
        <v>854</v>
      </c>
      <c r="E14" s="134" t="s">
        <v>855</v>
      </c>
    </row>
    <row r="15" spans="1:5">
      <c r="A15" t="s">
        <v>856</v>
      </c>
      <c r="B15">
        <v>1</v>
      </c>
    </row>
    <row r="16" spans="1:5">
      <c r="A16" s="4" t="s">
        <v>857</v>
      </c>
      <c r="B16">
        <v>1</v>
      </c>
    </row>
    <row r="17" spans="1:5">
      <c r="A17" t="s">
        <v>858</v>
      </c>
      <c r="B17">
        <v>1</v>
      </c>
      <c r="E17" s="4" t="s">
        <v>859</v>
      </c>
    </row>
  </sheetData>
  <hyperlinks>
    <hyperlink ref="E13" r:id="rId1" xr:uid="{3BD14087-096D-4B95-8D2A-BB6B2E6ECB04}"/>
    <hyperlink ref="E14" r:id="rId2" xr:uid="{9746E316-C540-456C-8DB2-33AE97228441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39F-5462-40EB-AF1D-F8681FB2D0C5}">
  <dimension ref="A1:A25"/>
  <sheetViews>
    <sheetView workbookViewId="0">
      <selection activeCell="A15" sqref="A15"/>
    </sheetView>
  </sheetViews>
  <sheetFormatPr defaultRowHeight="15"/>
  <cols>
    <col min="1" max="1" width="92" style="204" bestFit="1" customWidth="1"/>
    <col min="2" max="16384" width="9.140625" style="204"/>
  </cols>
  <sheetData>
    <row r="1" spans="1:1">
      <c r="A1" s="205" t="s">
        <v>860</v>
      </c>
    </row>
    <row r="2" spans="1:1">
      <c r="A2" s="205"/>
    </row>
    <row r="3" spans="1:1">
      <c r="A3" s="206" t="s">
        <v>861</v>
      </c>
    </row>
    <row r="4" spans="1:1">
      <c r="A4" s="207" t="s">
        <v>862</v>
      </c>
    </row>
    <row r="5" spans="1:1">
      <c r="A5" s="205" t="s">
        <v>863</v>
      </c>
    </row>
    <row r="6" spans="1:1">
      <c r="A6" s="205" t="s">
        <v>864</v>
      </c>
    </row>
    <row r="7" spans="1:1">
      <c r="A7" s="205" t="s">
        <v>865</v>
      </c>
    </row>
    <row r="8" spans="1:1">
      <c r="A8" s="205" t="s">
        <v>866</v>
      </c>
    </row>
    <row r="9" spans="1:1">
      <c r="A9" s="205"/>
    </row>
    <row r="10" spans="1:1">
      <c r="A10" s="206" t="s">
        <v>867</v>
      </c>
    </row>
    <row r="11" spans="1:1">
      <c r="A11" s="207" t="s">
        <v>868</v>
      </c>
    </row>
    <row r="12" spans="1:1">
      <c r="A12" s="205" t="s">
        <v>869</v>
      </c>
    </row>
    <row r="13" spans="1:1">
      <c r="A13" s="205"/>
    </row>
    <row r="14" spans="1:1">
      <c r="A14" s="206" t="s">
        <v>870</v>
      </c>
    </row>
    <row r="15" spans="1:1">
      <c r="A15" s="205" t="s">
        <v>871</v>
      </c>
    </row>
    <row r="16" spans="1:1">
      <c r="A16" s="205" t="s">
        <v>872</v>
      </c>
    </row>
    <row r="17" spans="1:1">
      <c r="A17" s="205" t="s">
        <v>873</v>
      </c>
    </row>
    <row r="18" spans="1:1">
      <c r="A18" s="205" t="s">
        <v>874</v>
      </c>
    </row>
    <row r="19" spans="1:1">
      <c r="A19" s="205" t="s">
        <v>875</v>
      </c>
    </row>
    <row r="20" spans="1:1">
      <c r="A20" s="205" t="s">
        <v>876</v>
      </c>
    </row>
    <row r="21" spans="1:1">
      <c r="A21" s="205"/>
    </row>
    <row r="22" spans="1:1">
      <c r="A22" s="206" t="s">
        <v>877</v>
      </c>
    </row>
    <row r="23" spans="1:1">
      <c r="A23" s="205" t="s">
        <v>878</v>
      </c>
    </row>
    <row r="24" spans="1:1">
      <c r="A24" s="205" t="s">
        <v>879</v>
      </c>
    </row>
    <row r="25" spans="1:1">
      <c r="A25" s="205" t="s">
        <v>880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4CA9-6DBE-440D-B5D1-A4C053DC51C7}">
  <dimension ref="A1:H37"/>
  <sheetViews>
    <sheetView workbookViewId="0"/>
  </sheetViews>
  <sheetFormatPr defaultRowHeight="15"/>
  <cols>
    <col min="1" max="1" width="29.140625" style="204" customWidth="1"/>
    <col min="2" max="2" width="35.7109375" style="210" bestFit="1" customWidth="1"/>
    <col min="3" max="3" width="43.85546875" style="210" customWidth="1"/>
    <col min="4" max="4" width="25.28515625" style="210" customWidth="1"/>
    <col min="5" max="5" width="35.28515625" style="210" customWidth="1"/>
    <col min="6" max="6" width="32" style="210" customWidth="1"/>
    <col min="7" max="7" width="30.85546875" style="209" customWidth="1"/>
    <col min="8" max="8" width="56.85546875" style="208" bestFit="1" customWidth="1"/>
    <col min="9" max="16384" width="9.140625" style="204"/>
  </cols>
  <sheetData>
    <row r="1" spans="1:8">
      <c r="A1" s="204" t="s">
        <v>881</v>
      </c>
      <c r="B1" s="210" t="s">
        <v>882</v>
      </c>
      <c r="C1" s="210" t="s">
        <v>883</v>
      </c>
      <c r="D1" s="210" t="s">
        <v>884</v>
      </c>
      <c r="E1" s="210" t="s">
        <v>885</v>
      </c>
      <c r="F1" s="210" t="s">
        <v>886</v>
      </c>
      <c r="G1" s="209" t="s">
        <v>887</v>
      </c>
      <c r="H1" s="208" t="s">
        <v>888</v>
      </c>
    </row>
    <row r="2" spans="1:8">
      <c r="A2" s="204" t="s">
        <v>889</v>
      </c>
      <c r="B2" s="210">
        <v>1</v>
      </c>
      <c r="C2" s="210">
        <v>1</v>
      </c>
      <c r="D2" s="210">
        <v>1</v>
      </c>
      <c r="E2" s="210">
        <v>1</v>
      </c>
      <c r="F2" s="210">
        <v>1</v>
      </c>
      <c r="G2" s="209" t="s">
        <v>890</v>
      </c>
      <c r="H2" s="208">
        <v>2</v>
      </c>
    </row>
    <row r="3" spans="1:8">
      <c r="A3" s="204" t="s">
        <v>891</v>
      </c>
      <c r="B3" s="210" t="s">
        <v>892</v>
      </c>
      <c r="C3" s="210" t="s">
        <v>893</v>
      </c>
      <c r="D3" s="219" t="s">
        <v>892</v>
      </c>
      <c r="E3" s="219" t="s">
        <v>892</v>
      </c>
      <c r="F3" s="210" t="s">
        <v>156</v>
      </c>
      <c r="H3" s="208" t="s">
        <v>892</v>
      </c>
    </row>
    <row r="4" spans="1:8">
      <c r="A4" s="204" t="s">
        <v>894</v>
      </c>
      <c r="B4" s="210">
        <v>450</v>
      </c>
      <c r="C4" s="210">
        <v>450</v>
      </c>
      <c r="D4" s="210" t="s">
        <v>895</v>
      </c>
      <c r="E4" s="210">
        <v>285</v>
      </c>
      <c r="F4" s="210">
        <v>285</v>
      </c>
      <c r="G4" s="209">
        <v>300</v>
      </c>
      <c r="H4" s="208" t="s">
        <v>896</v>
      </c>
    </row>
    <row r="5" spans="1:8">
      <c r="A5" s="204" t="s">
        <v>897</v>
      </c>
      <c r="B5" s="210" t="s">
        <v>898</v>
      </c>
      <c r="C5" s="210" t="s">
        <v>899</v>
      </c>
      <c r="D5" s="210">
        <v>150</v>
      </c>
      <c r="E5" s="210" t="s">
        <v>156</v>
      </c>
      <c r="F5" s="210">
        <v>157</v>
      </c>
      <c r="G5" s="209">
        <v>120</v>
      </c>
      <c r="H5" s="208" t="s">
        <v>900</v>
      </c>
    </row>
    <row r="6" spans="1:8">
      <c r="A6" s="204" t="s">
        <v>901</v>
      </c>
      <c r="B6" s="210">
        <v>80</v>
      </c>
      <c r="C6" s="210">
        <v>100</v>
      </c>
      <c r="D6" s="210" t="s">
        <v>156</v>
      </c>
      <c r="E6" s="210" t="s">
        <v>156</v>
      </c>
      <c r="F6" s="210" t="s">
        <v>156</v>
      </c>
      <c r="G6" s="209">
        <v>60</v>
      </c>
      <c r="H6" s="208" t="s">
        <v>902</v>
      </c>
    </row>
    <row r="7" spans="1:8">
      <c r="A7" s="204" t="s">
        <v>903</v>
      </c>
      <c r="B7" s="210" t="s">
        <v>904</v>
      </c>
      <c r="C7" s="210" t="s">
        <v>905</v>
      </c>
      <c r="D7" s="210" t="s">
        <v>906</v>
      </c>
      <c r="E7" s="210" t="s">
        <v>907</v>
      </c>
      <c r="F7" s="210" t="s">
        <v>908</v>
      </c>
      <c r="G7" s="209" t="s">
        <v>909</v>
      </c>
      <c r="H7" s="208" t="s">
        <v>910</v>
      </c>
    </row>
    <row r="8" spans="1:8">
      <c r="A8" s="204" t="s">
        <v>911</v>
      </c>
      <c r="B8" s="210" t="s">
        <v>912</v>
      </c>
      <c r="C8" s="210" t="s">
        <v>912</v>
      </c>
      <c r="D8" s="210" t="s">
        <v>913</v>
      </c>
      <c r="E8" s="210" t="s">
        <v>912</v>
      </c>
      <c r="F8" s="210" t="s">
        <v>912</v>
      </c>
      <c r="G8" s="209" t="s">
        <v>914</v>
      </c>
      <c r="H8" s="208" t="s">
        <v>915</v>
      </c>
    </row>
    <row r="9" spans="1:8">
      <c r="A9" s="204" t="s">
        <v>916</v>
      </c>
      <c r="B9" s="210" t="s">
        <v>917</v>
      </c>
      <c r="C9" s="210" t="s">
        <v>917</v>
      </c>
      <c r="D9" s="210" t="s">
        <v>918</v>
      </c>
      <c r="E9" s="210" t="s">
        <v>919</v>
      </c>
      <c r="F9" s="210" t="s">
        <v>920</v>
      </c>
      <c r="H9" s="208" t="s">
        <v>921</v>
      </c>
    </row>
    <row r="10" spans="1:8">
      <c r="A10" s="204" t="s">
        <v>922</v>
      </c>
      <c r="B10" s="215" t="s">
        <v>923</v>
      </c>
      <c r="C10" s="215" t="s">
        <v>924</v>
      </c>
      <c r="D10" s="215" t="s">
        <v>925</v>
      </c>
      <c r="E10" s="215" t="s">
        <v>926</v>
      </c>
      <c r="F10" s="218" t="s">
        <v>927</v>
      </c>
      <c r="G10" s="217" t="s">
        <v>928</v>
      </c>
      <c r="H10" s="208" t="s">
        <v>929</v>
      </c>
    </row>
    <row r="11" spans="1:8">
      <c r="A11" s="204" t="s">
        <v>930</v>
      </c>
      <c r="B11" s="210" t="s">
        <v>931</v>
      </c>
      <c r="C11" s="210" t="s">
        <v>931</v>
      </c>
      <c r="D11" s="210" t="s">
        <v>932</v>
      </c>
      <c r="E11" s="210" t="s">
        <v>933</v>
      </c>
      <c r="F11" s="210" t="s">
        <v>934</v>
      </c>
      <c r="G11" s="209" t="s">
        <v>914</v>
      </c>
      <c r="H11" s="208" t="s">
        <v>931</v>
      </c>
    </row>
    <row r="12" spans="1:8" ht="17.25" customHeight="1">
      <c r="A12" s="216" t="s">
        <v>935</v>
      </c>
      <c r="B12" s="215" t="s">
        <v>936</v>
      </c>
      <c r="C12" s="215" t="s">
        <v>937</v>
      </c>
      <c r="D12" s="214" t="s">
        <v>938</v>
      </c>
      <c r="E12" s="215" t="s">
        <v>939</v>
      </c>
      <c r="F12" s="214" t="s">
        <v>940</v>
      </c>
      <c r="H12" s="208" t="s">
        <v>941</v>
      </c>
    </row>
    <row r="13" spans="1:8">
      <c r="A13" s="204" t="s">
        <v>942</v>
      </c>
      <c r="B13" s="210" t="s">
        <v>943</v>
      </c>
      <c r="C13" s="210" t="s">
        <v>943</v>
      </c>
      <c r="D13" s="210">
        <v>120</v>
      </c>
      <c r="E13" s="210" t="s">
        <v>156</v>
      </c>
      <c r="F13" s="210" t="s">
        <v>944</v>
      </c>
      <c r="G13" s="209" t="s">
        <v>945</v>
      </c>
      <c r="H13" s="208" t="s">
        <v>943</v>
      </c>
    </row>
    <row r="14" spans="1:8">
      <c r="A14" s="204" t="s">
        <v>946</v>
      </c>
      <c r="B14" s="210" t="s">
        <v>947</v>
      </c>
      <c r="C14" s="210" t="s">
        <v>947</v>
      </c>
      <c r="D14" s="210" t="s">
        <v>948</v>
      </c>
      <c r="E14" s="210" t="s">
        <v>949</v>
      </c>
      <c r="F14" s="210" t="s">
        <v>950</v>
      </c>
      <c r="G14" s="209" t="s">
        <v>951</v>
      </c>
      <c r="H14" s="208" t="s">
        <v>952</v>
      </c>
    </row>
    <row r="15" spans="1:8">
      <c r="A15" s="213" t="s">
        <v>953</v>
      </c>
      <c r="B15" s="210" t="s">
        <v>912</v>
      </c>
      <c r="C15" s="210" t="s">
        <v>912</v>
      </c>
      <c r="H15" s="208" t="s">
        <v>912</v>
      </c>
    </row>
    <row r="16" spans="1:8">
      <c r="A16" s="204" t="s">
        <v>954</v>
      </c>
      <c r="B16" s="210" t="s">
        <v>955</v>
      </c>
      <c r="C16" s="210" t="s">
        <v>956</v>
      </c>
      <c r="D16" s="210" t="s">
        <v>957</v>
      </c>
      <c r="E16" s="210" t="s">
        <v>958</v>
      </c>
      <c r="F16" s="210" t="s">
        <v>958</v>
      </c>
      <c r="H16" s="208" t="s">
        <v>959</v>
      </c>
    </row>
    <row r="17" spans="1:8">
      <c r="A17" s="204" t="s">
        <v>960</v>
      </c>
      <c r="B17" s="210" t="s">
        <v>961</v>
      </c>
      <c r="C17" s="210" t="s">
        <v>962</v>
      </c>
      <c r="D17" s="210" t="s">
        <v>963</v>
      </c>
      <c r="E17" s="210" t="s">
        <v>958</v>
      </c>
      <c r="F17" s="210" t="s">
        <v>958</v>
      </c>
      <c r="H17" s="208" t="s">
        <v>961</v>
      </c>
    </row>
    <row r="18" spans="1:8">
      <c r="A18" s="204" t="s">
        <v>964</v>
      </c>
      <c r="B18" s="210" t="s">
        <v>965</v>
      </c>
      <c r="C18" s="210" t="s">
        <v>966</v>
      </c>
      <c r="D18" s="210" t="s">
        <v>967</v>
      </c>
      <c r="E18" s="210" t="s">
        <v>968</v>
      </c>
      <c r="F18" s="210" t="s">
        <v>969</v>
      </c>
      <c r="H18" s="208" t="s">
        <v>970</v>
      </c>
    </row>
    <row r="19" spans="1:8">
      <c r="A19" s="204" t="s">
        <v>971</v>
      </c>
      <c r="B19" s="210" t="s">
        <v>972</v>
      </c>
      <c r="C19" s="210" t="s">
        <v>972</v>
      </c>
      <c r="D19" s="210" t="s">
        <v>973</v>
      </c>
      <c r="E19" s="210" t="s">
        <v>974</v>
      </c>
      <c r="F19" s="210" t="s">
        <v>975</v>
      </c>
      <c r="G19" s="209" t="s">
        <v>973</v>
      </c>
      <c r="H19" s="209" t="s">
        <v>973</v>
      </c>
    </row>
    <row r="20" spans="1:8">
      <c r="A20" s="213" t="s">
        <v>976</v>
      </c>
      <c r="B20" s="208" t="s">
        <v>977</v>
      </c>
      <c r="C20" s="208" t="s">
        <v>978</v>
      </c>
      <c r="G20" s="209" t="s">
        <v>979</v>
      </c>
      <c r="H20" s="208" t="s">
        <v>980</v>
      </c>
    </row>
    <row r="21" spans="1:8">
      <c r="A21" s="204" t="s">
        <v>981</v>
      </c>
      <c r="B21" s="210" t="s">
        <v>982</v>
      </c>
      <c r="C21" s="210" t="s">
        <v>982</v>
      </c>
      <c r="D21" s="210" t="s">
        <v>983</v>
      </c>
      <c r="E21" s="210" t="s">
        <v>983</v>
      </c>
      <c r="G21" s="212" t="s">
        <v>984</v>
      </c>
      <c r="H21" s="208" t="s">
        <v>985</v>
      </c>
    </row>
    <row r="22" spans="1:8">
      <c r="A22" s="204" t="s">
        <v>986</v>
      </c>
      <c r="B22" s="210" t="s">
        <v>987</v>
      </c>
      <c r="C22" s="210" t="s">
        <v>988</v>
      </c>
      <c r="D22" s="210" t="s">
        <v>983</v>
      </c>
      <c r="E22" s="210" t="s">
        <v>983</v>
      </c>
      <c r="F22" s="210" t="s">
        <v>983</v>
      </c>
      <c r="G22" s="209" t="s">
        <v>989</v>
      </c>
      <c r="H22" s="208" t="s">
        <v>990</v>
      </c>
    </row>
    <row r="23" spans="1:8">
      <c r="A23" s="204" t="s">
        <v>991</v>
      </c>
      <c r="B23" s="210" t="s">
        <v>982</v>
      </c>
      <c r="C23" s="210" t="s">
        <v>982</v>
      </c>
      <c r="D23" s="210" t="s">
        <v>983</v>
      </c>
      <c r="E23" s="210" t="s">
        <v>983</v>
      </c>
      <c r="F23" s="210" t="s">
        <v>983</v>
      </c>
      <c r="G23" s="209" t="s">
        <v>992</v>
      </c>
      <c r="H23" s="208" t="s">
        <v>982</v>
      </c>
    </row>
    <row r="24" spans="1:8">
      <c r="A24" s="204" t="s">
        <v>993</v>
      </c>
      <c r="B24" s="210" t="s">
        <v>982</v>
      </c>
      <c r="C24" s="210" t="s">
        <v>982</v>
      </c>
      <c r="D24" s="210" t="s">
        <v>156</v>
      </c>
      <c r="E24" s="210" t="s">
        <v>912</v>
      </c>
      <c r="H24" s="208" t="s">
        <v>982</v>
      </c>
    </row>
    <row r="25" spans="1:8">
      <c r="A25" s="204" t="s">
        <v>994</v>
      </c>
      <c r="B25" s="210">
        <v>0.05</v>
      </c>
      <c r="C25" s="210">
        <v>0.05</v>
      </c>
      <c r="D25" s="210" t="s">
        <v>156</v>
      </c>
      <c r="E25" s="210" t="s">
        <v>156</v>
      </c>
      <c r="G25" s="209">
        <v>0.05</v>
      </c>
      <c r="H25" s="208">
        <v>0.04</v>
      </c>
    </row>
    <row r="26" spans="1:8">
      <c r="A26" s="204" t="s">
        <v>995</v>
      </c>
      <c r="B26" s="210" t="s">
        <v>982</v>
      </c>
      <c r="C26" s="210" t="s">
        <v>996</v>
      </c>
      <c r="D26" s="210" t="s">
        <v>156</v>
      </c>
      <c r="E26" s="210" t="s">
        <v>997</v>
      </c>
      <c r="G26" s="209" t="s">
        <v>998</v>
      </c>
      <c r="H26" s="208" t="s">
        <v>912</v>
      </c>
    </row>
    <row r="27" spans="1:8">
      <c r="A27" s="204" t="s">
        <v>999</v>
      </c>
      <c r="B27" s="210" t="s">
        <v>1000</v>
      </c>
      <c r="C27" s="210" t="s">
        <v>1000</v>
      </c>
      <c r="D27" s="210" t="s">
        <v>156</v>
      </c>
      <c r="E27" s="210" t="s">
        <v>1001</v>
      </c>
      <c r="H27" s="210" t="s">
        <v>1000</v>
      </c>
    </row>
    <row r="28" spans="1:8">
      <c r="A28" s="204" t="s">
        <v>1002</v>
      </c>
      <c r="B28" s="210" t="s">
        <v>1003</v>
      </c>
      <c r="C28" s="210" t="s">
        <v>1003</v>
      </c>
      <c r="D28" s="210" t="s">
        <v>156</v>
      </c>
      <c r="E28" s="210" t="s">
        <v>1004</v>
      </c>
      <c r="G28" s="210" t="s">
        <v>1005</v>
      </c>
      <c r="H28" s="208" t="s">
        <v>1003</v>
      </c>
    </row>
    <row r="29" spans="1:8">
      <c r="A29" s="204" t="s">
        <v>1006</v>
      </c>
      <c r="B29" s="210" t="s">
        <v>1007</v>
      </c>
      <c r="C29" s="210" t="s">
        <v>1008</v>
      </c>
      <c r="D29" s="210" t="s">
        <v>1009</v>
      </c>
      <c r="E29" s="210" t="s">
        <v>1007</v>
      </c>
      <c r="G29" s="209" t="s">
        <v>1010</v>
      </c>
      <c r="H29" s="208" t="s">
        <v>1011</v>
      </c>
    </row>
    <row r="30" spans="1:8">
      <c r="A30" s="204" t="s">
        <v>1012</v>
      </c>
      <c r="B30" s="210" t="s">
        <v>1013</v>
      </c>
      <c r="C30" s="210" t="s">
        <v>1014</v>
      </c>
      <c r="D30" s="210" t="s">
        <v>1009</v>
      </c>
      <c r="E30" s="210" t="s">
        <v>156</v>
      </c>
      <c r="G30" s="209" t="s">
        <v>992</v>
      </c>
      <c r="H30" s="208" t="s">
        <v>1015</v>
      </c>
    </row>
    <row r="31" spans="1:8">
      <c r="A31" s="204" t="s">
        <v>1016</v>
      </c>
      <c r="B31" s="210" t="s">
        <v>1017</v>
      </c>
      <c r="C31" s="210" t="s">
        <v>1017</v>
      </c>
      <c r="D31" s="210" t="s">
        <v>1009</v>
      </c>
      <c r="E31" s="210" t="s">
        <v>156</v>
      </c>
      <c r="G31" s="209" t="s">
        <v>1018</v>
      </c>
      <c r="H31" s="210" t="s">
        <v>1017</v>
      </c>
    </row>
    <row r="32" spans="1:8">
      <c r="A32" s="204" t="s">
        <v>1019</v>
      </c>
      <c r="B32" s="210" t="s">
        <v>1020</v>
      </c>
      <c r="C32" s="210" t="s">
        <v>1020</v>
      </c>
      <c r="D32" s="210" t="s">
        <v>1009</v>
      </c>
      <c r="E32" s="210" t="s">
        <v>156</v>
      </c>
      <c r="G32" s="209" t="s">
        <v>1021</v>
      </c>
      <c r="H32" s="208" t="s">
        <v>1022</v>
      </c>
    </row>
    <row r="33" spans="1:8">
      <c r="A33" s="204" t="s">
        <v>1023</v>
      </c>
      <c r="B33" s="210" t="s">
        <v>1024</v>
      </c>
      <c r="C33" s="210" t="s">
        <v>1025</v>
      </c>
      <c r="D33" s="210" t="s">
        <v>1009</v>
      </c>
      <c r="E33" s="210" t="s">
        <v>1026</v>
      </c>
      <c r="G33" s="209" t="s">
        <v>1027</v>
      </c>
      <c r="H33" s="208" t="s">
        <v>1028</v>
      </c>
    </row>
    <row r="34" spans="1:8">
      <c r="A34" s="204" t="s">
        <v>1029</v>
      </c>
      <c r="B34" s="210" t="s">
        <v>1030</v>
      </c>
      <c r="C34" s="210" t="s">
        <v>1031</v>
      </c>
      <c r="D34" s="210">
        <v>1000</v>
      </c>
      <c r="E34" s="210">
        <v>1200</v>
      </c>
      <c r="F34" s="210">
        <v>1700</v>
      </c>
      <c r="G34" s="211">
        <v>10305</v>
      </c>
      <c r="H34" s="208">
        <v>9800</v>
      </c>
    </row>
    <row r="35" spans="1:8">
      <c r="A35" s="204" t="s">
        <v>1032</v>
      </c>
      <c r="B35" s="210">
        <v>1.75</v>
      </c>
      <c r="C35" s="210">
        <v>1.75</v>
      </c>
      <c r="D35" s="210">
        <v>1.75</v>
      </c>
      <c r="E35" s="210">
        <v>1.75</v>
      </c>
      <c r="F35" s="210">
        <v>1.75</v>
      </c>
      <c r="G35" s="209">
        <v>2.85</v>
      </c>
      <c r="H35" s="208">
        <v>1.75</v>
      </c>
    </row>
    <row r="37" spans="1:8">
      <c r="B37" s="221"/>
      <c r="C37" s="22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203-A011-45DE-AFDE-3A21369FA217}">
  <sheetPr>
    <outlinePr summaryBelow="0" summaryRight="0"/>
    <pageSetUpPr fitToPage="1"/>
  </sheetPr>
  <dimension ref="A1:M704"/>
  <sheetViews>
    <sheetView topLeftCell="A19" zoomScaleNormal="100" workbookViewId="0">
      <selection activeCell="D58" sqref="D58"/>
    </sheetView>
  </sheetViews>
  <sheetFormatPr defaultColWidth="12.5703125" defaultRowHeight="15" customHeight="1"/>
  <cols>
    <col min="1" max="1" width="18.7109375" style="225" customWidth="1"/>
    <col min="2" max="2" width="9.42578125" style="235" bestFit="1" customWidth="1"/>
    <col min="3" max="3" width="8" style="235" bestFit="1" customWidth="1"/>
    <col min="4" max="4" width="8.42578125" style="220" customWidth="1"/>
    <col min="5" max="5" width="7.140625" style="220" customWidth="1"/>
    <col min="6" max="6" width="7.140625" style="220" bestFit="1" customWidth="1"/>
    <col min="7" max="7" width="6.140625" style="220" bestFit="1" customWidth="1"/>
    <col min="8" max="8" width="9.28515625" style="220" bestFit="1" customWidth="1"/>
    <col min="9" max="9" width="6.85546875" style="220" bestFit="1" customWidth="1"/>
    <col min="10" max="10" width="8" style="220" customWidth="1"/>
    <col min="11" max="11" width="10.85546875" style="220" bestFit="1" customWidth="1"/>
    <col min="12" max="12" width="11" style="220" customWidth="1"/>
    <col min="13" max="13" width="9.5703125" style="220" customWidth="1"/>
    <col min="14" max="16384" width="12.5703125" style="220"/>
  </cols>
  <sheetData>
    <row r="1" spans="1:12" ht="15" customHeight="1">
      <c r="A1" s="223" t="s">
        <v>1033</v>
      </c>
      <c r="B1" s="220"/>
      <c r="C1" s="220"/>
    </row>
    <row r="2" spans="1:12" ht="15" customHeight="1">
      <c r="A2" s="224" t="s">
        <v>1034</v>
      </c>
      <c r="B2" s="220"/>
      <c r="C2" s="220"/>
    </row>
    <row r="3" spans="1:12" s="222" customFormat="1" ht="15" customHeight="1">
      <c r="A3" s="246"/>
      <c r="B3" s="247"/>
      <c r="C3" s="247"/>
      <c r="D3" s="226" t="s">
        <v>1035</v>
      </c>
      <c r="E3" s="226" t="s">
        <v>1035</v>
      </c>
      <c r="F3" s="226" t="s">
        <v>1035</v>
      </c>
      <c r="G3" s="226" t="s">
        <v>1035</v>
      </c>
      <c r="H3" s="226" t="s">
        <v>1035</v>
      </c>
      <c r="I3" s="226" t="s">
        <v>1036</v>
      </c>
      <c r="J3" s="252" t="s">
        <v>1037</v>
      </c>
      <c r="K3" s="226" t="s">
        <v>1038</v>
      </c>
      <c r="L3" s="228" t="s">
        <v>1039</v>
      </c>
    </row>
    <row r="4" spans="1:12" s="222" customFormat="1" ht="46.5" customHeight="1" thickBot="1">
      <c r="A4" s="242" t="s">
        <v>1040</v>
      </c>
      <c r="B4" s="243" t="s">
        <v>1041</v>
      </c>
      <c r="C4" s="244" t="s">
        <v>1042</v>
      </c>
      <c r="D4" s="244" t="s">
        <v>1043</v>
      </c>
      <c r="E4" s="244" t="s">
        <v>1044</v>
      </c>
      <c r="F4" s="244" t="s">
        <v>1045</v>
      </c>
      <c r="G4" s="244" t="s">
        <v>1046</v>
      </c>
      <c r="H4" s="244" t="s">
        <v>1047</v>
      </c>
      <c r="I4" s="244" t="s">
        <v>1048</v>
      </c>
      <c r="J4" s="244" t="s">
        <v>1049</v>
      </c>
      <c r="K4" s="244" t="s">
        <v>1050</v>
      </c>
      <c r="L4" s="245" t="s">
        <v>1051</v>
      </c>
    </row>
    <row r="5" spans="1:12" s="222" customFormat="1" ht="15.75" customHeight="1">
      <c r="A5" s="237" t="s">
        <v>675</v>
      </c>
      <c r="B5" s="238" t="s">
        <v>1052</v>
      </c>
      <c r="C5" s="239">
        <v>0</v>
      </c>
      <c r="D5" s="239">
        <v>100</v>
      </c>
      <c r="E5" s="239">
        <v>320</v>
      </c>
      <c r="F5" s="239">
        <v>110</v>
      </c>
      <c r="G5" s="239">
        <v>80</v>
      </c>
      <c r="H5" s="239">
        <v>100</v>
      </c>
      <c r="I5" s="240">
        <v>10</v>
      </c>
      <c r="J5" s="239">
        <v>264</v>
      </c>
      <c r="K5" s="239">
        <v>280</v>
      </c>
      <c r="L5" s="239">
        <v>7160</v>
      </c>
    </row>
    <row r="6" spans="1:12" s="222" customFormat="1" ht="15.75" customHeight="1">
      <c r="A6" s="237" t="s">
        <v>676</v>
      </c>
      <c r="B6" s="238" t="s">
        <v>1052</v>
      </c>
      <c r="C6" s="239" t="s">
        <v>1053</v>
      </c>
      <c r="D6" s="239">
        <v>90</v>
      </c>
      <c r="E6" s="239">
        <v>300</v>
      </c>
      <c r="F6" s="239">
        <v>90</v>
      </c>
      <c r="G6" s="239">
        <v>60</v>
      </c>
      <c r="H6" s="239">
        <v>100</v>
      </c>
      <c r="I6" s="240">
        <v>8</v>
      </c>
      <c r="J6" s="239">
        <v>227</v>
      </c>
      <c r="K6" s="239">
        <v>250</v>
      </c>
      <c r="L6" s="239">
        <v>9800</v>
      </c>
    </row>
    <row r="7" spans="1:12" s="222" customFormat="1" ht="15.75" customHeight="1">
      <c r="A7" s="237" t="s">
        <v>1054</v>
      </c>
      <c r="B7" s="238" t="s">
        <v>1055</v>
      </c>
      <c r="C7" s="239">
        <v>0</v>
      </c>
      <c r="D7" s="239">
        <v>186</v>
      </c>
      <c r="E7" s="239">
        <v>375</v>
      </c>
      <c r="F7" s="239">
        <v>135</v>
      </c>
      <c r="G7" s="239">
        <v>110</v>
      </c>
      <c r="H7" s="239">
        <v>120</v>
      </c>
      <c r="I7" s="240">
        <v>4</v>
      </c>
      <c r="J7" s="239">
        <v>208</v>
      </c>
      <c r="K7" s="239">
        <v>210</v>
      </c>
      <c r="L7" s="239">
        <v>3000</v>
      </c>
    </row>
    <row r="8" spans="1:12" s="222" customFormat="1" ht="15.75" customHeight="1">
      <c r="A8" s="248" t="s">
        <v>1056</v>
      </c>
      <c r="B8" s="238" t="s">
        <v>1055</v>
      </c>
      <c r="C8" s="239">
        <v>0</v>
      </c>
      <c r="D8" s="239">
        <v>230</v>
      </c>
      <c r="E8" s="239">
        <v>400</v>
      </c>
      <c r="F8" s="239">
        <v>140</v>
      </c>
      <c r="G8" s="239">
        <v>100</v>
      </c>
      <c r="H8" s="239">
        <v>120</v>
      </c>
      <c r="I8" s="240">
        <v>4</v>
      </c>
      <c r="J8" s="239">
        <v>190</v>
      </c>
      <c r="K8" s="239">
        <v>210</v>
      </c>
      <c r="L8" s="239">
        <v>2215</v>
      </c>
    </row>
    <row r="9" spans="1:12" s="222" customFormat="1" ht="15.75" customHeight="1">
      <c r="A9" s="237" t="s">
        <v>1057</v>
      </c>
      <c r="B9" s="238"/>
      <c r="C9" s="239" t="s">
        <v>1053</v>
      </c>
      <c r="D9" s="239">
        <v>158</v>
      </c>
      <c r="E9" s="239">
        <v>280</v>
      </c>
      <c r="F9" s="239">
        <v>100</v>
      </c>
      <c r="G9" s="239">
        <v>90</v>
      </c>
      <c r="H9" s="239">
        <v>80</v>
      </c>
      <c r="I9" s="240">
        <v>6</v>
      </c>
      <c r="J9" s="239">
        <v>185</v>
      </c>
      <c r="K9" s="239">
        <v>185</v>
      </c>
      <c r="L9" s="239">
        <v>9800</v>
      </c>
    </row>
    <row r="10" spans="1:12" s="222" customFormat="1" ht="17.25" customHeight="1">
      <c r="A10" s="248" t="s">
        <v>1058</v>
      </c>
      <c r="B10" s="238" t="s">
        <v>1059</v>
      </c>
      <c r="C10" s="239" t="s">
        <v>1053</v>
      </c>
      <c r="D10" s="239">
        <v>165</v>
      </c>
      <c r="E10" s="239">
        <v>370</v>
      </c>
      <c r="F10" s="239">
        <v>130</v>
      </c>
      <c r="G10" s="239">
        <v>150</v>
      </c>
      <c r="H10" s="239">
        <v>120</v>
      </c>
      <c r="I10" s="240">
        <v>4</v>
      </c>
      <c r="J10" s="239">
        <v>182</v>
      </c>
      <c r="K10" s="239">
        <v>300</v>
      </c>
      <c r="L10" s="239">
        <v>2900</v>
      </c>
    </row>
    <row r="11" spans="1:12" s="222" customFormat="1" ht="15.75" customHeight="1">
      <c r="A11" s="237" t="s">
        <v>1060</v>
      </c>
      <c r="B11" s="238" t="s">
        <v>1059</v>
      </c>
      <c r="C11" s="239" t="s">
        <v>1053</v>
      </c>
      <c r="D11" s="239">
        <v>165</v>
      </c>
      <c r="E11" s="239">
        <v>380</v>
      </c>
      <c r="F11" s="239">
        <v>120</v>
      </c>
      <c r="G11" s="239">
        <v>140</v>
      </c>
      <c r="H11" s="239">
        <v>120</v>
      </c>
      <c r="I11" s="240">
        <v>6</v>
      </c>
      <c r="J11" s="239">
        <v>180</v>
      </c>
      <c r="K11" s="239">
        <v>300</v>
      </c>
      <c r="L11" s="239">
        <v>9850</v>
      </c>
    </row>
    <row r="12" spans="1:12" s="222" customFormat="1" ht="15.75" customHeight="1">
      <c r="A12" s="237" t="s">
        <v>1061</v>
      </c>
      <c r="B12" s="238"/>
      <c r="C12" s="239">
        <v>0</v>
      </c>
      <c r="D12" s="239">
        <v>180</v>
      </c>
      <c r="E12" s="239">
        <v>360</v>
      </c>
      <c r="F12" s="239">
        <v>130</v>
      </c>
      <c r="G12" s="239">
        <v>170</v>
      </c>
      <c r="H12" s="239">
        <v>110</v>
      </c>
      <c r="I12" s="240">
        <v>5</v>
      </c>
      <c r="J12" s="239">
        <v>177</v>
      </c>
      <c r="K12" s="239">
        <v>180</v>
      </c>
      <c r="L12" s="239">
        <v>2200</v>
      </c>
    </row>
    <row r="13" spans="1:12" s="222" customFormat="1" ht="15.75" customHeight="1">
      <c r="A13" s="248" t="s">
        <v>1062</v>
      </c>
      <c r="B13" s="238" t="s">
        <v>1063</v>
      </c>
      <c r="C13" s="239">
        <v>0</v>
      </c>
      <c r="D13" s="239">
        <v>187</v>
      </c>
      <c r="E13" s="239">
        <v>365</v>
      </c>
      <c r="F13" s="239">
        <v>130</v>
      </c>
      <c r="G13" s="239">
        <v>130</v>
      </c>
      <c r="H13" s="239">
        <v>120</v>
      </c>
      <c r="I13" s="240">
        <v>4</v>
      </c>
      <c r="J13" s="239">
        <v>172</v>
      </c>
      <c r="K13" s="239">
        <v>180</v>
      </c>
      <c r="L13" s="239">
        <v>2050</v>
      </c>
    </row>
    <row r="14" spans="1:12" s="222" customFormat="1" ht="15.75" customHeight="1">
      <c r="A14" s="248" t="s">
        <v>1064</v>
      </c>
      <c r="B14" s="238"/>
      <c r="C14" s="239" t="s">
        <v>1053</v>
      </c>
      <c r="D14" s="239">
        <v>170</v>
      </c>
      <c r="E14" s="239">
        <v>265</v>
      </c>
      <c r="F14" s="239">
        <v>105</v>
      </c>
      <c r="G14" s="239">
        <v>100</v>
      </c>
      <c r="H14" s="239" t="s">
        <v>913</v>
      </c>
      <c r="I14" s="240" t="s">
        <v>913</v>
      </c>
      <c r="J14" s="239">
        <v>158</v>
      </c>
      <c r="K14" s="239">
        <v>160</v>
      </c>
      <c r="L14" s="239">
        <v>2100</v>
      </c>
    </row>
    <row r="15" spans="1:12" s="222" customFormat="1" ht="15.75" customHeight="1">
      <c r="A15" s="237" t="s">
        <v>1065</v>
      </c>
      <c r="B15" s="238" t="s">
        <v>1066</v>
      </c>
      <c r="C15" s="239" t="s">
        <v>1053</v>
      </c>
      <c r="D15" s="239">
        <v>105</v>
      </c>
      <c r="E15" s="239">
        <v>265</v>
      </c>
      <c r="F15" s="239">
        <v>110</v>
      </c>
      <c r="G15" s="239">
        <v>70</v>
      </c>
      <c r="H15" s="239">
        <v>90</v>
      </c>
      <c r="I15" s="240">
        <v>4</v>
      </c>
      <c r="J15" s="239">
        <v>140</v>
      </c>
      <c r="K15" s="239">
        <v>180</v>
      </c>
      <c r="L15" s="239">
        <v>2050</v>
      </c>
    </row>
    <row r="16" spans="1:12" s="222" customFormat="1" ht="15.75" customHeight="1">
      <c r="A16" s="237" t="s">
        <v>1067</v>
      </c>
      <c r="B16" s="238" t="s">
        <v>1066</v>
      </c>
      <c r="C16" s="239" t="s">
        <v>1053</v>
      </c>
      <c r="D16" s="239">
        <v>70</v>
      </c>
      <c r="E16" s="239">
        <v>260</v>
      </c>
      <c r="F16" s="239">
        <v>90</v>
      </c>
      <c r="G16" s="239">
        <v>60</v>
      </c>
      <c r="H16" s="239">
        <v>80</v>
      </c>
      <c r="I16" s="240">
        <v>10</v>
      </c>
      <c r="J16" s="239">
        <v>140</v>
      </c>
      <c r="K16" s="239">
        <v>180</v>
      </c>
      <c r="L16" s="239">
        <v>4800</v>
      </c>
    </row>
    <row r="17" spans="1:12" s="222" customFormat="1" ht="15.75" customHeight="1">
      <c r="A17" s="248" t="s">
        <v>1068</v>
      </c>
      <c r="B17" s="238" t="s">
        <v>1059</v>
      </c>
      <c r="C17" s="239" t="s">
        <v>1053</v>
      </c>
      <c r="D17" s="239">
        <v>143</v>
      </c>
      <c r="E17" s="239">
        <v>390</v>
      </c>
      <c r="F17" s="239">
        <v>135</v>
      </c>
      <c r="G17" s="239">
        <v>100</v>
      </c>
      <c r="H17" s="239">
        <v>120</v>
      </c>
      <c r="I17" s="240">
        <v>4</v>
      </c>
      <c r="J17" s="239">
        <v>140</v>
      </c>
      <c r="K17" s="239">
        <v>280</v>
      </c>
      <c r="L17" s="239">
        <v>3700</v>
      </c>
    </row>
    <row r="18" spans="1:12" s="222" customFormat="1" ht="15.75" customHeight="1">
      <c r="A18" s="237" t="s">
        <v>1069</v>
      </c>
      <c r="B18" s="238" t="s">
        <v>1066</v>
      </c>
      <c r="C18" s="239" t="s">
        <v>1053</v>
      </c>
      <c r="D18" s="239">
        <v>60</v>
      </c>
      <c r="E18" s="239">
        <v>260</v>
      </c>
      <c r="F18" s="239">
        <v>80</v>
      </c>
      <c r="G18" s="239">
        <v>55</v>
      </c>
      <c r="H18" s="239">
        <v>80</v>
      </c>
      <c r="I18" s="240">
        <v>8</v>
      </c>
      <c r="J18" s="239">
        <v>135</v>
      </c>
      <c r="K18" s="239">
        <v>180</v>
      </c>
      <c r="L18" s="239">
        <v>3000</v>
      </c>
    </row>
    <row r="19" spans="1:12" s="222" customFormat="1" ht="15.75" customHeight="1">
      <c r="A19" s="237" t="s">
        <v>1070</v>
      </c>
      <c r="B19" s="238" t="s">
        <v>1066</v>
      </c>
      <c r="C19" s="239" t="s">
        <v>1053</v>
      </c>
      <c r="D19" s="239">
        <v>60</v>
      </c>
      <c r="E19" s="239">
        <v>260</v>
      </c>
      <c r="F19" s="239">
        <v>90</v>
      </c>
      <c r="G19" s="239">
        <v>50</v>
      </c>
      <c r="H19" s="239">
        <v>80</v>
      </c>
      <c r="I19" s="240">
        <v>6</v>
      </c>
      <c r="J19" s="239">
        <v>135</v>
      </c>
      <c r="K19" s="239">
        <v>180</v>
      </c>
      <c r="L19" s="239">
        <v>2900</v>
      </c>
    </row>
    <row r="20" spans="1:12" s="222" customFormat="1" ht="15.75" customHeight="1">
      <c r="A20" s="237" t="s">
        <v>1071</v>
      </c>
      <c r="B20" s="238" t="s">
        <v>1052</v>
      </c>
      <c r="C20" s="239">
        <v>0</v>
      </c>
      <c r="D20" s="239">
        <v>147</v>
      </c>
      <c r="E20" s="239">
        <v>285</v>
      </c>
      <c r="F20" s="239">
        <v>115</v>
      </c>
      <c r="G20" s="239">
        <v>60</v>
      </c>
      <c r="H20" s="239">
        <v>120</v>
      </c>
      <c r="I20" s="240">
        <v>4</v>
      </c>
      <c r="J20" s="239">
        <v>135</v>
      </c>
      <c r="K20" s="239">
        <v>135</v>
      </c>
      <c r="L20" s="239">
        <v>2200</v>
      </c>
    </row>
    <row r="21" spans="1:12" s="222" customFormat="1" ht="15.75" customHeight="1">
      <c r="A21" s="237" t="s">
        <v>1072</v>
      </c>
      <c r="B21" s="238"/>
      <c r="C21" s="239" t="s">
        <v>1053</v>
      </c>
      <c r="D21" s="239">
        <v>143</v>
      </c>
      <c r="E21" s="239">
        <v>280</v>
      </c>
      <c r="F21" s="239">
        <v>110</v>
      </c>
      <c r="G21" s="239">
        <v>100</v>
      </c>
      <c r="H21" s="239">
        <v>80</v>
      </c>
      <c r="I21" s="240">
        <v>5</v>
      </c>
      <c r="J21" s="239">
        <v>135</v>
      </c>
      <c r="K21" s="239">
        <v>140</v>
      </c>
      <c r="L21" s="239">
        <v>6000</v>
      </c>
    </row>
    <row r="22" spans="1:12" s="222" customFormat="1" ht="15.75" customHeight="1">
      <c r="A22" s="248" t="s">
        <v>1073</v>
      </c>
      <c r="B22" s="238"/>
      <c r="C22" s="239" t="s">
        <v>1053</v>
      </c>
      <c r="D22" s="239">
        <v>137</v>
      </c>
      <c r="E22" s="239">
        <v>275</v>
      </c>
      <c r="F22" s="239">
        <v>110</v>
      </c>
      <c r="G22" s="239">
        <v>80</v>
      </c>
      <c r="H22" s="239">
        <v>110</v>
      </c>
      <c r="I22" s="240">
        <v>4</v>
      </c>
      <c r="J22" s="239">
        <v>126</v>
      </c>
      <c r="K22" s="239">
        <v>128</v>
      </c>
      <c r="L22" s="239">
        <v>2370</v>
      </c>
    </row>
    <row r="23" spans="1:12" s="222" customFormat="1" ht="15.75" customHeight="1">
      <c r="A23" s="248" t="s">
        <v>1074</v>
      </c>
      <c r="B23" s="238"/>
      <c r="C23" s="239" t="s">
        <v>1053</v>
      </c>
      <c r="D23" s="239">
        <v>126</v>
      </c>
      <c r="E23" s="239">
        <v>265</v>
      </c>
      <c r="F23" s="239">
        <v>110</v>
      </c>
      <c r="G23" s="239">
        <v>90</v>
      </c>
      <c r="H23" s="239">
        <v>110</v>
      </c>
      <c r="I23" s="240">
        <v>4</v>
      </c>
      <c r="J23" s="239">
        <v>126</v>
      </c>
      <c r="K23" s="239">
        <v>128</v>
      </c>
      <c r="L23" s="239">
        <v>2370</v>
      </c>
    </row>
    <row r="24" spans="1:12" s="222" customFormat="1" ht="15.75" customHeight="1">
      <c r="A24" s="248" t="s">
        <v>1075</v>
      </c>
      <c r="B24" s="238"/>
      <c r="C24" s="239" t="s">
        <v>1076</v>
      </c>
      <c r="D24" s="239">
        <v>80</v>
      </c>
      <c r="E24" s="239">
        <v>235</v>
      </c>
      <c r="F24" s="239">
        <v>70</v>
      </c>
      <c r="G24" s="239">
        <v>35</v>
      </c>
      <c r="H24" s="239">
        <v>65</v>
      </c>
      <c r="I24" s="240">
        <v>4</v>
      </c>
      <c r="J24" s="239">
        <v>120</v>
      </c>
      <c r="K24" s="239">
        <v>120</v>
      </c>
      <c r="L24" s="239">
        <v>100</v>
      </c>
    </row>
    <row r="25" spans="1:12" s="222" customFormat="1" ht="15.75" customHeight="1">
      <c r="A25" s="237" t="s">
        <v>1077</v>
      </c>
      <c r="B25" s="238" t="s">
        <v>1052</v>
      </c>
      <c r="C25" s="239" t="s">
        <v>1053</v>
      </c>
      <c r="D25" s="239">
        <v>113</v>
      </c>
      <c r="E25" s="239">
        <v>285</v>
      </c>
      <c r="F25" s="239">
        <v>110</v>
      </c>
      <c r="G25" s="239">
        <v>60</v>
      </c>
      <c r="H25" s="239">
        <v>80</v>
      </c>
      <c r="I25" s="240">
        <v>5</v>
      </c>
      <c r="J25" s="239">
        <v>114</v>
      </c>
      <c r="K25" s="239">
        <v>130</v>
      </c>
      <c r="L25" s="239">
        <v>4200</v>
      </c>
    </row>
    <row r="26" spans="1:12" s="222" customFormat="1" ht="15.75" customHeight="1">
      <c r="A26" s="237" t="s">
        <v>1078</v>
      </c>
      <c r="B26" s="238" t="s">
        <v>1052</v>
      </c>
      <c r="C26" s="239" t="s">
        <v>1053</v>
      </c>
      <c r="D26" s="239">
        <v>113</v>
      </c>
      <c r="E26" s="239">
        <v>250</v>
      </c>
      <c r="F26" s="239">
        <v>90</v>
      </c>
      <c r="G26" s="239">
        <v>70</v>
      </c>
      <c r="H26" s="239">
        <v>75</v>
      </c>
      <c r="I26" s="240">
        <v>12</v>
      </c>
      <c r="J26" s="239">
        <v>114</v>
      </c>
      <c r="K26" s="239">
        <v>116</v>
      </c>
      <c r="L26" s="239">
        <v>2040</v>
      </c>
    </row>
    <row r="27" spans="1:12" s="222" customFormat="1" ht="15.75" customHeight="1">
      <c r="A27" s="237" t="s">
        <v>1079</v>
      </c>
      <c r="B27" s="238" t="s">
        <v>1052</v>
      </c>
      <c r="C27" s="239" t="s">
        <v>1053</v>
      </c>
      <c r="D27" s="239">
        <v>145</v>
      </c>
      <c r="E27" s="239">
        <v>260</v>
      </c>
      <c r="F27" s="239">
        <v>90</v>
      </c>
      <c r="G27" s="241">
        <v>60</v>
      </c>
      <c r="H27" s="239">
        <v>80</v>
      </c>
      <c r="I27" s="240">
        <v>8</v>
      </c>
      <c r="J27" s="239">
        <v>112</v>
      </c>
      <c r="K27" s="239">
        <v>114</v>
      </c>
      <c r="L27" s="239">
        <v>2300</v>
      </c>
    </row>
    <row r="28" spans="1:12" s="222" customFormat="1" ht="15.75" customHeight="1">
      <c r="A28" s="249" t="s">
        <v>1080</v>
      </c>
      <c r="B28" s="238" t="s">
        <v>1052</v>
      </c>
      <c r="C28" s="239" t="s">
        <v>1053</v>
      </c>
      <c r="D28" s="239">
        <v>70</v>
      </c>
      <c r="E28" s="239">
        <v>260</v>
      </c>
      <c r="F28" s="239">
        <v>70</v>
      </c>
      <c r="G28" s="239">
        <v>55</v>
      </c>
      <c r="H28" s="239">
        <v>80</v>
      </c>
      <c r="I28" s="240">
        <v>10</v>
      </c>
      <c r="J28" s="239">
        <v>112</v>
      </c>
      <c r="K28" s="239">
        <v>225</v>
      </c>
      <c r="L28" s="239">
        <v>6500</v>
      </c>
    </row>
    <row r="29" spans="1:12" s="222" customFormat="1" ht="15.75" customHeight="1">
      <c r="A29" s="237" t="s">
        <v>1081</v>
      </c>
      <c r="B29" s="238" t="s">
        <v>1066</v>
      </c>
      <c r="C29" s="239" t="s">
        <v>1053</v>
      </c>
      <c r="D29" s="239">
        <v>60</v>
      </c>
      <c r="E29" s="241">
        <v>260</v>
      </c>
      <c r="F29" s="239">
        <v>90</v>
      </c>
      <c r="G29" s="239">
        <v>60</v>
      </c>
      <c r="H29" s="239">
        <v>80</v>
      </c>
      <c r="I29" s="240">
        <v>10</v>
      </c>
      <c r="J29" s="239">
        <v>110</v>
      </c>
      <c r="K29" s="239">
        <v>180</v>
      </c>
      <c r="L29" s="239">
        <v>6500</v>
      </c>
    </row>
    <row r="30" spans="1:12" s="222" customFormat="1" ht="15.75" customHeight="1">
      <c r="A30" s="237" t="s">
        <v>674</v>
      </c>
      <c r="B30" s="238"/>
      <c r="C30" s="239" t="s">
        <v>1053</v>
      </c>
      <c r="D30" s="239">
        <v>140</v>
      </c>
      <c r="E30" s="239">
        <v>260</v>
      </c>
      <c r="F30" s="239">
        <v>100</v>
      </c>
      <c r="G30" s="239">
        <v>100</v>
      </c>
      <c r="H30" s="239">
        <v>80</v>
      </c>
      <c r="I30" s="240">
        <v>5</v>
      </c>
      <c r="J30" s="239">
        <v>110</v>
      </c>
      <c r="K30" s="239">
        <v>110</v>
      </c>
      <c r="L30" s="239">
        <v>6200</v>
      </c>
    </row>
    <row r="31" spans="1:12" s="222" customFormat="1" ht="15.75" customHeight="1">
      <c r="A31" s="248" t="s">
        <v>821</v>
      </c>
      <c r="B31" s="238" t="s">
        <v>1082</v>
      </c>
      <c r="C31" s="239" t="s">
        <v>1053</v>
      </c>
      <c r="D31" s="239">
        <v>105</v>
      </c>
      <c r="E31" s="239">
        <v>225</v>
      </c>
      <c r="F31" s="239">
        <v>110</v>
      </c>
      <c r="G31" s="239">
        <v>60</v>
      </c>
      <c r="H31" s="239">
        <v>75</v>
      </c>
      <c r="I31" s="240">
        <v>4</v>
      </c>
      <c r="J31" s="239">
        <v>95</v>
      </c>
      <c r="K31" s="239">
        <v>100</v>
      </c>
      <c r="L31" s="239">
        <v>2300</v>
      </c>
    </row>
    <row r="32" spans="1:12" s="222" customFormat="1" ht="15.75" customHeight="1">
      <c r="A32" s="248" t="s">
        <v>1083</v>
      </c>
      <c r="B32" s="238" t="s">
        <v>1082</v>
      </c>
      <c r="C32" s="239" t="s">
        <v>1053</v>
      </c>
      <c r="D32" s="239">
        <v>105</v>
      </c>
      <c r="E32" s="239">
        <v>245</v>
      </c>
      <c r="F32" s="239">
        <v>110</v>
      </c>
      <c r="G32" s="239">
        <v>60</v>
      </c>
      <c r="H32" s="239">
        <v>80</v>
      </c>
      <c r="I32" s="240">
        <v>3</v>
      </c>
      <c r="J32" s="239">
        <v>95</v>
      </c>
      <c r="K32" s="239">
        <v>100</v>
      </c>
      <c r="L32" s="239">
        <v>2000</v>
      </c>
    </row>
    <row r="33" spans="1:13" s="222" customFormat="1" ht="15.75" customHeight="1">
      <c r="A33" s="248" t="s">
        <v>1084</v>
      </c>
      <c r="B33" s="238" t="s">
        <v>1052</v>
      </c>
      <c r="C33" s="239">
        <v>0</v>
      </c>
      <c r="D33" s="239">
        <v>283</v>
      </c>
      <c r="E33" s="239">
        <v>340</v>
      </c>
      <c r="F33" s="239">
        <v>120</v>
      </c>
      <c r="G33" s="239">
        <v>70</v>
      </c>
      <c r="H33" s="239">
        <v>110</v>
      </c>
      <c r="I33" s="240">
        <v>4</v>
      </c>
      <c r="J33" s="239">
        <v>90</v>
      </c>
      <c r="K33" s="239">
        <v>250</v>
      </c>
      <c r="L33" s="239">
        <v>2540</v>
      </c>
    </row>
    <row r="34" spans="1:13" s="222" customFormat="1" ht="15.75" customHeight="1">
      <c r="A34" s="248" t="s">
        <v>1085</v>
      </c>
      <c r="B34" s="238" t="s">
        <v>1052</v>
      </c>
      <c r="C34" s="239">
        <v>0</v>
      </c>
      <c r="D34" s="239">
        <v>100</v>
      </c>
      <c r="E34" s="239">
        <v>225</v>
      </c>
      <c r="F34" s="239">
        <v>100</v>
      </c>
      <c r="G34" s="239">
        <v>50</v>
      </c>
      <c r="H34" s="239" t="s">
        <v>913</v>
      </c>
      <c r="I34" s="240" t="s">
        <v>913</v>
      </c>
      <c r="J34" s="239">
        <v>80</v>
      </c>
      <c r="K34" s="239">
        <v>80</v>
      </c>
      <c r="L34" s="239">
        <v>1600</v>
      </c>
    </row>
    <row r="35" spans="1:13" s="222" customFormat="1" ht="15.75" customHeight="1">
      <c r="A35" s="248" t="s">
        <v>1086</v>
      </c>
      <c r="B35" s="238" t="s">
        <v>1052</v>
      </c>
      <c r="C35" s="239" t="s">
        <v>1076</v>
      </c>
      <c r="D35" s="239">
        <v>90</v>
      </c>
      <c r="E35" s="239">
        <v>250</v>
      </c>
      <c r="F35" s="239">
        <v>80</v>
      </c>
      <c r="G35" s="239">
        <v>20</v>
      </c>
      <c r="H35" s="239">
        <v>60</v>
      </c>
      <c r="I35" s="240">
        <v>3</v>
      </c>
      <c r="J35" s="239">
        <v>70</v>
      </c>
      <c r="K35" s="239">
        <v>75</v>
      </c>
      <c r="L35" s="239">
        <v>1900</v>
      </c>
    </row>
    <row r="36" spans="1:13" s="222" customFormat="1" ht="15.75" customHeight="1">
      <c r="A36" s="248" t="s">
        <v>822</v>
      </c>
      <c r="B36" s="238" t="s">
        <v>1052</v>
      </c>
      <c r="C36" s="239" t="s">
        <v>1076</v>
      </c>
      <c r="D36" s="239">
        <v>80</v>
      </c>
      <c r="E36" s="239">
        <v>245</v>
      </c>
      <c r="F36" s="239">
        <v>70</v>
      </c>
      <c r="G36" s="239">
        <v>35</v>
      </c>
      <c r="H36" s="239">
        <v>65</v>
      </c>
      <c r="I36" s="240">
        <v>3</v>
      </c>
      <c r="J36" s="239">
        <v>70</v>
      </c>
      <c r="K36" s="239">
        <v>70</v>
      </c>
      <c r="L36" s="239">
        <v>1600</v>
      </c>
    </row>
    <row r="37" spans="1:13" s="222" customFormat="1" ht="15.75" customHeight="1">
      <c r="A37" s="248" t="s">
        <v>820</v>
      </c>
      <c r="B37" s="238" t="s">
        <v>1052</v>
      </c>
      <c r="C37" s="239" t="s">
        <v>1087</v>
      </c>
      <c r="D37" s="239">
        <v>85</v>
      </c>
      <c r="E37" s="239">
        <v>210</v>
      </c>
      <c r="F37" s="239">
        <v>23</v>
      </c>
      <c r="G37" s="239">
        <v>25</v>
      </c>
      <c r="H37" s="239">
        <v>65</v>
      </c>
      <c r="I37" s="240">
        <v>3</v>
      </c>
      <c r="J37" s="239">
        <v>60</v>
      </c>
      <c r="K37" s="239">
        <v>100</v>
      </c>
      <c r="L37" s="239">
        <v>3500</v>
      </c>
    </row>
    <row r="38" spans="1:13" s="222" customFormat="1" ht="15.75" customHeight="1">
      <c r="A38" s="227"/>
      <c r="B38" s="314"/>
      <c r="C38" s="314"/>
      <c r="D38" s="315"/>
      <c r="E38" s="315"/>
      <c r="F38" s="315"/>
      <c r="G38" s="315"/>
      <c r="H38" s="315"/>
      <c r="I38" s="315"/>
      <c r="J38" s="315"/>
      <c r="K38" s="229"/>
      <c r="L38" s="229"/>
      <c r="M38" s="230"/>
    </row>
    <row r="39" spans="1:13" ht="15.75" customHeight="1">
      <c r="A39" s="225" t="s">
        <v>1088</v>
      </c>
      <c r="B39" s="307"/>
      <c r="C39" s="307"/>
      <c r="K39" s="231"/>
      <c r="L39" s="231"/>
      <c r="M39" s="232"/>
    </row>
    <row r="40" spans="1:13" ht="15.75" customHeight="1">
      <c r="B40" s="307"/>
      <c r="C40" s="307"/>
      <c r="K40" s="231"/>
      <c r="L40" s="231"/>
      <c r="M40" s="232"/>
    </row>
    <row r="41" spans="1:13" ht="15.75" customHeight="1">
      <c r="A41" s="225" t="s">
        <v>1089</v>
      </c>
      <c r="B41" s="316"/>
      <c r="C41" s="316"/>
      <c r="D41" s="317"/>
      <c r="E41" s="317"/>
      <c r="F41" s="317"/>
      <c r="G41" s="317"/>
      <c r="H41" s="317"/>
      <c r="I41" s="317"/>
      <c r="J41" s="317"/>
      <c r="K41" s="317"/>
      <c r="M41" s="232"/>
    </row>
    <row r="42" spans="1:13" ht="15.75" customHeight="1">
      <c r="A42" s="307" t="s">
        <v>1090</v>
      </c>
      <c r="B42" s="220"/>
      <c r="C42" s="220"/>
      <c r="J42" s="231"/>
      <c r="M42" s="232"/>
    </row>
    <row r="43" spans="1:13" ht="15.75" customHeight="1">
      <c r="A43" s="307" t="s">
        <v>1091</v>
      </c>
      <c r="B43" s="220"/>
      <c r="C43" s="220"/>
      <c r="J43" s="231"/>
      <c r="M43" s="232"/>
    </row>
    <row r="44" spans="1:13" ht="15.75" customHeight="1">
      <c r="A44" s="307" t="s">
        <v>1092</v>
      </c>
      <c r="B44" s="220"/>
      <c r="C44" s="220"/>
      <c r="M44" s="232"/>
    </row>
    <row r="45" spans="1:13" ht="15.75" customHeight="1">
      <c r="A45" s="307" t="s">
        <v>1093</v>
      </c>
      <c r="B45" s="220"/>
      <c r="C45" s="220"/>
      <c r="M45" s="232"/>
    </row>
    <row r="46" spans="1:13" ht="15.75" customHeight="1">
      <c r="A46" s="307" t="s">
        <v>1094</v>
      </c>
      <c r="B46" s="220"/>
      <c r="C46" s="220"/>
      <c r="I46" s="231"/>
      <c r="J46" s="231"/>
      <c r="M46" s="232"/>
    </row>
    <row r="47" spans="1:13" ht="15.75" customHeight="1">
      <c r="A47" s="233" t="s">
        <v>1095</v>
      </c>
      <c r="B47" s="233"/>
      <c r="C47" s="233"/>
      <c r="D47" s="233"/>
      <c r="E47" s="234"/>
      <c r="F47" s="234"/>
      <c r="G47" s="292"/>
      <c r="H47" s="233"/>
      <c r="I47" s="233"/>
      <c r="J47" s="233"/>
      <c r="M47" s="232"/>
    </row>
    <row r="48" spans="1:13" ht="15.75" customHeight="1">
      <c r="E48" s="236"/>
      <c r="F48" s="236"/>
      <c r="G48" s="236"/>
      <c r="H48" s="236"/>
      <c r="I48" s="236"/>
      <c r="J48" s="236"/>
      <c r="K48" s="232"/>
      <c r="L48" s="232"/>
      <c r="M48" s="232"/>
    </row>
    <row r="49" spans="1:13" ht="15.75" customHeight="1">
      <c r="A49" s="250" t="s">
        <v>1096</v>
      </c>
      <c r="E49" s="236"/>
      <c r="F49" s="236"/>
      <c r="G49" s="236"/>
      <c r="H49" s="236"/>
      <c r="I49" s="236"/>
      <c r="J49" s="236"/>
      <c r="K49" s="232"/>
      <c r="L49" s="232"/>
      <c r="M49" s="232"/>
    </row>
    <row r="50" spans="1:13" ht="15.75" customHeight="1">
      <c r="A50" s="250" t="s">
        <v>1097</v>
      </c>
      <c r="E50" s="236"/>
      <c r="F50" s="236"/>
      <c r="G50" s="236"/>
      <c r="H50" s="236"/>
      <c r="I50" s="236"/>
      <c r="J50" s="236"/>
      <c r="K50" s="232"/>
      <c r="L50" s="232"/>
      <c r="M50" s="232"/>
    </row>
    <row r="51" spans="1:13" ht="15.75" customHeight="1">
      <c r="A51" s="313"/>
      <c r="E51" s="236"/>
      <c r="F51" s="236"/>
      <c r="G51" s="236"/>
      <c r="H51" s="236"/>
      <c r="I51" s="236"/>
      <c r="J51" s="236"/>
      <c r="K51" s="232"/>
      <c r="L51" s="232"/>
      <c r="M51" s="232"/>
    </row>
    <row r="52" spans="1:13" ht="15.75" customHeight="1">
      <c r="A52" s="251"/>
      <c r="E52" s="236"/>
      <c r="F52" s="236"/>
      <c r="G52" s="236"/>
      <c r="H52" s="236"/>
      <c r="I52" s="236"/>
      <c r="J52" s="236"/>
      <c r="K52" s="232"/>
      <c r="L52" s="232"/>
      <c r="M52" s="232"/>
    </row>
    <row r="53" spans="1:13" ht="15.75" customHeight="1">
      <c r="E53" s="236"/>
      <c r="F53" s="236"/>
      <c r="G53" s="236"/>
      <c r="H53" s="236"/>
      <c r="I53" s="236"/>
      <c r="J53" s="236"/>
      <c r="K53" s="232"/>
      <c r="L53" s="232"/>
      <c r="M53" s="232"/>
    </row>
    <row r="54" spans="1:13" ht="15.75" customHeight="1">
      <c r="E54" s="236"/>
      <c r="F54" s="236"/>
      <c r="G54" s="236"/>
      <c r="H54" s="236"/>
      <c r="I54" s="236"/>
      <c r="J54" s="236"/>
      <c r="K54" s="232"/>
      <c r="L54" s="232"/>
      <c r="M54" s="232"/>
    </row>
    <row r="55" spans="1:13" ht="15.75" customHeight="1">
      <c r="E55" s="236"/>
      <c r="F55" s="236"/>
      <c r="G55" s="236"/>
      <c r="H55" s="236"/>
      <c r="I55" s="236"/>
      <c r="J55" s="236"/>
      <c r="K55" s="232"/>
      <c r="L55" s="232"/>
      <c r="M55" s="232"/>
    </row>
    <row r="56" spans="1:13" ht="15.75" customHeight="1">
      <c r="E56" s="236"/>
      <c r="F56" s="236"/>
      <c r="G56" s="236"/>
      <c r="H56" s="236"/>
      <c r="I56" s="236"/>
      <c r="J56" s="236"/>
      <c r="K56" s="232"/>
      <c r="L56" s="232"/>
      <c r="M56" s="232"/>
    </row>
    <row r="57" spans="1:13" ht="15.75" customHeight="1">
      <c r="E57" s="236"/>
      <c r="F57" s="236"/>
      <c r="G57" s="236"/>
      <c r="H57" s="236"/>
      <c r="I57" s="236"/>
      <c r="J57" s="236"/>
      <c r="K57" s="232"/>
      <c r="L57" s="232"/>
      <c r="M57" s="232"/>
    </row>
    <row r="58" spans="1:13" ht="15.75" customHeight="1">
      <c r="E58" s="236"/>
      <c r="F58" s="236"/>
      <c r="G58" s="236"/>
      <c r="H58" s="236"/>
      <c r="I58" s="236"/>
      <c r="J58" s="236"/>
      <c r="K58" s="232"/>
      <c r="L58" s="232"/>
      <c r="M58" s="232"/>
    </row>
    <row r="59" spans="1:13" ht="15.75" customHeight="1">
      <c r="E59" s="236"/>
      <c r="F59" s="236"/>
      <c r="G59" s="236"/>
      <c r="H59" s="236"/>
      <c r="I59" s="236"/>
      <c r="J59" s="236"/>
      <c r="K59" s="232"/>
      <c r="L59" s="232"/>
      <c r="M59" s="232"/>
    </row>
    <row r="60" spans="1:13" ht="15.75" customHeight="1">
      <c r="E60" s="236"/>
      <c r="F60" s="236"/>
      <c r="G60" s="236"/>
      <c r="H60" s="236"/>
      <c r="I60" s="236"/>
      <c r="J60" s="236"/>
      <c r="K60" s="232"/>
      <c r="L60" s="232"/>
      <c r="M60" s="232"/>
    </row>
    <row r="61" spans="1:13" ht="15.75" customHeight="1">
      <c r="E61" s="236"/>
      <c r="F61" s="236"/>
      <c r="G61" s="236"/>
      <c r="H61" s="236"/>
      <c r="I61" s="236"/>
      <c r="J61" s="236"/>
      <c r="K61" s="232"/>
      <c r="L61" s="232"/>
      <c r="M61" s="232"/>
    </row>
    <row r="62" spans="1:13" ht="15.75" customHeight="1">
      <c r="E62" s="236"/>
      <c r="F62" s="236"/>
      <c r="G62" s="236"/>
      <c r="H62" s="236"/>
      <c r="I62" s="236"/>
      <c r="J62" s="236"/>
      <c r="K62" s="232"/>
      <c r="L62" s="232"/>
      <c r="M62" s="232"/>
    </row>
    <row r="63" spans="1:13" ht="15.75" customHeight="1">
      <c r="E63" s="236"/>
      <c r="F63" s="236"/>
      <c r="G63" s="236"/>
      <c r="H63" s="236"/>
      <c r="I63" s="236"/>
      <c r="J63" s="236"/>
      <c r="K63" s="232"/>
      <c r="L63" s="232"/>
      <c r="M63" s="232"/>
    </row>
    <row r="64" spans="1:13" ht="15.75" customHeight="1">
      <c r="E64" s="236"/>
      <c r="F64" s="236"/>
      <c r="G64" s="236"/>
      <c r="H64" s="236"/>
      <c r="I64" s="236"/>
      <c r="J64" s="236"/>
      <c r="K64" s="232"/>
      <c r="L64" s="232"/>
      <c r="M64" s="232"/>
    </row>
    <row r="65" spans="5:13" ht="15.75" customHeight="1">
      <c r="E65" s="236"/>
      <c r="F65" s="236"/>
      <c r="G65" s="236"/>
      <c r="H65" s="236"/>
      <c r="I65" s="236"/>
      <c r="J65" s="236"/>
      <c r="K65" s="232"/>
      <c r="L65" s="232"/>
      <c r="M65" s="232"/>
    </row>
    <row r="66" spans="5:13" ht="15.75" customHeight="1">
      <c r="E66" s="236"/>
      <c r="F66" s="236"/>
      <c r="G66" s="236"/>
      <c r="H66" s="236"/>
      <c r="I66" s="236"/>
      <c r="J66" s="236"/>
      <c r="K66" s="232"/>
      <c r="L66" s="232"/>
      <c r="M66" s="232"/>
    </row>
    <row r="67" spans="5:13" ht="15.75" customHeight="1">
      <c r="E67" s="236"/>
      <c r="F67" s="236"/>
      <c r="G67" s="236"/>
      <c r="H67" s="236"/>
      <c r="I67" s="236"/>
      <c r="J67" s="236"/>
      <c r="K67" s="232"/>
      <c r="L67" s="232"/>
      <c r="M67" s="232"/>
    </row>
    <row r="68" spans="5:13" ht="15.75" customHeight="1">
      <c r="E68" s="236"/>
      <c r="F68" s="236"/>
      <c r="G68" s="236"/>
      <c r="H68" s="236"/>
      <c r="I68" s="236"/>
      <c r="J68" s="236"/>
      <c r="K68" s="232"/>
      <c r="L68" s="232"/>
      <c r="M68" s="232"/>
    </row>
    <row r="69" spans="5:13" ht="15.75" customHeight="1">
      <c r="E69" s="236"/>
      <c r="F69" s="236"/>
      <c r="G69" s="236"/>
      <c r="H69" s="236"/>
      <c r="I69" s="236"/>
      <c r="J69" s="236"/>
      <c r="K69" s="232"/>
      <c r="L69" s="232"/>
      <c r="M69" s="232"/>
    </row>
    <row r="70" spans="5:13" ht="15.75" customHeight="1">
      <c r="E70" s="236"/>
      <c r="F70" s="236"/>
      <c r="G70" s="236"/>
      <c r="H70" s="236"/>
      <c r="I70" s="236"/>
      <c r="J70" s="236"/>
      <c r="K70" s="232"/>
      <c r="L70" s="232"/>
      <c r="M70" s="232"/>
    </row>
    <row r="71" spans="5:13" ht="15.75" customHeight="1">
      <c r="E71" s="236"/>
      <c r="F71" s="236"/>
      <c r="G71" s="236"/>
      <c r="H71" s="236"/>
      <c r="I71" s="236"/>
      <c r="J71" s="236"/>
      <c r="K71" s="232"/>
      <c r="L71" s="232"/>
      <c r="M71" s="232"/>
    </row>
    <row r="72" spans="5:13" ht="15.75" customHeight="1">
      <c r="E72" s="236"/>
      <c r="F72" s="236"/>
      <c r="G72" s="236"/>
      <c r="H72" s="236"/>
      <c r="I72" s="236"/>
      <c r="J72" s="236"/>
      <c r="K72" s="232"/>
      <c r="L72" s="232"/>
      <c r="M72" s="232"/>
    </row>
    <row r="73" spans="5:13" ht="15.75" customHeight="1">
      <c r="E73" s="236"/>
      <c r="F73" s="236"/>
      <c r="G73" s="236"/>
      <c r="H73" s="236"/>
      <c r="I73" s="236"/>
      <c r="J73" s="236"/>
      <c r="K73" s="232"/>
      <c r="L73" s="232"/>
      <c r="M73" s="232"/>
    </row>
    <row r="74" spans="5:13" ht="15.75" customHeight="1">
      <c r="E74" s="236"/>
      <c r="F74" s="236"/>
      <c r="G74" s="236"/>
      <c r="H74" s="236"/>
      <c r="I74" s="236"/>
      <c r="J74" s="236"/>
      <c r="K74" s="232"/>
      <c r="L74" s="232"/>
      <c r="M74" s="232"/>
    </row>
    <row r="75" spans="5:13" ht="15.75" customHeight="1">
      <c r="E75" s="236"/>
      <c r="F75" s="236"/>
      <c r="G75" s="236"/>
      <c r="H75" s="236"/>
      <c r="I75" s="236"/>
      <c r="J75" s="236"/>
      <c r="K75" s="232"/>
      <c r="L75" s="232"/>
      <c r="M75" s="232"/>
    </row>
    <row r="76" spans="5:13" ht="15.75" customHeight="1">
      <c r="E76" s="236"/>
      <c r="F76" s="236"/>
      <c r="G76" s="236"/>
      <c r="H76" s="236"/>
      <c r="I76" s="236"/>
      <c r="J76" s="236"/>
      <c r="K76" s="232"/>
      <c r="L76" s="232"/>
      <c r="M76" s="232"/>
    </row>
    <row r="77" spans="5:13" ht="15.75" customHeight="1">
      <c r="E77" s="236"/>
      <c r="F77" s="236"/>
      <c r="G77" s="236"/>
      <c r="H77" s="236"/>
      <c r="I77" s="236"/>
      <c r="J77" s="236"/>
      <c r="K77" s="232"/>
      <c r="L77" s="232"/>
      <c r="M77" s="232"/>
    </row>
    <row r="78" spans="5:13" ht="15.75" customHeight="1">
      <c r="E78" s="236"/>
      <c r="F78" s="236"/>
      <c r="G78" s="236"/>
      <c r="H78" s="236"/>
      <c r="I78" s="236"/>
      <c r="J78" s="236"/>
      <c r="K78" s="232"/>
      <c r="L78" s="232"/>
      <c r="M78" s="232"/>
    </row>
    <row r="79" spans="5:13" ht="15.75" customHeight="1">
      <c r="E79" s="236"/>
      <c r="F79" s="236"/>
      <c r="G79" s="236"/>
      <c r="H79" s="236"/>
      <c r="I79" s="236"/>
      <c r="J79" s="236"/>
      <c r="K79" s="232"/>
      <c r="L79" s="232"/>
      <c r="M79" s="232"/>
    </row>
    <row r="80" spans="5:13" ht="15.75" customHeight="1">
      <c r="E80" s="236"/>
      <c r="F80" s="236"/>
      <c r="G80" s="236"/>
      <c r="H80" s="236"/>
      <c r="I80" s="236"/>
      <c r="J80" s="236"/>
      <c r="K80" s="232"/>
      <c r="L80" s="232"/>
      <c r="M80" s="232"/>
    </row>
    <row r="81" spans="5:13" ht="15.75" customHeight="1">
      <c r="E81" s="236"/>
      <c r="F81" s="236"/>
      <c r="G81" s="236"/>
      <c r="H81" s="236"/>
      <c r="I81" s="236"/>
      <c r="J81" s="236"/>
      <c r="K81" s="232"/>
      <c r="L81" s="232"/>
      <c r="M81" s="232"/>
    </row>
    <row r="82" spans="5:13" ht="15.75" customHeight="1">
      <c r="E82" s="236"/>
      <c r="F82" s="236"/>
      <c r="G82" s="236"/>
      <c r="H82" s="236"/>
      <c r="I82" s="236"/>
      <c r="J82" s="236"/>
      <c r="K82" s="232"/>
      <c r="L82" s="232"/>
      <c r="M82" s="232"/>
    </row>
    <row r="83" spans="5:13" ht="15.75" customHeight="1">
      <c r="E83" s="236"/>
      <c r="F83" s="236"/>
      <c r="G83" s="236"/>
      <c r="H83" s="236"/>
      <c r="I83" s="236"/>
      <c r="J83" s="236"/>
      <c r="K83" s="232"/>
      <c r="L83" s="232"/>
      <c r="M83" s="232"/>
    </row>
    <row r="84" spans="5:13" ht="15.75" customHeight="1">
      <c r="E84" s="236"/>
      <c r="F84" s="236"/>
      <c r="G84" s="236"/>
      <c r="H84" s="236"/>
      <c r="I84" s="236"/>
      <c r="J84" s="236"/>
      <c r="K84" s="232"/>
      <c r="L84" s="232"/>
      <c r="M84" s="232"/>
    </row>
    <row r="85" spans="5:13" ht="15.75" customHeight="1">
      <c r="E85" s="236"/>
      <c r="F85" s="236"/>
      <c r="G85" s="236"/>
      <c r="H85" s="236"/>
      <c r="I85" s="236"/>
      <c r="J85" s="236"/>
      <c r="K85" s="232"/>
      <c r="L85" s="232"/>
      <c r="M85" s="232"/>
    </row>
    <row r="86" spans="5:13" ht="15.75" customHeight="1">
      <c r="E86" s="236"/>
      <c r="F86" s="236"/>
      <c r="G86" s="236"/>
      <c r="H86" s="236"/>
      <c r="I86" s="236"/>
      <c r="J86" s="236"/>
      <c r="K86" s="232"/>
      <c r="L86" s="232"/>
      <c r="M86" s="232"/>
    </row>
    <row r="87" spans="5:13" ht="15.75" customHeight="1">
      <c r="E87" s="236"/>
      <c r="F87" s="236"/>
      <c r="G87" s="236"/>
      <c r="H87" s="236"/>
      <c r="I87" s="236"/>
      <c r="J87" s="236"/>
      <c r="K87" s="232"/>
      <c r="L87" s="232"/>
      <c r="M87" s="232"/>
    </row>
    <row r="88" spans="5:13" ht="15.75" customHeight="1">
      <c r="E88" s="236"/>
      <c r="F88" s="236"/>
      <c r="G88" s="236"/>
      <c r="H88" s="236"/>
      <c r="I88" s="236"/>
      <c r="J88" s="236"/>
      <c r="K88" s="232"/>
      <c r="L88" s="232"/>
      <c r="M88" s="232"/>
    </row>
    <row r="89" spans="5:13" ht="15.75" customHeight="1">
      <c r="E89" s="236"/>
      <c r="F89" s="236"/>
      <c r="G89" s="236"/>
      <c r="H89" s="236"/>
      <c r="I89" s="236"/>
      <c r="J89" s="236"/>
      <c r="K89" s="232"/>
      <c r="L89" s="232"/>
      <c r="M89" s="232"/>
    </row>
    <row r="90" spans="5:13" ht="15.75" customHeight="1">
      <c r="E90" s="236"/>
      <c r="F90" s="236"/>
      <c r="G90" s="236"/>
      <c r="H90" s="236"/>
      <c r="I90" s="236"/>
      <c r="J90" s="236"/>
      <c r="K90" s="232"/>
      <c r="L90" s="232"/>
      <c r="M90" s="232"/>
    </row>
    <row r="91" spans="5:13" ht="15.75" customHeight="1">
      <c r="E91" s="236"/>
      <c r="F91" s="236"/>
      <c r="G91" s="236"/>
      <c r="H91" s="236"/>
      <c r="I91" s="236"/>
      <c r="J91" s="236"/>
      <c r="K91" s="232"/>
      <c r="L91" s="232"/>
      <c r="M91" s="232"/>
    </row>
    <row r="92" spans="5:13" ht="15.75" customHeight="1">
      <c r="E92" s="236"/>
      <c r="F92" s="236"/>
      <c r="G92" s="236"/>
      <c r="H92" s="236"/>
      <c r="I92" s="236"/>
      <c r="J92" s="236"/>
      <c r="K92" s="232"/>
      <c r="L92" s="232"/>
      <c r="M92" s="232"/>
    </row>
    <row r="93" spans="5:13" ht="15.75" customHeight="1">
      <c r="E93" s="236"/>
      <c r="F93" s="236"/>
      <c r="G93" s="236"/>
      <c r="H93" s="236"/>
      <c r="I93" s="236"/>
      <c r="J93" s="236"/>
      <c r="K93" s="232"/>
      <c r="L93" s="232"/>
      <c r="M93" s="232"/>
    </row>
    <row r="94" spans="5:13" ht="15.75" customHeight="1">
      <c r="E94" s="236"/>
      <c r="F94" s="236"/>
      <c r="G94" s="236"/>
      <c r="H94" s="236"/>
      <c r="I94" s="236"/>
      <c r="J94" s="236"/>
      <c r="K94" s="232"/>
      <c r="L94" s="232"/>
      <c r="M94" s="232"/>
    </row>
    <row r="95" spans="5:13" ht="15.75" customHeight="1">
      <c r="E95" s="236"/>
      <c r="F95" s="236"/>
      <c r="G95" s="236"/>
      <c r="H95" s="236"/>
      <c r="I95" s="236"/>
      <c r="J95" s="236"/>
      <c r="K95" s="232"/>
      <c r="L95" s="232"/>
      <c r="M95" s="232"/>
    </row>
    <row r="96" spans="5:13" ht="15.75" customHeight="1">
      <c r="E96" s="236"/>
      <c r="F96" s="236"/>
      <c r="G96" s="236"/>
      <c r="H96" s="236"/>
      <c r="I96" s="236"/>
      <c r="J96" s="236"/>
      <c r="K96" s="232"/>
      <c r="L96" s="232"/>
      <c r="M96" s="232"/>
    </row>
    <row r="97" spans="5:13" ht="15.75" customHeight="1">
      <c r="E97" s="236"/>
      <c r="F97" s="236"/>
      <c r="G97" s="236"/>
      <c r="H97" s="236"/>
      <c r="I97" s="236"/>
      <c r="J97" s="236"/>
      <c r="K97" s="232"/>
      <c r="L97" s="232"/>
      <c r="M97" s="232"/>
    </row>
    <row r="98" spans="5:13" ht="15.75" customHeight="1">
      <c r="E98" s="236"/>
      <c r="F98" s="236"/>
      <c r="G98" s="236"/>
      <c r="H98" s="236"/>
      <c r="I98" s="236"/>
      <c r="J98" s="236"/>
      <c r="K98" s="232"/>
      <c r="L98" s="232"/>
      <c r="M98" s="232"/>
    </row>
    <row r="99" spans="5:13" ht="15.75" customHeight="1">
      <c r="E99" s="236"/>
      <c r="F99" s="236"/>
      <c r="G99" s="236"/>
      <c r="H99" s="236"/>
      <c r="I99" s="236"/>
      <c r="J99" s="236"/>
      <c r="K99" s="232"/>
      <c r="L99" s="232"/>
      <c r="M99" s="232"/>
    </row>
    <row r="100" spans="5:13" ht="15.75" customHeight="1">
      <c r="E100" s="236"/>
      <c r="F100" s="236"/>
      <c r="G100" s="236"/>
      <c r="H100" s="236"/>
      <c r="I100" s="236"/>
      <c r="J100" s="236"/>
      <c r="K100" s="232"/>
      <c r="L100" s="232"/>
      <c r="M100" s="232"/>
    </row>
    <row r="101" spans="5:13" ht="15.75" customHeight="1">
      <c r="E101" s="236"/>
      <c r="F101" s="236"/>
      <c r="G101" s="236"/>
      <c r="H101" s="236"/>
      <c r="I101" s="236"/>
      <c r="J101" s="236"/>
      <c r="K101" s="232"/>
      <c r="L101" s="232"/>
      <c r="M101" s="232"/>
    </row>
    <row r="102" spans="5:13" ht="15.75" customHeight="1">
      <c r="E102" s="236"/>
      <c r="F102" s="236"/>
      <c r="G102" s="236"/>
      <c r="H102" s="236"/>
      <c r="I102" s="236"/>
      <c r="J102" s="236"/>
      <c r="K102" s="232"/>
      <c r="L102" s="232"/>
      <c r="M102" s="232"/>
    </row>
    <row r="103" spans="5:13" ht="15.75" customHeight="1">
      <c r="E103" s="236"/>
      <c r="F103" s="236"/>
      <c r="G103" s="236"/>
      <c r="H103" s="236"/>
      <c r="I103" s="236"/>
      <c r="J103" s="236"/>
      <c r="K103" s="232"/>
      <c r="L103" s="232"/>
      <c r="M103" s="232"/>
    </row>
    <row r="104" spans="5:13" ht="15.75" customHeight="1">
      <c r="E104" s="236"/>
      <c r="F104" s="236"/>
      <c r="G104" s="236"/>
      <c r="H104" s="236"/>
      <c r="I104" s="236"/>
      <c r="J104" s="236"/>
      <c r="K104" s="232"/>
      <c r="L104" s="232"/>
      <c r="M104" s="232"/>
    </row>
    <row r="105" spans="5:13" ht="15.75" customHeight="1">
      <c r="E105" s="236"/>
      <c r="F105" s="236"/>
      <c r="G105" s="236"/>
      <c r="H105" s="236"/>
      <c r="I105" s="236"/>
      <c r="J105" s="236"/>
      <c r="K105" s="232"/>
      <c r="L105" s="232"/>
      <c r="M105" s="232"/>
    </row>
    <row r="106" spans="5:13" ht="15.75" customHeight="1">
      <c r="E106" s="236"/>
      <c r="F106" s="236"/>
      <c r="G106" s="236"/>
      <c r="H106" s="236"/>
      <c r="I106" s="236"/>
      <c r="J106" s="236"/>
      <c r="K106" s="232"/>
      <c r="L106" s="232"/>
      <c r="M106" s="232"/>
    </row>
    <row r="107" spans="5:13" ht="15.75" customHeight="1">
      <c r="E107" s="236"/>
      <c r="F107" s="236"/>
      <c r="G107" s="236"/>
      <c r="H107" s="236"/>
      <c r="I107" s="236"/>
      <c r="J107" s="236"/>
      <c r="K107" s="232"/>
      <c r="L107" s="232"/>
      <c r="M107" s="232"/>
    </row>
    <row r="108" spans="5:13" ht="15.75" customHeight="1">
      <c r="E108" s="236"/>
      <c r="F108" s="236"/>
      <c r="G108" s="236"/>
      <c r="H108" s="236"/>
      <c r="I108" s="236"/>
      <c r="J108" s="236"/>
      <c r="K108" s="232"/>
      <c r="L108" s="232"/>
      <c r="M108" s="232"/>
    </row>
    <row r="109" spans="5:13" ht="15.75" customHeight="1">
      <c r="E109" s="236"/>
      <c r="F109" s="236"/>
      <c r="G109" s="236"/>
      <c r="H109" s="236"/>
      <c r="I109" s="236"/>
      <c r="J109" s="236"/>
      <c r="K109" s="232"/>
      <c r="L109" s="232"/>
      <c r="M109" s="232"/>
    </row>
    <row r="110" spans="5:13" ht="15.75" customHeight="1">
      <c r="E110" s="236"/>
      <c r="F110" s="236"/>
      <c r="G110" s="236"/>
      <c r="H110" s="236"/>
      <c r="I110" s="236"/>
      <c r="J110" s="236"/>
      <c r="K110" s="232"/>
      <c r="L110" s="232"/>
      <c r="M110" s="232"/>
    </row>
    <row r="111" spans="5:13" ht="15.75" customHeight="1">
      <c r="E111" s="236"/>
      <c r="F111" s="236"/>
      <c r="G111" s="236"/>
      <c r="H111" s="236"/>
      <c r="I111" s="236"/>
      <c r="J111" s="236"/>
      <c r="K111" s="232"/>
      <c r="L111" s="232"/>
      <c r="M111" s="232"/>
    </row>
    <row r="112" spans="5:13" ht="15.75" customHeight="1">
      <c r="E112" s="236"/>
      <c r="F112" s="236"/>
      <c r="G112" s="236"/>
      <c r="H112" s="236"/>
      <c r="I112" s="236"/>
      <c r="J112" s="236"/>
      <c r="K112" s="232"/>
      <c r="L112" s="232"/>
      <c r="M112" s="232"/>
    </row>
    <row r="113" spans="5:13" ht="15.75" customHeight="1">
      <c r="E113" s="236"/>
      <c r="F113" s="236"/>
      <c r="G113" s="236"/>
      <c r="H113" s="236"/>
      <c r="I113" s="236"/>
      <c r="J113" s="236"/>
      <c r="K113" s="232"/>
      <c r="L113" s="232"/>
      <c r="M113" s="232"/>
    </row>
    <row r="114" spans="5:13" ht="15.75" customHeight="1">
      <c r="E114" s="236"/>
      <c r="F114" s="236"/>
      <c r="G114" s="236"/>
      <c r="H114" s="236"/>
      <c r="I114" s="236"/>
      <c r="J114" s="236"/>
      <c r="K114" s="232"/>
      <c r="L114" s="232"/>
      <c r="M114" s="232"/>
    </row>
    <row r="115" spans="5:13" ht="15.75" customHeight="1">
      <c r="E115" s="236"/>
      <c r="F115" s="236"/>
      <c r="G115" s="236"/>
      <c r="H115" s="236"/>
      <c r="I115" s="236"/>
      <c r="J115" s="236"/>
      <c r="K115" s="232"/>
      <c r="L115" s="232"/>
      <c r="M115" s="232"/>
    </row>
    <row r="116" spans="5:13" ht="15.75" customHeight="1">
      <c r="E116" s="236"/>
      <c r="F116" s="236"/>
      <c r="G116" s="236"/>
      <c r="H116" s="236"/>
      <c r="I116" s="236"/>
      <c r="J116" s="236"/>
      <c r="K116" s="232"/>
      <c r="L116" s="232"/>
      <c r="M116" s="232"/>
    </row>
    <row r="117" spans="5:13" ht="15.75" customHeight="1">
      <c r="E117" s="236"/>
      <c r="F117" s="236"/>
      <c r="G117" s="236"/>
      <c r="H117" s="236"/>
      <c r="I117" s="236"/>
      <c r="J117" s="236"/>
      <c r="K117" s="232"/>
      <c r="L117" s="232"/>
      <c r="M117" s="232"/>
    </row>
    <row r="118" spans="5:13" ht="15.75" customHeight="1">
      <c r="E118" s="236"/>
      <c r="F118" s="236"/>
      <c r="G118" s="236"/>
      <c r="H118" s="236"/>
      <c r="I118" s="236"/>
      <c r="J118" s="236"/>
      <c r="K118" s="232"/>
      <c r="L118" s="232"/>
      <c r="M118" s="232"/>
    </row>
    <row r="119" spans="5:13" ht="15.75" customHeight="1">
      <c r="E119" s="236"/>
      <c r="F119" s="236"/>
      <c r="G119" s="236"/>
      <c r="H119" s="236"/>
      <c r="I119" s="236"/>
      <c r="J119" s="236"/>
      <c r="K119" s="232"/>
      <c r="L119" s="232"/>
      <c r="M119" s="232"/>
    </row>
    <row r="120" spans="5:13" ht="15.75" customHeight="1">
      <c r="E120" s="236"/>
      <c r="F120" s="236"/>
      <c r="G120" s="236"/>
      <c r="H120" s="236"/>
      <c r="I120" s="236"/>
      <c r="J120" s="236"/>
      <c r="K120" s="232"/>
      <c r="L120" s="232"/>
      <c r="M120" s="232"/>
    </row>
    <row r="121" spans="5:13" ht="15.75" customHeight="1">
      <c r="E121" s="236"/>
      <c r="F121" s="236"/>
      <c r="G121" s="236"/>
      <c r="H121" s="236"/>
      <c r="I121" s="236"/>
      <c r="J121" s="236"/>
      <c r="K121" s="232"/>
      <c r="L121" s="232"/>
      <c r="M121" s="232"/>
    </row>
    <row r="122" spans="5:13" ht="15.75" customHeight="1">
      <c r="E122" s="236"/>
      <c r="F122" s="236"/>
      <c r="G122" s="236"/>
      <c r="H122" s="236"/>
      <c r="I122" s="236"/>
      <c r="J122" s="236"/>
      <c r="K122" s="232"/>
      <c r="L122" s="232"/>
      <c r="M122" s="232"/>
    </row>
    <row r="123" spans="5:13" ht="15.75" customHeight="1">
      <c r="E123" s="236"/>
      <c r="F123" s="236"/>
      <c r="G123" s="236"/>
      <c r="H123" s="236"/>
      <c r="I123" s="236"/>
      <c r="J123" s="236"/>
      <c r="K123" s="232"/>
      <c r="L123" s="232"/>
      <c r="M123" s="232"/>
    </row>
    <row r="124" spans="5:13" ht="15.75" customHeight="1">
      <c r="E124" s="236"/>
      <c r="F124" s="236"/>
      <c r="G124" s="236"/>
      <c r="H124" s="236"/>
      <c r="I124" s="236"/>
      <c r="J124" s="236"/>
      <c r="K124" s="232"/>
      <c r="L124" s="232"/>
      <c r="M124" s="232"/>
    </row>
    <row r="125" spans="5:13" ht="15.75" customHeight="1">
      <c r="E125" s="236"/>
      <c r="F125" s="236"/>
      <c r="G125" s="236"/>
      <c r="H125" s="236"/>
      <c r="I125" s="236"/>
      <c r="J125" s="236"/>
      <c r="K125" s="232"/>
      <c r="L125" s="232"/>
      <c r="M125" s="232"/>
    </row>
    <row r="126" spans="5:13" ht="15.75" customHeight="1">
      <c r="E126" s="236"/>
      <c r="F126" s="236"/>
      <c r="G126" s="236"/>
      <c r="H126" s="236"/>
      <c r="I126" s="236"/>
      <c r="J126" s="236"/>
      <c r="K126" s="232"/>
      <c r="L126" s="232"/>
      <c r="M126" s="232"/>
    </row>
    <row r="127" spans="5:13" ht="15.75" customHeight="1">
      <c r="E127" s="236"/>
      <c r="F127" s="236"/>
      <c r="G127" s="236"/>
      <c r="H127" s="236"/>
      <c r="I127" s="236"/>
      <c r="J127" s="236"/>
      <c r="K127" s="232"/>
      <c r="L127" s="232"/>
      <c r="M127" s="232"/>
    </row>
    <row r="128" spans="5:13" ht="15.75" customHeight="1">
      <c r="E128" s="236"/>
      <c r="F128" s="236"/>
      <c r="G128" s="236"/>
      <c r="H128" s="236"/>
      <c r="I128" s="236"/>
      <c r="J128" s="236"/>
      <c r="K128" s="232"/>
      <c r="L128" s="232"/>
      <c r="M128" s="232"/>
    </row>
    <row r="129" spans="5:13" ht="15.75" customHeight="1">
      <c r="E129" s="236"/>
      <c r="F129" s="236"/>
      <c r="G129" s="236"/>
      <c r="H129" s="236"/>
      <c r="I129" s="236"/>
      <c r="J129" s="236"/>
      <c r="K129" s="232"/>
      <c r="L129" s="232"/>
      <c r="M129" s="232"/>
    </row>
    <row r="130" spans="5:13" ht="15.75" customHeight="1">
      <c r="E130" s="236"/>
      <c r="F130" s="236"/>
      <c r="G130" s="236"/>
      <c r="H130" s="236"/>
      <c r="I130" s="236"/>
      <c r="J130" s="236"/>
      <c r="K130" s="232"/>
      <c r="L130" s="232"/>
      <c r="M130" s="232"/>
    </row>
    <row r="131" spans="5:13" ht="15.75" customHeight="1">
      <c r="E131" s="236"/>
      <c r="F131" s="236"/>
      <c r="G131" s="236"/>
      <c r="H131" s="236"/>
      <c r="I131" s="236"/>
      <c r="J131" s="236"/>
      <c r="K131" s="232"/>
      <c r="L131" s="232"/>
      <c r="M131" s="232"/>
    </row>
    <row r="132" spans="5:13" ht="15.75" customHeight="1">
      <c r="E132" s="236"/>
      <c r="F132" s="236"/>
      <c r="G132" s="236"/>
      <c r="H132" s="236"/>
      <c r="I132" s="236"/>
      <c r="J132" s="236"/>
      <c r="K132" s="232"/>
      <c r="L132" s="232"/>
      <c r="M132" s="232"/>
    </row>
    <row r="133" spans="5:13" ht="15.75" customHeight="1">
      <c r="E133" s="236"/>
      <c r="F133" s="236"/>
      <c r="G133" s="236"/>
      <c r="H133" s="236"/>
      <c r="I133" s="236"/>
      <c r="J133" s="236"/>
      <c r="K133" s="232"/>
      <c r="L133" s="232"/>
      <c r="M133" s="232"/>
    </row>
    <row r="134" spans="5:13" ht="15.75" customHeight="1">
      <c r="E134" s="236"/>
      <c r="F134" s="236"/>
      <c r="G134" s="236"/>
      <c r="H134" s="236"/>
      <c r="I134" s="236"/>
      <c r="J134" s="236"/>
      <c r="K134" s="232"/>
      <c r="L134" s="232"/>
      <c r="M134" s="232"/>
    </row>
    <row r="135" spans="5:13" ht="15.75" customHeight="1">
      <c r="E135" s="236"/>
      <c r="F135" s="236"/>
      <c r="G135" s="236"/>
      <c r="H135" s="236"/>
      <c r="I135" s="236"/>
      <c r="J135" s="236"/>
      <c r="K135" s="232"/>
      <c r="L135" s="232"/>
      <c r="M135" s="232"/>
    </row>
    <row r="136" spans="5:13" ht="15.75" customHeight="1">
      <c r="E136" s="236"/>
      <c r="F136" s="236"/>
      <c r="G136" s="236"/>
      <c r="H136" s="236"/>
      <c r="I136" s="236"/>
      <c r="J136" s="236"/>
      <c r="K136" s="232"/>
      <c r="L136" s="232"/>
      <c r="M136" s="232"/>
    </row>
    <row r="137" spans="5:13" ht="15.75" customHeight="1">
      <c r="E137" s="236"/>
      <c r="F137" s="236"/>
      <c r="G137" s="236"/>
      <c r="H137" s="236"/>
      <c r="I137" s="236"/>
      <c r="J137" s="236"/>
      <c r="K137" s="232"/>
      <c r="L137" s="232"/>
      <c r="M137" s="232"/>
    </row>
    <row r="138" spans="5:13" ht="15.75" customHeight="1">
      <c r="E138" s="236"/>
      <c r="F138" s="236"/>
      <c r="G138" s="236"/>
      <c r="H138" s="236"/>
      <c r="I138" s="236"/>
      <c r="J138" s="236"/>
      <c r="K138" s="232"/>
      <c r="L138" s="232"/>
      <c r="M138" s="232"/>
    </row>
    <row r="139" spans="5:13" ht="15.75" customHeight="1">
      <c r="E139" s="236"/>
      <c r="F139" s="236"/>
      <c r="G139" s="236"/>
      <c r="H139" s="236"/>
      <c r="I139" s="236"/>
      <c r="J139" s="236"/>
      <c r="K139" s="232"/>
      <c r="L139" s="232"/>
      <c r="M139" s="232"/>
    </row>
    <row r="140" spans="5:13" ht="15.75" customHeight="1">
      <c r="E140" s="236"/>
      <c r="F140" s="236"/>
      <c r="G140" s="236"/>
      <c r="H140" s="236"/>
      <c r="I140" s="236"/>
      <c r="J140" s="236"/>
      <c r="K140" s="232"/>
      <c r="L140" s="232"/>
      <c r="M140" s="232"/>
    </row>
    <row r="141" spans="5:13" ht="15.75" customHeight="1">
      <c r="E141" s="236"/>
      <c r="F141" s="236"/>
      <c r="G141" s="236"/>
      <c r="H141" s="236"/>
      <c r="I141" s="236"/>
      <c r="J141" s="236"/>
      <c r="K141" s="232"/>
      <c r="L141" s="232"/>
      <c r="M141" s="232"/>
    </row>
    <row r="142" spans="5:13" ht="15.75" customHeight="1">
      <c r="E142" s="236"/>
      <c r="F142" s="236"/>
      <c r="G142" s="236"/>
      <c r="H142" s="236"/>
      <c r="I142" s="236"/>
      <c r="J142" s="236"/>
      <c r="K142" s="232"/>
      <c r="L142" s="232"/>
      <c r="M142" s="232"/>
    </row>
    <row r="143" spans="5:13" ht="15.75" customHeight="1">
      <c r="E143" s="236"/>
      <c r="F143" s="236"/>
      <c r="G143" s="236"/>
      <c r="H143" s="236"/>
      <c r="I143" s="236"/>
      <c r="J143" s="236"/>
      <c r="K143" s="232"/>
      <c r="L143" s="232"/>
      <c r="M143" s="232"/>
    </row>
    <row r="144" spans="5:13" ht="15.75" customHeight="1">
      <c r="E144" s="236"/>
      <c r="F144" s="236"/>
      <c r="G144" s="236"/>
      <c r="H144" s="236"/>
      <c r="I144" s="236"/>
      <c r="J144" s="236"/>
      <c r="K144" s="232"/>
      <c r="L144" s="232"/>
      <c r="M144" s="232"/>
    </row>
    <row r="145" spans="5:13" ht="15.75" customHeight="1">
      <c r="E145" s="236"/>
      <c r="F145" s="236"/>
      <c r="G145" s="236"/>
      <c r="H145" s="236"/>
      <c r="I145" s="236"/>
      <c r="J145" s="236"/>
      <c r="K145" s="232"/>
      <c r="L145" s="232"/>
      <c r="M145" s="232"/>
    </row>
    <row r="146" spans="5:13" ht="15.75" customHeight="1">
      <c r="E146" s="236"/>
      <c r="F146" s="236"/>
      <c r="G146" s="236"/>
      <c r="H146" s="236"/>
      <c r="I146" s="236"/>
      <c r="J146" s="236"/>
      <c r="K146" s="232"/>
      <c r="L146" s="232"/>
      <c r="M146" s="232"/>
    </row>
    <row r="147" spans="5:13" ht="15.75" customHeight="1">
      <c r="E147" s="236"/>
      <c r="F147" s="236"/>
      <c r="G147" s="236"/>
      <c r="H147" s="236"/>
      <c r="I147" s="236"/>
      <c r="J147" s="236"/>
      <c r="K147" s="232"/>
      <c r="L147" s="232"/>
      <c r="M147" s="232"/>
    </row>
    <row r="148" spans="5:13" ht="15.75" customHeight="1">
      <c r="E148" s="236"/>
      <c r="F148" s="236"/>
      <c r="G148" s="236"/>
      <c r="H148" s="236"/>
      <c r="I148" s="236"/>
      <c r="J148" s="236"/>
      <c r="K148" s="232"/>
      <c r="L148" s="232"/>
      <c r="M148" s="232"/>
    </row>
    <row r="149" spans="5:13" ht="15.75" customHeight="1">
      <c r="E149" s="236"/>
      <c r="F149" s="236"/>
      <c r="G149" s="236"/>
      <c r="H149" s="236"/>
      <c r="I149" s="236"/>
      <c r="J149" s="236"/>
      <c r="K149" s="232"/>
      <c r="L149" s="232"/>
      <c r="M149" s="232"/>
    </row>
    <row r="150" spans="5:13" ht="15.75" customHeight="1">
      <c r="E150" s="236"/>
      <c r="F150" s="236"/>
      <c r="G150" s="236"/>
      <c r="H150" s="236"/>
      <c r="I150" s="236"/>
      <c r="J150" s="236"/>
      <c r="K150" s="232"/>
      <c r="L150" s="232"/>
      <c r="M150" s="232"/>
    </row>
    <row r="151" spans="5:13" ht="15.75" customHeight="1">
      <c r="E151" s="236"/>
      <c r="F151" s="236"/>
      <c r="G151" s="236"/>
      <c r="H151" s="236"/>
      <c r="I151" s="236"/>
      <c r="J151" s="236"/>
      <c r="K151" s="232"/>
      <c r="L151" s="232"/>
      <c r="M151" s="232"/>
    </row>
    <row r="152" spans="5:13" ht="15.75" customHeight="1">
      <c r="E152" s="236"/>
      <c r="F152" s="236"/>
      <c r="G152" s="236"/>
      <c r="H152" s="236"/>
      <c r="I152" s="236"/>
      <c r="J152" s="236"/>
      <c r="K152" s="232"/>
      <c r="L152" s="232"/>
      <c r="M152" s="232"/>
    </row>
    <row r="153" spans="5:13" ht="15.75" customHeight="1">
      <c r="E153" s="236"/>
      <c r="F153" s="236"/>
      <c r="G153" s="236"/>
      <c r="H153" s="236"/>
      <c r="I153" s="236"/>
      <c r="J153" s="236"/>
      <c r="K153" s="232"/>
      <c r="L153" s="232"/>
      <c r="M153" s="232"/>
    </row>
    <row r="154" spans="5:13" ht="15.75" customHeight="1">
      <c r="E154" s="236"/>
      <c r="F154" s="236"/>
      <c r="G154" s="236"/>
      <c r="H154" s="236"/>
      <c r="I154" s="236"/>
      <c r="J154" s="236"/>
      <c r="K154" s="232"/>
      <c r="L154" s="232"/>
      <c r="M154" s="232"/>
    </row>
    <row r="155" spans="5:13" ht="15.75" customHeight="1">
      <c r="E155" s="236"/>
      <c r="F155" s="236"/>
      <c r="G155" s="236"/>
      <c r="H155" s="236"/>
      <c r="I155" s="236"/>
      <c r="J155" s="236"/>
      <c r="K155" s="232"/>
      <c r="L155" s="232"/>
      <c r="M155" s="232"/>
    </row>
    <row r="156" spans="5:13" ht="15.75" customHeight="1">
      <c r="E156" s="236"/>
      <c r="F156" s="236"/>
      <c r="G156" s="236"/>
      <c r="H156" s="236"/>
      <c r="I156" s="236"/>
      <c r="J156" s="236"/>
      <c r="K156" s="232"/>
      <c r="L156" s="232"/>
      <c r="M156" s="232"/>
    </row>
    <row r="157" spans="5:13" ht="15.75" customHeight="1">
      <c r="E157" s="236"/>
      <c r="F157" s="236"/>
      <c r="G157" s="236"/>
      <c r="H157" s="236"/>
      <c r="I157" s="236"/>
      <c r="J157" s="236"/>
      <c r="K157" s="232"/>
      <c r="L157" s="232"/>
      <c r="M157" s="232"/>
    </row>
    <row r="158" spans="5:13" ht="15.75" customHeight="1">
      <c r="E158" s="236"/>
      <c r="F158" s="236"/>
      <c r="G158" s="236"/>
      <c r="H158" s="236"/>
      <c r="I158" s="236"/>
      <c r="J158" s="236"/>
      <c r="K158" s="232"/>
      <c r="L158" s="232"/>
      <c r="M158" s="232"/>
    </row>
    <row r="159" spans="5:13" ht="15.75" customHeight="1">
      <c r="E159" s="236"/>
      <c r="F159" s="236"/>
      <c r="G159" s="236"/>
      <c r="H159" s="236"/>
      <c r="I159" s="236"/>
      <c r="J159" s="236"/>
      <c r="K159" s="232"/>
      <c r="L159" s="232"/>
      <c r="M159" s="232"/>
    </row>
    <row r="160" spans="5:13" ht="15.75" customHeight="1">
      <c r="E160" s="236"/>
      <c r="F160" s="236"/>
      <c r="G160" s="236"/>
      <c r="H160" s="236"/>
      <c r="I160" s="236"/>
      <c r="J160" s="236"/>
      <c r="K160" s="232"/>
      <c r="L160" s="232"/>
      <c r="M160" s="232"/>
    </row>
    <row r="161" spans="5:13" ht="15.75" customHeight="1">
      <c r="E161" s="236"/>
      <c r="F161" s="236"/>
      <c r="G161" s="236"/>
      <c r="H161" s="236"/>
      <c r="I161" s="236"/>
      <c r="J161" s="236"/>
      <c r="K161" s="232"/>
      <c r="L161" s="232"/>
      <c r="M161" s="232"/>
    </row>
    <row r="162" spans="5:13" ht="15.75" customHeight="1">
      <c r="E162" s="236"/>
      <c r="F162" s="236"/>
      <c r="G162" s="236"/>
      <c r="H162" s="236"/>
      <c r="I162" s="236"/>
      <c r="J162" s="236"/>
      <c r="K162" s="232"/>
      <c r="L162" s="232"/>
      <c r="M162" s="232"/>
    </row>
    <row r="163" spans="5:13" ht="15.75" customHeight="1">
      <c r="E163" s="236"/>
      <c r="F163" s="236"/>
      <c r="G163" s="236"/>
      <c r="H163" s="236"/>
      <c r="I163" s="236"/>
      <c r="J163" s="236"/>
      <c r="K163" s="232"/>
      <c r="L163" s="232"/>
      <c r="M163" s="232"/>
    </row>
    <row r="164" spans="5:13" ht="15.75" customHeight="1">
      <c r="E164" s="236"/>
      <c r="F164" s="236"/>
      <c r="G164" s="236"/>
      <c r="H164" s="236"/>
      <c r="I164" s="236"/>
      <c r="J164" s="236"/>
      <c r="K164" s="232"/>
      <c r="L164" s="232"/>
      <c r="M164" s="232"/>
    </row>
    <row r="165" spans="5:13" ht="15.75" customHeight="1">
      <c r="E165" s="236"/>
      <c r="F165" s="236"/>
      <c r="G165" s="236"/>
      <c r="H165" s="236"/>
      <c r="I165" s="236"/>
      <c r="J165" s="236"/>
      <c r="K165" s="232"/>
      <c r="L165" s="232"/>
      <c r="M165" s="232"/>
    </row>
    <row r="166" spans="5:13" ht="15.75" customHeight="1">
      <c r="E166" s="236"/>
      <c r="F166" s="236"/>
      <c r="G166" s="236"/>
      <c r="H166" s="236"/>
      <c r="I166" s="236"/>
      <c r="J166" s="236"/>
      <c r="K166" s="232"/>
      <c r="L166" s="232"/>
      <c r="M166" s="232"/>
    </row>
    <row r="167" spans="5:13" ht="15.75" customHeight="1">
      <c r="E167" s="236"/>
      <c r="F167" s="236"/>
      <c r="G167" s="236"/>
      <c r="H167" s="236"/>
      <c r="I167" s="236"/>
      <c r="J167" s="236"/>
      <c r="K167" s="232"/>
      <c r="L167" s="232"/>
      <c r="M167" s="232"/>
    </row>
    <row r="168" spans="5:13" ht="15.75" customHeight="1">
      <c r="E168" s="236"/>
      <c r="F168" s="236"/>
      <c r="G168" s="236"/>
      <c r="H168" s="236"/>
      <c r="I168" s="236"/>
      <c r="J168" s="236"/>
      <c r="K168" s="232"/>
      <c r="L168" s="232"/>
      <c r="M168" s="232"/>
    </row>
    <row r="169" spans="5:13" ht="15.75" customHeight="1">
      <c r="E169" s="236"/>
      <c r="F169" s="236"/>
      <c r="G169" s="236"/>
      <c r="H169" s="236"/>
      <c r="I169" s="236"/>
      <c r="J169" s="236"/>
      <c r="K169" s="232"/>
      <c r="L169" s="232"/>
      <c r="M169" s="232"/>
    </row>
    <row r="170" spans="5:13" ht="15.75" customHeight="1">
      <c r="E170" s="236"/>
      <c r="F170" s="236"/>
      <c r="G170" s="236"/>
      <c r="H170" s="236"/>
      <c r="I170" s="236"/>
      <c r="J170" s="236"/>
      <c r="K170" s="232"/>
      <c r="L170" s="232"/>
      <c r="M170" s="232"/>
    </row>
    <row r="171" spans="5:13" ht="15.75" customHeight="1">
      <c r="E171" s="236"/>
      <c r="F171" s="236"/>
      <c r="G171" s="236"/>
      <c r="H171" s="236"/>
      <c r="I171" s="236"/>
      <c r="J171" s="236"/>
      <c r="K171" s="232"/>
      <c r="L171" s="232"/>
      <c r="M171" s="232"/>
    </row>
    <row r="172" spans="5:13" ht="15.75" customHeight="1">
      <c r="E172" s="236"/>
      <c r="F172" s="236"/>
      <c r="G172" s="236"/>
      <c r="H172" s="236"/>
      <c r="I172" s="236"/>
      <c r="J172" s="236"/>
      <c r="K172" s="232"/>
      <c r="L172" s="232"/>
      <c r="M172" s="232"/>
    </row>
    <row r="173" spans="5:13" ht="15.75" customHeight="1">
      <c r="E173" s="236"/>
      <c r="F173" s="236"/>
      <c r="G173" s="236"/>
      <c r="H173" s="236"/>
      <c r="I173" s="236"/>
      <c r="J173" s="236"/>
      <c r="K173" s="232"/>
      <c r="L173" s="232"/>
      <c r="M173" s="232"/>
    </row>
    <row r="174" spans="5:13" ht="15.75" customHeight="1">
      <c r="E174" s="236"/>
      <c r="F174" s="236"/>
      <c r="G174" s="236"/>
      <c r="H174" s="236"/>
      <c r="I174" s="236"/>
      <c r="J174" s="236"/>
      <c r="K174" s="232"/>
      <c r="L174" s="232"/>
      <c r="M174" s="232"/>
    </row>
    <row r="175" spans="5:13" ht="15.75" customHeight="1">
      <c r="E175" s="236"/>
      <c r="F175" s="236"/>
      <c r="G175" s="236"/>
      <c r="H175" s="236"/>
      <c r="I175" s="236"/>
      <c r="J175" s="236"/>
      <c r="K175" s="232"/>
      <c r="L175" s="232"/>
      <c r="M175" s="232"/>
    </row>
    <row r="176" spans="5:13" ht="15.75" customHeight="1">
      <c r="E176" s="236"/>
      <c r="F176" s="236"/>
      <c r="G176" s="236"/>
      <c r="H176" s="236"/>
      <c r="I176" s="236"/>
      <c r="J176" s="236"/>
      <c r="K176" s="232"/>
      <c r="L176" s="232"/>
      <c r="M176" s="232"/>
    </row>
    <row r="177" spans="5:13" ht="15.75" customHeight="1">
      <c r="E177" s="236"/>
      <c r="F177" s="236"/>
      <c r="G177" s="236"/>
      <c r="H177" s="236"/>
      <c r="I177" s="236"/>
      <c r="J177" s="236"/>
      <c r="K177" s="232"/>
      <c r="L177" s="232"/>
      <c r="M177" s="232"/>
    </row>
    <row r="178" spans="5:13" ht="15.75" customHeight="1">
      <c r="E178" s="236"/>
      <c r="F178" s="236"/>
      <c r="G178" s="236"/>
      <c r="H178" s="236"/>
      <c r="I178" s="236"/>
      <c r="J178" s="236"/>
      <c r="K178" s="232"/>
      <c r="L178" s="232"/>
      <c r="M178" s="232"/>
    </row>
    <row r="179" spans="5:13" ht="15.75" customHeight="1">
      <c r="E179" s="236"/>
      <c r="F179" s="236"/>
      <c r="G179" s="236"/>
      <c r="H179" s="236"/>
      <c r="I179" s="236"/>
      <c r="J179" s="236"/>
      <c r="K179" s="232"/>
      <c r="L179" s="232"/>
      <c r="M179" s="232"/>
    </row>
    <row r="180" spans="5:13" ht="15.75" customHeight="1">
      <c r="E180" s="236"/>
      <c r="F180" s="236"/>
      <c r="G180" s="236"/>
      <c r="H180" s="236"/>
      <c r="I180" s="236"/>
      <c r="J180" s="236"/>
      <c r="K180" s="232"/>
      <c r="L180" s="232"/>
      <c r="M180" s="232"/>
    </row>
    <row r="181" spans="5:13" ht="15.75" customHeight="1">
      <c r="E181" s="236"/>
      <c r="F181" s="236"/>
      <c r="G181" s="236"/>
      <c r="H181" s="236"/>
      <c r="I181" s="236"/>
      <c r="J181" s="236"/>
      <c r="K181" s="232"/>
      <c r="L181" s="232"/>
      <c r="M181" s="232"/>
    </row>
    <row r="182" spans="5:13" ht="15.75" customHeight="1">
      <c r="E182" s="236"/>
      <c r="F182" s="236"/>
      <c r="G182" s="236"/>
      <c r="H182" s="236"/>
      <c r="I182" s="236"/>
      <c r="J182" s="236"/>
      <c r="K182" s="232"/>
      <c r="L182" s="232"/>
      <c r="M182" s="232"/>
    </row>
    <row r="183" spans="5:13" ht="15.75" customHeight="1">
      <c r="E183" s="236"/>
      <c r="F183" s="236"/>
      <c r="G183" s="236"/>
      <c r="H183" s="236"/>
      <c r="I183" s="236"/>
      <c r="J183" s="236"/>
      <c r="K183" s="232"/>
      <c r="L183" s="232"/>
      <c r="M183" s="232"/>
    </row>
    <row r="184" spans="5:13" ht="15.75" customHeight="1">
      <c r="E184" s="236"/>
      <c r="F184" s="236"/>
      <c r="G184" s="236"/>
      <c r="H184" s="236"/>
      <c r="I184" s="236"/>
      <c r="J184" s="236"/>
      <c r="K184" s="232"/>
      <c r="L184" s="232"/>
      <c r="M184" s="232"/>
    </row>
    <row r="185" spans="5:13" ht="15.75" customHeight="1">
      <c r="E185" s="236"/>
      <c r="F185" s="236"/>
      <c r="G185" s="236"/>
      <c r="H185" s="236"/>
      <c r="I185" s="236"/>
      <c r="J185" s="236"/>
      <c r="K185" s="232"/>
      <c r="L185" s="232"/>
      <c r="M185" s="232"/>
    </row>
    <row r="186" spans="5:13" ht="15.75" customHeight="1">
      <c r="E186" s="236"/>
      <c r="F186" s="236"/>
      <c r="G186" s="236"/>
      <c r="H186" s="236"/>
      <c r="I186" s="236"/>
      <c r="J186" s="236"/>
      <c r="K186" s="232"/>
      <c r="L186" s="232"/>
      <c r="M186" s="232"/>
    </row>
    <row r="187" spans="5:13" ht="15.75" customHeight="1">
      <c r="E187" s="236"/>
      <c r="F187" s="236"/>
      <c r="G187" s="236"/>
      <c r="H187" s="236"/>
      <c r="I187" s="236"/>
      <c r="J187" s="236"/>
      <c r="K187" s="232"/>
      <c r="L187" s="232"/>
      <c r="M187" s="232"/>
    </row>
    <row r="188" spans="5:13" ht="15.75" customHeight="1">
      <c r="E188" s="236"/>
      <c r="F188" s="236"/>
      <c r="G188" s="236"/>
      <c r="H188" s="236"/>
      <c r="I188" s="236"/>
      <c r="J188" s="236"/>
      <c r="K188" s="232"/>
      <c r="L188" s="232"/>
      <c r="M188" s="232"/>
    </row>
    <row r="189" spans="5:13" ht="15.75" customHeight="1">
      <c r="E189" s="236"/>
      <c r="F189" s="236"/>
      <c r="G189" s="236"/>
      <c r="H189" s="236"/>
      <c r="I189" s="236"/>
      <c r="J189" s="236"/>
      <c r="K189" s="232"/>
      <c r="L189" s="232"/>
      <c r="M189" s="232"/>
    </row>
    <row r="190" spans="5:13" ht="15.75" customHeight="1">
      <c r="E190" s="236"/>
      <c r="F190" s="236"/>
      <c r="G190" s="236"/>
      <c r="H190" s="236"/>
      <c r="I190" s="236"/>
      <c r="J190" s="236"/>
      <c r="K190" s="232"/>
      <c r="L190" s="232"/>
      <c r="M190" s="232"/>
    </row>
    <row r="191" spans="5:13" ht="15.75" customHeight="1">
      <c r="E191" s="236"/>
      <c r="F191" s="236"/>
      <c r="G191" s="236"/>
      <c r="H191" s="236"/>
      <c r="I191" s="236"/>
      <c r="J191" s="236"/>
      <c r="K191" s="232"/>
      <c r="L191" s="232"/>
      <c r="M191" s="232"/>
    </row>
    <row r="192" spans="5:13" ht="15.75" customHeight="1">
      <c r="E192" s="236"/>
      <c r="F192" s="236"/>
      <c r="G192" s="236"/>
      <c r="H192" s="236"/>
      <c r="I192" s="236"/>
      <c r="J192" s="236"/>
      <c r="K192" s="232"/>
      <c r="L192" s="232"/>
      <c r="M192" s="232"/>
    </row>
    <row r="193" spans="5:13" ht="15.75" customHeight="1">
      <c r="E193" s="236"/>
      <c r="F193" s="236"/>
      <c r="G193" s="236"/>
      <c r="H193" s="236"/>
      <c r="I193" s="236"/>
      <c r="J193" s="236"/>
      <c r="K193" s="232"/>
      <c r="L193" s="232"/>
      <c r="M193" s="232"/>
    </row>
    <row r="194" spans="5:13" ht="15.75" customHeight="1">
      <c r="E194" s="236"/>
      <c r="F194" s="236"/>
      <c r="G194" s="236"/>
      <c r="H194" s="236"/>
      <c r="I194" s="236"/>
      <c r="J194" s="236"/>
      <c r="K194" s="232"/>
      <c r="L194" s="232"/>
      <c r="M194" s="232"/>
    </row>
    <row r="195" spans="5:13" ht="15.75" customHeight="1">
      <c r="E195" s="236"/>
      <c r="F195" s="236"/>
      <c r="G195" s="236"/>
      <c r="H195" s="236"/>
      <c r="I195" s="236"/>
      <c r="J195" s="236"/>
      <c r="K195" s="232"/>
      <c r="L195" s="232"/>
      <c r="M195" s="232"/>
    </row>
    <row r="196" spans="5:13" ht="15.75" customHeight="1">
      <c r="E196" s="236"/>
      <c r="F196" s="236"/>
      <c r="G196" s="236"/>
      <c r="H196" s="236"/>
      <c r="I196" s="236"/>
      <c r="J196" s="236"/>
      <c r="K196" s="232"/>
      <c r="L196" s="232"/>
      <c r="M196" s="232"/>
    </row>
    <row r="197" spans="5:13" ht="15.75" customHeight="1">
      <c r="E197" s="236"/>
      <c r="F197" s="236"/>
      <c r="G197" s="236"/>
      <c r="H197" s="236"/>
      <c r="I197" s="236"/>
      <c r="J197" s="236"/>
      <c r="K197" s="232"/>
      <c r="L197" s="232"/>
      <c r="M197" s="232"/>
    </row>
    <row r="198" spans="5:13" ht="15.75" customHeight="1">
      <c r="E198" s="236"/>
      <c r="F198" s="236"/>
      <c r="G198" s="236"/>
      <c r="H198" s="236"/>
      <c r="I198" s="236"/>
      <c r="J198" s="236"/>
      <c r="K198" s="232"/>
      <c r="L198" s="232"/>
      <c r="M198" s="232"/>
    </row>
    <row r="199" spans="5:13" ht="15.75" customHeight="1">
      <c r="E199" s="236"/>
      <c r="F199" s="236"/>
      <c r="G199" s="236"/>
      <c r="H199" s="236"/>
      <c r="I199" s="236"/>
      <c r="J199" s="236"/>
      <c r="K199" s="232"/>
      <c r="L199" s="232"/>
      <c r="M199" s="232"/>
    </row>
    <row r="200" spans="5:13" ht="15.75" customHeight="1">
      <c r="E200" s="236"/>
      <c r="F200" s="236"/>
      <c r="G200" s="236"/>
      <c r="H200" s="236"/>
      <c r="I200" s="236"/>
      <c r="J200" s="236"/>
      <c r="K200" s="232"/>
      <c r="L200" s="232"/>
      <c r="M200" s="232"/>
    </row>
    <row r="201" spans="5:13" ht="15.75" customHeight="1">
      <c r="E201" s="236"/>
      <c r="F201" s="236"/>
      <c r="G201" s="236"/>
      <c r="H201" s="236"/>
      <c r="I201" s="236"/>
      <c r="J201" s="236"/>
      <c r="K201" s="232"/>
      <c r="L201" s="232"/>
      <c r="M201" s="232"/>
    </row>
    <row r="202" spans="5:13" ht="15.75" customHeight="1">
      <c r="E202" s="236"/>
      <c r="F202" s="236"/>
      <c r="G202" s="236"/>
      <c r="H202" s="236"/>
      <c r="I202" s="236"/>
      <c r="J202" s="236"/>
      <c r="K202" s="232"/>
      <c r="L202" s="232"/>
      <c r="M202" s="232"/>
    </row>
    <row r="203" spans="5:13" ht="15.75" customHeight="1">
      <c r="E203" s="236"/>
      <c r="F203" s="236"/>
      <c r="G203" s="236"/>
      <c r="H203" s="236"/>
      <c r="I203" s="236"/>
      <c r="J203" s="236"/>
      <c r="K203" s="232"/>
      <c r="L203" s="232"/>
      <c r="M203" s="232"/>
    </row>
    <row r="204" spans="5:13" ht="15.75" customHeight="1">
      <c r="E204" s="236"/>
      <c r="F204" s="236"/>
      <c r="G204" s="236"/>
      <c r="H204" s="236"/>
      <c r="I204" s="236"/>
      <c r="J204" s="236"/>
      <c r="K204" s="232"/>
      <c r="L204" s="232"/>
      <c r="M204" s="232"/>
    </row>
    <row r="205" spans="5:13" ht="15.75" customHeight="1">
      <c r="E205" s="236"/>
      <c r="F205" s="236"/>
      <c r="G205" s="236"/>
      <c r="H205" s="236"/>
      <c r="I205" s="236"/>
      <c r="J205" s="236"/>
      <c r="K205" s="232"/>
      <c r="L205" s="232"/>
      <c r="M205" s="232"/>
    </row>
    <row r="206" spans="5:13" ht="15.75" customHeight="1">
      <c r="E206" s="236"/>
      <c r="F206" s="236"/>
      <c r="G206" s="236"/>
      <c r="H206" s="236"/>
      <c r="I206" s="236"/>
      <c r="J206" s="236"/>
      <c r="K206" s="232"/>
      <c r="L206" s="232"/>
      <c r="M206" s="232"/>
    </row>
    <row r="207" spans="5:13" ht="15.75" customHeight="1">
      <c r="E207" s="236"/>
      <c r="F207" s="236"/>
      <c r="G207" s="236"/>
      <c r="H207" s="236"/>
      <c r="I207" s="236"/>
      <c r="J207" s="236"/>
      <c r="K207" s="232"/>
      <c r="L207" s="232"/>
      <c r="M207" s="232"/>
    </row>
    <row r="208" spans="5:13" ht="15.75" customHeight="1">
      <c r="E208" s="236"/>
      <c r="F208" s="236"/>
      <c r="G208" s="236"/>
      <c r="H208" s="236"/>
      <c r="I208" s="236"/>
      <c r="J208" s="236"/>
      <c r="K208" s="232"/>
      <c r="L208" s="232"/>
      <c r="M208" s="232"/>
    </row>
    <row r="209" spans="5:13" ht="15.75" customHeight="1">
      <c r="E209" s="236"/>
      <c r="F209" s="236"/>
      <c r="G209" s="236"/>
      <c r="H209" s="236"/>
      <c r="I209" s="236"/>
      <c r="J209" s="236"/>
      <c r="K209" s="232"/>
      <c r="L209" s="232"/>
      <c r="M209" s="232"/>
    </row>
    <row r="210" spans="5:13" ht="15.75" customHeight="1">
      <c r="E210" s="236"/>
      <c r="F210" s="236"/>
      <c r="G210" s="236"/>
      <c r="H210" s="236"/>
      <c r="I210" s="236"/>
      <c r="J210" s="236"/>
      <c r="K210" s="232"/>
      <c r="L210" s="232"/>
      <c r="M210" s="232"/>
    </row>
    <row r="211" spans="5:13" ht="15.75" customHeight="1">
      <c r="E211" s="236"/>
      <c r="F211" s="236"/>
      <c r="G211" s="236"/>
      <c r="H211" s="236"/>
      <c r="I211" s="236"/>
      <c r="J211" s="236"/>
      <c r="K211" s="232"/>
      <c r="L211" s="232"/>
      <c r="M211" s="232"/>
    </row>
    <row r="212" spans="5:13" ht="15.75" customHeight="1">
      <c r="E212" s="236"/>
      <c r="F212" s="236"/>
      <c r="G212" s="236"/>
      <c r="H212" s="236"/>
      <c r="I212" s="236"/>
      <c r="J212" s="236"/>
      <c r="K212" s="232"/>
      <c r="L212" s="232"/>
      <c r="M212" s="232"/>
    </row>
    <row r="213" spans="5:13" ht="15.75" customHeight="1">
      <c r="E213" s="236"/>
      <c r="F213" s="236"/>
      <c r="G213" s="236"/>
      <c r="H213" s="236"/>
      <c r="I213" s="236"/>
      <c r="J213" s="236"/>
      <c r="K213" s="232"/>
      <c r="L213" s="232"/>
      <c r="M213" s="232"/>
    </row>
    <row r="214" spans="5:13" ht="15.75" customHeight="1">
      <c r="E214" s="236"/>
      <c r="F214" s="236"/>
      <c r="G214" s="236"/>
      <c r="H214" s="236"/>
      <c r="I214" s="236"/>
      <c r="J214" s="236"/>
      <c r="K214" s="232"/>
      <c r="L214" s="232"/>
      <c r="M214" s="232"/>
    </row>
    <row r="215" spans="5:13" ht="15.75" customHeight="1">
      <c r="E215" s="236"/>
      <c r="F215" s="236"/>
      <c r="G215" s="236"/>
      <c r="H215" s="236"/>
      <c r="I215" s="236"/>
      <c r="J215" s="236"/>
      <c r="K215" s="232"/>
      <c r="L215" s="232"/>
      <c r="M215" s="232"/>
    </row>
    <row r="216" spans="5:13" ht="15.75" customHeight="1">
      <c r="E216" s="236"/>
      <c r="F216" s="236"/>
      <c r="G216" s="236"/>
      <c r="H216" s="236"/>
      <c r="I216" s="236"/>
      <c r="J216" s="236"/>
      <c r="K216" s="232"/>
      <c r="L216" s="232"/>
      <c r="M216" s="232"/>
    </row>
    <row r="217" spans="5:13" ht="15.75" customHeight="1">
      <c r="E217" s="236"/>
      <c r="F217" s="236"/>
      <c r="G217" s="236"/>
      <c r="H217" s="236"/>
      <c r="I217" s="236"/>
      <c r="J217" s="236"/>
      <c r="K217" s="232"/>
      <c r="L217" s="232"/>
      <c r="M217" s="232"/>
    </row>
    <row r="218" spans="5:13" ht="15.75" customHeight="1">
      <c r="E218" s="236"/>
      <c r="F218" s="236"/>
      <c r="G218" s="236"/>
      <c r="H218" s="236"/>
      <c r="I218" s="236"/>
      <c r="J218" s="236"/>
      <c r="K218" s="232"/>
      <c r="L218" s="232"/>
      <c r="M218" s="232"/>
    </row>
    <row r="219" spans="5:13" ht="15.75" customHeight="1">
      <c r="E219" s="236"/>
      <c r="F219" s="236"/>
      <c r="G219" s="236"/>
      <c r="H219" s="236"/>
      <c r="I219" s="236"/>
      <c r="J219" s="236"/>
      <c r="K219" s="232"/>
      <c r="L219" s="232"/>
      <c r="M219" s="232"/>
    </row>
    <row r="220" spans="5:13" ht="15.75" customHeight="1">
      <c r="E220" s="236"/>
      <c r="F220" s="236"/>
      <c r="G220" s="236"/>
      <c r="H220" s="236"/>
      <c r="I220" s="236"/>
      <c r="J220" s="236"/>
      <c r="K220" s="232"/>
      <c r="L220" s="232"/>
      <c r="M220" s="232"/>
    </row>
    <row r="221" spans="5:13" ht="15.75" customHeight="1">
      <c r="E221" s="236"/>
      <c r="F221" s="236"/>
      <c r="G221" s="236"/>
      <c r="H221" s="236"/>
      <c r="I221" s="236"/>
      <c r="J221" s="236"/>
      <c r="K221" s="232"/>
      <c r="L221" s="232"/>
      <c r="M221" s="232"/>
    </row>
    <row r="222" spans="5:13" ht="15.75" customHeight="1">
      <c r="E222" s="236"/>
      <c r="F222" s="236"/>
      <c r="G222" s="236"/>
      <c r="H222" s="236"/>
      <c r="I222" s="236"/>
      <c r="J222" s="236"/>
      <c r="K222" s="232"/>
      <c r="L222" s="232"/>
      <c r="M222" s="232"/>
    </row>
    <row r="223" spans="5:13" ht="15.75" customHeight="1">
      <c r="E223" s="236"/>
      <c r="F223" s="236"/>
      <c r="G223" s="236"/>
      <c r="H223" s="236"/>
      <c r="I223" s="236"/>
      <c r="J223" s="236"/>
      <c r="K223" s="232"/>
      <c r="L223" s="232"/>
      <c r="M223" s="232"/>
    </row>
    <row r="224" spans="5:13" ht="15.75" customHeight="1">
      <c r="E224" s="236"/>
      <c r="F224" s="236"/>
      <c r="G224" s="236"/>
      <c r="H224" s="236"/>
      <c r="I224" s="236"/>
      <c r="J224" s="236"/>
      <c r="K224" s="232"/>
      <c r="L224" s="232"/>
      <c r="M224" s="232"/>
    </row>
    <row r="225" spans="5:13" ht="15.75" customHeight="1">
      <c r="E225" s="236"/>
      <c r="F225" s="236"/>
      <c r="G225" s="236"/>
      <c r="H225" s="236"/>
      <c r="I225" s="236"/>
      <c r="J225" s="236"/>
      <c r="K225" s="232"/>
      <c r="L225" s="232"/>
      <c r="M225" s="232"/>
    </row>
    <row r="226" spans="5:13" ht="15.75" customHeight="1">
      <c r="E226" s="236"/>
      <c r="F226" s="236"/>
      <c r="G226" s="236"/>
      <c r="H226" s="236"/>
      <c r="I226" s="236"/>
      <c r="J226" s="236"/>
      <c r="K226" s="232"/>
      <c r="L226" s="232"/>
      <c r="M226" s="232"/>
    </row>
    <row r="227" spans="5:13" ht="15.75" customHeight="1">
      <c r="E227" s="236"/>
      <c r="F227" s="236"/>
      <c r="G227" s="236"/>
      <c r="H227" s="236"/>
      <c r="I227" s="236"/>
      <c r="J227" s="236"/>
      <c r="K227" s="232"/>
      <c r="L227" s="232"/>
      <c r="M227" s="232"/>
    </row>
    <row r="228" spans="5:13" ht="15.75" customHeight="1">
      <c r="E228" s="236"/>
      <c r="F228" s="236"/>
      <c r="G228" s="236"/>
      <c r="H228" s="236"/>
      <c r="I228" s="236"/>
      <c r="J228" s="236"/>
      <c r="K228" s="232"/>
      <c r="L228" s="232"/>
      <c r="M228" s="232"/>
    </row>
    <row r="229" spans="5:13" ht="15.75" customHeight="1">
      <c r="E229" s="236"/>
      <c r="F229" s="236"/>
      <c r="G229" s="236"/>
      <c r="H229" s="236"/>
      <c r="I229" s="236"/>
      <c r="J229" s="236"/>
      <c r="K229" s="232"/>
      <c r="L229" s="232"/>
      <c r="M229" s="232"/>
    </row>
    <row r="230" spans="5:13" ht="15.75" customHeight="1">
      <c r="E230" s="236"/>
      <c r="F230" s="236"/>
      <c r="G230" s="236"/>
      <c r="H230" s="236"/>
      <c r="I230" s="236"/>
      <c r="J230" s="236"/>
      <c r="K230" s="232"/>
      <c r="L230" s="232"/>
      <c r="M230" s="232"/>
    </row>
    <row r="231" spans="5:13" ht="15.75" customHeight="1">
      <c r="E231" s="236"/>
      <c r="F231" s="236"/>
      <c r="G231" s="236"/>
      <c r="H231" s="236"/>
      <c r="I231" s="236"/>
      <c r="J231" s="236"/>
      <c r="K231" s="232"/>
      <c r="L231" s="232"/>
      <c r="M231" s="232"/>
    </row>
    <row r="232" spans="5:13" ht="15.75" customHeight="1">
      <c r="E232" s="236"/>
      <c r="F232" s="236"/>
      <c r="G232" s="236"/>
      <c r="H232" s="236"/>
      <c r="I232" s="236"/>
      <c r="J232" s="236"/>
      <c r="K232" s="232"/>
      <c r="L232" s="232"/>
      <c r="M232" s="232"/>
    </row>
    <row r="233" spans="5:13" ht="15.75" customHeight="1">
      <c r="E233" s="236"/>
      <c r="F233" s="236"/>
      <c r="G233" s="236"/>
      <c r="H233" s="236"/>
      <c r="I233" s="236"/>
      <c r="J233" s="236"/>
      <c r="K233" s="232"/>
      <c r="L233" s="232"/>
      <c r="M233" s="232"/>
    </row>
    <row r="234" spans="5:13" ht="15.75" customHeight="1">
      <c r="E234" s="236"/>
      <c r="F234" s="236"/>
      <c r="G234" s="236"/>
      <c r="H234" s="236"/>
      <c r="I234" s="236"/>
      <c r="J234" s="236"/>
      <c r="K234" s="232"/>
      <c r="L234" s="232"/>
      <c r="M234" s="232"/>
    </row>
    <row r="235" spans="5:13" ht="15.75" customHeight="1">
      <c r="E235" s="236"/>
      <c r="F235" s="236"/>
      <c r="G235" s="236"/>
      <c r="H235" s="236"/>
      <c r="I235" s="236"/>
      <c r="J235" s="236"/>
      <c r="K235" s="232"/>
      <c r="L235" s="232"/>
      <c r="M235" s="232"/>
    </row>
    <row r="236" spans="5:13" ht="15.75" customHeight="1">
      <c r="E236" s="236"/>
      <c r="F236" s="236"/>
      <c r="G236" s="236"/>
      <c r="H236" s="236"/>
      <c r="I236" s="236"/>
      <c r="J236" s="236"/>
      <c r="K236" s="232"/>
      <c r="L236" s="232"/>
      <c r="M236" s="232"/>
    </row>
    <row r="237" spans="5:13" ht="15.75" customHeight="1">
      <c r="E237" s="236"/>
      <c r="F237" s="236"/>
      <c r="G237" s="236"/>
      <c r="H237" s="236"/>
      <c r="I237" s="236"/>
      <c r="J237" s="236"/>
      <c r="K237" s="232"/>
      <c r="L237" s="232"/>
      <c r="M237" s="232"/>
    </row>
    <row r="238" spans="5:13" ht="15.75" customHeight="1">
      <c r="E238" s="236"/>
      <c r="F238" s="236"/>
      <c r="G238" s="236"/>
      <c r="H238" s="236"/>
      <c r="I238" s="236"/>
      <c r="J238" s="236"/>
      <c r="K238" s="232"/>
      <c r="L238" s="232"/>
      <c r="M238" s="232"/>
    </row>
    <row r="239" spans="5:13" ht="15.75" customHeight="1">
      <c r="E239" s="236"/>
      <c r="F239" s="236"/>
      <c r="G239" s="236"/>
      <c r="H239" s="236"/>
      <c r="I239" s="236"/>
      <c r="J239" s="236"/>
      <c r="K239" s="232"/>
      <c r="L239" s="232"/>
      <c r="M239" s="232"/>
    </row>
    <row r="240" spans="5:13" ht="15.75" customHeight="1">
      <c r="E240" s="236"/>
      <c r="F240" s="236"/>
      <c r="G240" s="236"/>
      <c r="H240" s="236"/>
      <c r="I240" s="236"/>
      <c r="J240" s="236"/>
      <c r="K240" s="232"/>
      <c r="L240" s="232"/>
      <c r="M240" s="232"/>
    </row>
    <row r="241" spans="5:13" ht="15.75" customHeight="1">
      <c r="E241" s="236"/>
      <c r="F241" s="236"/>
      <c r="G241" s="236"/>
      <c r="H241" s="236"/>
      <c r="I241" s="236"/>
      <c r="J241" s="236"/>
      <c r="K241" s="232"/>
      <c r="L241" s="232"/>
      <c r="M241" s="232"/>
    </row>
    <row r="242" spans="5:13" ht="15.75" customHeight="1">
      <c r="E242" s="236"/>
      <c r="F242" s="236"/>
      <c r="G242" s="236"/>
      <c r="H242" s="236"/>
      <c r="I242" s="236"/>
      <c r="J242" s="236"/>
      <c r="K242" s="232"/>
      <c r="L242" s="232"/>
      <c r="M242" s="232"/>
    </row>
    <row r="243" spans="5:13" ht="15.75" customHeight="1">
      <c r="E243" s="236"/>
      <c r="F243" s="236"/>
      <c r="G243" s="236"/>
      <c r="H243" s="236"/>
      <c r="I243" s="236"/>
      <c r="J243" s="236"/>
      <c r="K243" s="232"/>
      <c r="L243" s="232"/>
      <c r="M243" s="232"/>
    </row>
    <row r="244" spans="5:13" ht="15.75" customHeight="1">
      <c r="E244" s="236"/>
      <c r="F244" s="236"/>
      <c r="G244" s="236"/>
      <c r="H244" s="236"/>
      <c r="I244" s="236"/>
      <c r="J244" s="236"/>
      <c r="K244" s="232"/>
      <c r="L244" s="232"/>
      <c r="M244" s="232"/>
    </row>
    <row r="245" spans="5:13" ht="15.75" customHeight="1">
      <c r="E245" s="236"/>
      <c r="F245" s="236"/>
      <c r="G245" s="236"/>
      <c r="H245" s="236"/>
      <c r="I245" s="236"/>
      <c r="J245" s="236"/>
      <c r="K245" s="232"/>
      <c r="L245" s="232"/>
      <c r="M245" s="232"/>
    </row>
    <row r="246" spans="5:13" ht="15.75" customHeight="1">
      <c r="E246" s="236"/>
      <c r="F246" s="236"/>
      <c r="G246" s="236"/>
      <c r="H246" s="236"/>
      <c r="I246" s="236"/>
      <c r="J246" s="236"/>
      <c r="K246" s="232"/>
      <c r="L246" s="232"/>
      <c r="M246" s="232"/>
    </row>
    <row r="247" spans="5:13" ht="15.75" customHeight="1">
      <c r="E247" s="236"/>
      <c r="F247" s="236"/>
      <c r="G247" s="236"/>
      <c r="H247" s="236"/>
      <c r="I247" s="236"/>
      <c r="J247" s="236"/>
      <c r="K247" s="232"/>
      <c r="L247" s="232"/>
      <c r="M247" s="232"/>
    </row>
    <row r="248" spans="5:13" ht="15.75" customHeight="1">
      <c r="E248" s="236"/>
      <c r="F248" s="236"/>
      <c r="G248" s="236"/>
      <c r="H248" s="236"/>
      <c r="I248" s="236"/>
      <c r="J248" s="236"/>
      <c r="K248" s="232"/>
      <c r="L248" s="232"/>
      <c r="M248" s="232"/>
    </row>
    <row r="249" spans="5:13" ht="15.75" customHeight="1">
      <c r="E249" s="236"/>
      <c r="F249" s="236"/>
      <c r="G249" s="236"/>
      <c r="H249" s="236"/>
      <c r="I249" s="236"/>
      <c r="J249" s="236"/>
      <c r="K249" s="232"/>
      <c r="L249" s="232"/>
      <c r="M249" s="232"/>
    </row>
    <row r="250" spans="5:13" ht="15.75" customHeight="1">
      <c r="E250" s="236"/>
      <c r="F250" s="236"/>
      <c r="G250" s="236"/>
      <c r="H250" s="236"/>
      <c r="I250" s="236"/>
      <c r="J250" s="236"/>
      <c r="K250" s="232"/>
      <c r="L250" s="232"/>
      <c r="M250" s="232"/>
    </row>
    <row r="251" spans="5:13" ht="15.75" customHeight="1">
      <c r="E251" s="236"/>
      <c r="F251" s="236"/>
      <c r="G251" s="236"/>
      <c r="H251" s="236"/>
      <c r="I251" s="236"/>
      <c r="J251" s="236"/>
      <c r="K251" s="232"/>
      <c r="L251" s="232"/>
      <c r="M251" s="232"/>
    </row>
    <row r="252" spans="5:13" ht="15.75" customHeight="1">
      <c r="E252" s="236"/>
      <c r="F252" s="236"/>
      <c r="G252" s="236"/>
      <c r="H252" s="236"/>
      <c r="I252" s="236"/>
      <c r="J252" s="236"/>
      <c r="K252" s="232"/>
      <c r="L252" s="232"/>
      <c r="M252" s="232"/>
    </row>
    <row r="253" spans="5:13" ht="15.75" customHeight="1">
      <c r="E253" s="236"/>
      <c r="F253" s="236"/>
      <c r="G253" s="236"/>
      <c r="H253" s="236"/>
      <c r="I253" s="236"/>
      <c r="J253" s="236"/>
      <c r="K253" s="232"/>
      <c r="L253" s="232"/>
      <c r="M253" s="232"/>
    </row>
    <row r="254" spans="5:13" ht="15.75" customHeight="1">
      <c r="E254" s="236"/>
      <c r="F254" s="236"/>
      <c r="G254" s="236"/>
      <c r="H254" s="236"/>
      <c r="I254" s="236"/>
      <c r="J254" s="236"/>
      <c r="K254" s="232"/>
      <c r="L254" s="232"/>
      <c r="M254" s="232"/>
    </row>
    <row r="255" spans="5:13" ht="15.75" customHeight="1">
      <c r="E255" s="236"/>
      <c r="F255" s="236"/>
      <c r="G255" s="236"/>
      <c r="H255" s="236"/>
      <c r="I255" s="236"/>
      <c r="J255" s="236"/>
      <c r="K255" s="232"/>
      <c r="L255" s="232"/>
      <c r="M255" s="232"/>
    </row>
    <row r="256" spans="5:13" ht="15.75" customHeight="1">
      <c r="E256" s="236"/>
      <c r="F256" s="236"/>
      <c r="G256" s="236"/>
      <c r="H256" s="236"/>
      <c r="I256" s="236"/>
      <c r="J256" s="236"/>
      <c r="K256" s="232"/>
      <c r="L256" s="232"/>
      <c r="M256" s="232"/>
    </row>
    <row r="257" spans="5:13" ht="15.75" customHeight="1">
      <c r="E257" s="236"/>
      <c r="F257" s="236"/>
      <c r="G257" s="236"/>
      <c r="H257" s="236"/>
      <c r="I257" s="236"/>
      <c r="J257" s="236"/>
      <c r="K257" s="232"/>
      <c r="L257" s="232"/>
      <c r="M257" s="232"/>
    </row>
    <row r="258" spans="5:13" ht="15.75" customHeight="1">
      <c r="E258" s="236"/>
      <c r="F258" s="236"/>
      <c r="G258" s="236"/>
      <c r="H258" s="236"/>
      <c r="I258" s="236"/>
      <c r="J258" s="236"/>
      <c r="K258" s="232"/>
      <c r="L258" s="232"/>
      <c r="M258" s="232"/>
    </row>
    <row r="259" spans="5:13" ht="15.75" customHeight="1">
      <c r="E259" s="236"/>
      <c r="F259" s="236"/>
      <c r="G259" s="236"/>
      <c r="H259" s="236"/>
      <c r="I259" s="236"/>
      <c r="J259" s="236"/>
      <c r="K259" s="232"/>
      <c r="L259" s="232"/>
      <c r="M259" s="232"/>
    </row>
    <row r="260" spans="5:13" ht="15.75" customHeight="1">
      <c r="E260" s="236"/>
      <c r="F260" s="236"/>
      <c r="G260" s="236"/>
      <c r="H260" s="236"/>
      <c r="I260" s="236"/>
      <c r="J260" s="236"/>
      <c r="K260" s="232"/>
      <c r="L260" s="232"/>
      <c r="M260" s="232"/>
    </row>
    <row r="261" spans="5:13" ht="15.75" customHeight="1">
      <c r="E261" s="236"/>
      <c r="F261" s="236"/>
      <c r="G261" s="236"/>
      <c r="H261" s="236"/>
      <c r="I261" s="236"/>
      <c r="J261" s="236"/>
      <c r="K261" s="232"/>
      <c r="L261" s="232"/>
      <c r="M261" s="232"/>
    </row>
    <row r="262" spans="5:13" ht="15.75" customHeight="1">
      <c r="E262" s="236"/>
      <c r="F262" s="236"/>
      <c r="G262" s="236"/>
      <c r="H262" s="236"/>
      <c r="I262" s="236"/>
      <c r="J262" s="236"/>
      <c r="K262" s="232"/>
      <c r="L262" s="232"/>
      <c r="M262" s="232"/>
    </row>
    <row r="263" spans="5:13" ht="15.75" customHeight="1">
      <c r="E263" s="236"/>
      <c r="F263" s="236"/>
      <c r="G263" s="236"/>
      <c r="H263" s="236"/>
      <c r="I263" s="236"/>
      <c r="J263" s="236"/>
      <c r="K263" s="232"/>
      <c r="L263" s="232"/>
      <c r="M263" s="232"/>
    </row>
    <row r="264" spans="5:13" ht="15.75" customHeight="1">
      <c r="E264" s="236"/>
      <c r="F264" s="236"/>
      <c r="G264" s="236"/>
      <c r="H264" s="236"/>
      <c r="I264" s="236"/>
      <c r="J264" s="236"/>
      <c r="K264" s="232"/>
      <c r="L264" s="232"/>
      <c r="M264" s="232"/>
    </row>
    <row r="265" spans="5:13" ht="15.75" customHeight="1">
      <c r="E265" s="236"/>
      <c r="F265" s="236"/>
      <c r="G265" s="236"/>
      <c r="H265" s="236"/>
      <c r="I265" s="236"/>
      <c r="J265" s="236"/>
      <c r="K265" s="232"/>
      <c r="L265" s="232"/>
      <c r="M265" s="232"/>
    </row>
    <row r="266" spans="5:13" ht="15.75" customHeight="1">
      <c r="E266" s="236"/>
      <c r="F266" s="236"/>
      <c r="G266" s="236"/>
      <c r="H266" s="236"/>
      <c r="I266" s="236"/>
      <c r="J266" s="236"/>
      <c r="K266" s="232"/>
      <c r="L266" s="232"/>
      <c r="M266" s="232"/>
    </row>
    <row r="267" spans="5:13" ht="15.75" customHeight="1">
      <c r="E267" s="236"/>
      <c r="F267" s="236"/>
      <c r="G267" s="236"/>
      <c r="H267" s="236"/>
      <c r="I267" s="236"/>
      <c r="J267" s="236"/>
      <c r="K267" s="232"/>
      <c r="L267" s="232"/>
      <c r="M267" s="232"/>
    </row>
    <row r="268" spans="5:13" ht="15.75" customHeight="1">
      <c r="E268" s="236"/>
      <c r="F268" s="236"/>
      <c r="G268" s="236"/>
      <c r="H268" s="236"/>
      <c r="I268" s="236"/>
      <c r="J268" s="236"/>
      <c r="K268" s="232"/>
      <c r="L268" s="232"/>
      <c r="M268" s="232"/>
    </row>
    <row r="269" spans="5:13" ht="15.75" customHeight="1">
      <c r="E269" s="236"/>
      <c r="F269" s="236"/>
      <c r="G269" s="236"/>
      <c r="H269" s="236"/>
      <c r="I269" s="236"/>
      <c r="J269" s="236"/>
      <c r="K269" s="232"/>
      <c r="L269" s="232"/>
      <c r="M269" s="232"/>
    </row>
    <row r="270" spans="5:13" ht="15.75" customHeight="1">
      <c r="E270" s="236"/>
      <c r="F270" s="236"/>
      <c r="G270" s="236"/>
      <c r="H270" s="236"/>
      <c r="I270" s="236"/>
      <c r="J270" s="236"/>
      <c r="K270" s="232"/>
      <c r="L270" s="232"/>
      <c r="M270" s="232"/>
    </row>
    <row r="271" spans="5:13" ht="15.75" customHeight="1">
      <c r="E271" s="236"/>
      <c r="F271" s="236"/>
      <c r="G271" s="236"/>
      <c r="H271" s="236"/>
      <c r="I271" s="236"/>
      <c r="J271" s="236"/>
      <c r="K271" s="232"/>
      <c r="L271" s="232"/>
      <c r="M271" s="232"/>
    </row>
    <row r="272" spans="5:13" ht="15.75" customHeight="1">
      <c r="E272" s="236"/>
      <c r="F272" s="236"/>
      <c r="G272" s="236"/>
      <c r="H272" s="236"/>
      <c r="I272" s="236"/>
      <c r="J272" s="236"/>
      <c r="K272" s="232"/>
      <c r="L272" s="232"/>
      <c r="M272" s="232"/>
    </row>
    <row r="273" spans="5:13" ht="15.75" customHeight="1">
      <c r="E273" s="236"/>
      <c r="F273" s="236"/>
      <c r="G273" s="236"/>
      <c r="H273" s="236"/>
      <c r="I273" s="236"/>
      <c r="J273" s="236"/>
      <c r="K273" s="232"/>
      <c r="L273" s="232"/>
      <c r="M273" s="232"/>
    </row>
    <row r="274" spans="5:13" ht="15.75" customHeight="1">
      <c r="E274" s="236"/>
      <c r="F274" s="236"/>
      <c r="G274" s="236"/>
      <c r="H274" s="236"/>
      <c r="I274" s="236"/>
      <c r="J274" s="236"/>
      <c r="K274" s="232"/>
      <c r="L274" s="232"/>
      <c r="M274" s="232"/>
    </row>
    <row r="275" spans="5:13" ht="15.75" customHeight="1">
      <c r="E275" s="236"/>
      <c r="F275" s="236"/>
      <c r="G275" s="236"/>
      <c r="H275" s="236"/>
      <c r="I275" s="236"/>
      <c r="J275" s="236"/>
      <c r="K275" s="232"/>
      <c r="L275" s="232"/>
      <c r="M275" s="232"/>
    </row>
    <row r="276" spans="5:13" ht="15.75" customHeight="1">
      <c r="E276" s="236"/>
      <c r="F276" s="236"/>
      <c r="G276" s="236"/>
      <c r="H276" s="236"/>
      <c r="I276" s="236"/>
      <c r="J276" s="236"/>
      <c r="K276" s="232"/>
      <c r="L276" s="232"/>
      <c r="M276" s="232"/>
    </row>
    <row r="277" spans="5:13" ht="15.75" customHeight="1">
      <c r="E277" s="236"/>
      <c r="F277" s="236"/>
      <c r="G277" s="236"/>
      <c r="H277" s="236"/>
      <c r="I277" s="236"/>
      <c r="J277" s="236"/>
      <c r="K277" s="232"/>
      <c r="L277" s="232"/>
      <c r="M277" s="232"/>
    </row>
    <row r="278" spans="5:13" ht="15.75" customHeight="1">
      <c r="E278" s="236"/>
      <c r="F278" s="236"/>
      <c r="G278" s="236"/>
      <c r="H278" s="236"/>
      <c r="I278" s="236"/>
      <c r="J278" s="236"/>
      <c r="K278" s="232"/>
      <c r="L278" s="232"/>
      <c r="M278" s="232"/>
    </row>
    <row r="279" spans="5:13" ht="15.75" customHeight="1">
      <c r="E279" s="236"/>
      <c r="F279" s="236"/>
      <c r="G279" s="236"/>
      <c r="H279" s="236"/>
      <c r="I279" s="236"/>
      <c r="J279" s="236"/>
      <c r="K279" s="232"/>
      <c r="L279" s="232"/>
      <c r="M279" s="232"/>
    </row>
    <row r="280" spans="5:13" ht="15.75" customHeight="1">
      <c r="E280" s="236"/>
      <c r="F280" s="236"/>
      <c r="G280" s="236"/>
      <c r="H280" s="236"/>
      <c r="I280" s="236"/>
      <c r="J280" s="236"/>
      <c r="K280" s="232"/>
      <c r="L280" s="232"/>
      <c r="M280" s="232"/>
    </row>
    <row r="281" spans="5:13" ht="15.75" customHeight="1">
      <c r="E281" s="236"/>
      <c r="F281" s="236"/>
      <c r="G281" s="236"/>
      <c r="H281" s="236"/>
      <c r="I281" s="236"/>
      <c r="J281" s="236"/>
      <c r="K281" s="232"/>
      <c r="L281" s="232"/>
      <c r="M281" s="232"/>
    </row>
    <row r="282" spans="5:13" ht="15.75" customHeight="1">
      <c r="E282" s="236"/>
      <c r="F282" s="236"/>
      <c r="G282" s="236"/>
      <c r="H282" s="236"/>
      <c r="I282" s="236"/>
      <c r="J282" s="236"/>
      <c r="K282" s="232"/>
      <c r="L282" s="232"/>
      <c r="M282" s="232"/>
    </row>
    <row r="283" spans="5:13" ht="15.75" customHeight="1">
      <c r="E283" s="236"/>
      <c r="F283" s="236"/>
      <c r="G283" s="236"/>
      <c r="H283" s="236"/>
      <c r="I283" s="236"/>
      <c r="J283" s="236"/>
      <c r="K283" s="232"/>
      <c r="L283" s="232"/>
      <c r="M283" s="232"/>
    </row>
    <row r="284" spans="5:13" ht="15.75" customHeight="1">
      <c r="E284" s="236"/>
      <c r="F284" s="236"/>
      <c r="G284" s="236"/>
      <c r="H284" s="236"/>
      <c r="I284" s="236"/>
      <c r="J284" s="236"/>
      <c r="K284" s="232"/>
      <c r="L284" s="232"/>
      <c r="M284" s="232"/>
    </row>
    <row r="285" spans="5:13" ht="15.75" customHeight="1">
      <c r="E285" s="236"/>
      <c r="F285" s="236"/>
      <c r="G285" s="236"/>
      <c r="H285" s="236"/>
      <c r="I285" s="236"/>
      <c r="J285" s="236"/>
      <c r="K285" s="232"/>
      <c r="L285" s="232"/>
      <c r="M285" s="232"/>
    </row>
    <row r="286" spans="5:13" ht="15.75" customHeight="1">
      <c r="E286" s="236"/>
      <c r="F286" s="236"/>
      <c r="G286" s="236"/>
      <c r="H286" s="236"/>
      <c r="I286" s="236"/>
      <c r="J286" s="236"/>
      <c r="K286" s="232"/>
      <c r="L286" s="232"/>
      <c r="M286" s="232"/>
    </row>
    <row r="287" spans="5:13" ht="15.75" customHeight="1">
      <c r="E287" s="236"/>
      <c r="F287" s="236"/>
      <c r="G287" s="236"/>
      <c r="H287" s="236"/>
      <c r="I287" s="236"/>
      <c r="J287" s="236"/>
      <c r="K287" s="232"/>
      <c r="L287" s="232"/>
      <c r="M287" s="232"/>
    </row>
    <row r="288" spans="5:13" ht="15.75" customHeight="1">
      <c r="E288" s="236"/>
      <c r="F288" s="236"/>
      <c r="G288" s="236"/>
      <c r="H288" s="236"/>
      <c r="I288" s="236"/>
      <c r="J288" s="236"/>
      <c r="K288" s="232"/>
      <c r="L288" s="232"/>
      <c r="M288" s="232"/>
    </row>
    <row r="289" spans="5:13" ht="15.75" customHeight="1">
      <c r="E289" s="236"/>
      <c r="F289" s="236"/>
      <c r="G289" s="236"/>
      <c r="H289" s="236"/>
      <c r="I289" s="236"/>
      <c r="J289" s="236"/>
      <c r="K289" s="232"/>
      <c r="L289" s="232"/>
      <c r="M289" s="232"/>
    </row>
    <row r="290" spans="5:13" ht="15.75" customHeight="1">
      <c r="E290" s="236"/>
      <c r="F290" s="236"/>
      <c r="G290" s="236"/>
      <c r="H290" s="236"/>
      <c r="I290" s="236"/>
      <c r="J290" s="236"/>
      <c r="K290" s="232"/>
      <c r="L290" s="232"/>
      <c r="M290" s="232"/>
    </row>
    <row r="291" spans="5:13" ht="15.75" customHeight="1">
      <c r="E291" s="236"/>
      <c r="F291" s="236"/>
      <c r="G291" s="236"/>
      <c r="H291" s="236"/>
      <c r="I291" s="236"/>
      <c r="J291" s="236"/>
      <c r="K291" s="232"/>
      <c r="L291" s="232"/>
      <c r="M291" s="232"/>
    </row>
    <row r="292" spans="5:13" ht="15.75" customHeight="1">
      <c r="E292" s="236"/>
      <c r="F292" s="236"/>
      <c r="G292" s="236"/>
      <c r="H292" s="236"/>
      <c r="I292" s="236"/>
      <c r="J292" s="236"/>
      <c r="K292" s="232"/>
      <c r="L292" s="232"/>
      <c r="M292" s="232"/>
    </row>
    <row r="293" spans="5:13" ht="15.75" customHeight="1">
      <c r="E293" s="236"/>
      <c r="F293" s="236"/>
      <c r="G293" s="236"/>
      <c r="H293" s="236"/>
      <c r="I293" s="236"/>
      <c r="J293" s="236"/>
      <c r="K293" s="232"/>
      <c r="L293" s="232"/>
      <c r="M293" s="232"/>
    </row>
    <row r="294" spans="5:13" ht="15.75" customHeight="1">
      <c r="E294" s="236"/>
      <c r="F294" s="236"/>
      <c r="G294" s="236"/>
      <c r="H294" s="236"/>
      <c r="I294" s="236"/>
      <c r="J294" s="236"/>
      <c r="K294" s="232"/>
      <c r="L294" s="232"/>
      <c r="M294" s="232"/>
    </row>
    <row r="295" spans="5:13" ht="15.75" customHeight="1">
      <c r="E295" s="236"/>
      <c r="F295" s="236"/>
      <c r="G295" s="236"/>
      <c r="H295" s="236"/>
      <c r="I295" s="236"/>
      <c r="J295" s="236"/>
      <c r="K295" s="232"/>
      <c r="L295" s="232"/>
      <c r="M295" s="232"/>
    </row>
    <row r="296" spans="5:13" ht="15.75" customHeight="1">
      <c r="E296" s="236"/>
      <c r="F296" s="236"/>
      <c r="G296" s="236"/>
      <c r="H296" s="236"/>
      <c r="I296" s="236"/>
      <c r="J296" s="236"/>
      <c r="K296" s="232"/>
      <c r="L296" s="232"/>
      <c r="M296" s="232"/>
    </row>
    <row r="297" spans="5:13" ht="15.75" customHeight="1">
      <c r="E297" s="236"/>
      <c r="F297" s="236"/>
      <c r="G297" s="236"/>
      <c r="H297" s="236"/>
      <c r="I297" s="236"/>
      <c r="J297" s="236"/>
      <c r="K297" s="232"/>
      <c r="L297" s="232"/>
      <c r="M297" s="232"/>
    </row>
    <row r="298" spans="5:13" ht="15.75" customHeight="1">
      <c r="E298" s="236"/>
      <c r="F298" s="236"/>
      <c r="G298" s="236"/>
      <c r="H298" s="236"/>
      <c r="I298" s="236"/>
      <c r="J298" s="236"/>
      <c r="K298" s="232"/>
      <c r="L298" s="232"/>
      <c r="M298" s="232"/>
    </row>
    <row r="299" spans="5:13" ht="15.75" customHeight="1">
      <c r="E299" s="236"/>
      <c r="F299" s="236"/>
      <c r="G299" s="236"/>
      <c r="H299" s="236"/>
      <c r="I299" s="236"/>
      <c r="J299" s="236"/>
      <c r="K299" s="232"/>
      <c r="L299" s="232"/>
      <c r="M299" s="232"/>
    </row>
    <row r="300" spans="5:13" ht="15.75" customHeight="1">
      <c r="E300" s="236"/>
      <c r="F300" s="236"/>
      <c r="G300" s="236"/>
      <c r="H300" s="236"/>
      <c r="I300" s="236"/>
      <c r="J300" s="236"/>
      <c r="K300" s="232"/>
      <c r="L300" s="232"/>
      <c r="M300" s="232"/>
    </row>
    <row r="301" spans="5:13" ht="15.75" customHeight="1">
      <c r="E301" s="236"/>
      <c r="F301" s="236"/>
      <c r="G301" s="236"/>
      <c r="H301" s="236"/>
      <c r="I301" s="236"/>
      <c r="J301" s="236"/>
      <c r="K301" s="232"/>
      <c r="L301" s="232"/>
      <c r="M301" s="232"/>
    </row>
    <row r="302" spans="5:13" ht="15.75" customHeight="1">
      <c r="E302" s="236"/>
      <c r="F302" s="236"/>
      <c r="G302" s="236"/>
      <c r="H302" s="236"/>
      <c r="I302" s="236"/>
      <c r="J302" s="236"/>
      <c r="K302" s="232"/>
      <c r="L302" s="232"/>
      <c r="M302" s="232"/>
    </row>
    <row r="303" spans="5:13" ht="15.75" customHeight="1">
      <c r="E303" s="236"/>
      <c r="F303" s="236"/>
      <c r="G303" s="236"/>
      <c r="H303" s="236"/>
      <c r="I303" s="236"/>
      <c r="J303" s="236"/>
      <c r="K303" s="232"/>
      <c r="L303" s="232"/>
      <c r="M303" s="232"/>
    </row>
    <row r="304" spans="5:13" ht="15.75" customHeight="1">
      <c r="E304" s="236"/>
      <c r="F304" s="236"/>
      <c r="G304" s="236"/>
      <c r="H304" s="236"/>
      <c r="I304" s="236"/>
      <c r="J304" s="236"/>
      <c r="K304" s="232"/>
      <c r="L304" s="232"/>
      <c r="M304" s="232"/>
    </row>
    <row r="305" spans="5:13" ht="15.75" customHeight="1">
      <c r="E305" s="236"/>
      <c r="F305" s="236"/>
      <c r="G305" s="236"/>
      <c r="H305" s="236"/>
      <c r="I305" s="236"/>
      <c r="J305" s="236"/>
      <c r="K305" s="232"/>
      <c r="L305" s="232"/>
      <c r="M305" s="232"/>
    </row>
    <row r="306" spans="5:13" ht="15.75" customHeight="1">
      <c r="E306" s="236"/>
      <c r="F306" s="236"/>
      <c r="G306" s="236"/>
      <c r="H306" s="236"/>
      <c r="I306" s="236"/>
      <c r="J306" s="236"/>
      <c r="K306" s="232"/>
      <c r="L306" s="232"/>
      <c r="M306" s="232"/>
    </row>
    <row r="307" spans="5:13" ht="15.75" customHeight="1">
      <c r="E307" s="236"/>
      <c r="F307" s="236"/>
      <c r="G307" s="236"/>
      <c r="H307" s="236"/>
      <c r="I307" s="236"/>
      <c r="J307" s="236"/>
      <c r="K307" s="232"/>
      <c r="L307" s="232"/>
      <c r="M307" s="232"/>
    </row>
    <row r="308" spans="5:13" ht="15.75" customHeight="1">
      <c r="E308" s="236"/>
      <c r="F308" s="236"/>
      <c r="G308" s="236"/>
      <c r="H308" s="236"/>
      <c r="I308" s="236"/>
      <c r="J308" s="236"/>
      <c r="K308" s="232"/>
      <c r="L308" s="232"/>
      <c r="M308" s="232"/>
    </row>
    <row r="309" spans="5:13" ht="15.75" customHeight="1">
      <c r="E309" s="236"/>
      <c r="F309" s="236"/>
      <c r="G309" s="236"/>
      <c r="H309" s="236"/>
      <c r="I309" s="236"/>
      <c r="J309" s="236"/>
      <c r="K309" s="232"/>
      <c r="L309" s="232"/>
      <c r="M309" s="232"/>
    </row>
    <row r="310" spans="5:13" ht="15.75" customHeight="1">
      <c r="E310" s="236"/>
      <c r="F310" s="236"/>
      <c r="G310" s="236"/>
      <c r="H310" s="236"/>
      <c r="I310" s="236"/>
      <c r="J310" s="236"/>
      <c r="K310" s="232"/>
      <c r="L310" s="232"/>
      <c r="M310" s="232"/>
    </row>
    <row r="311" spans="5:13" ht="15.75" customHeight="1">
      <c r="E311" s="236"/>
      <c r="F311" s="236"/>
      <c r="G311" s="236"/>
      <c r="H311" s="236"/>
      <c r="I311" s="236"/>
      <c r="J311" s="236"/>
      <c r="K311" s="232"/>
      <c r="L311" s="232"/>
      <c r="M311" s="232"/>
    </row>
    <row r="312" spans="5:13" ht="15.75" customHeight="1">
      <c r="E312" s="236"/>
      <c r="F312" s="236"/>
      <c r="G312" s="236"/>
      <c r="H312" s="236"/>
      <c r="I312" s="236"/>
      <c r="J312" s="236"/>
      <c r="K312" s="232"/>
      <c r="L312" s="232"/>
      <c r="M312" s="232"/>
    </row>
    <row r="313" spans="5:13" ht="15.75" customHeight="1">
      <c r="E313" s="236"/>
      <c r="F313" s="236"/>
      <c r="G313" s="236"/>
      <c r="H313" s="236"/>
      <c r="I313" s="236"/>
      <c r="J313" s="236"/>
      <c r="K313" s="232"/>
      <c r="L313" s="232"/>
      <c r="M313" s="232"/>
    </row>
    <row r="314" spans="5:13" ht="15.75" customHeight="1">
      <c r="E314" s="236"/>
      <c r="F314" s="236"/>
      <c r="G314" s="236"/>
      <c r="H314" s="236"/>
      <c r="I314" s="236"/>
      <c r="J314" s="236"/>
      <c r="K314" s="232"/>
      <c r="L314" s="232"/>
      <c r="M314" s="232"/>
    </row>
    <row r="315" spans="5:13" ht="15.75" customHeight="1">
      <c r="E315" s="236"/>
      <c r="F315" s="236"/>
      <c r="G315" s="236"/>
      <c r="H315" s="236"/>
      <c r="I315" s="236"/>
      <c r="J315" s="236"/>
      <c r="K315" s="232"/>
      <c r="L315" s="232"/>
      <c r="M315" s="232"/>
    </row>
    <row r="316" spans="5:13" ht="15.75" customHeight="1">
      <c r="E316" s="236"/>
      <c r="F316" s="236"/>
      <c r="G316" s="236"/>
      <c r="H316" s="236"/>
      <c r="I316" s="236"/>
      <c r="J316" s="236"/>
      <c r="K316" s="232"/>
      <c r="L316" s="232"/>
      <c r="M316" s="232"/>
    </row>
    <row r="317" spans="5:13" ht="15.75" customHeight="1">
      <c r="E317" s="236"/>
      <c r="F317" s="236"/>
      <c r="G317" s="236"/>
      <c r="H317" s="236"/>
      <c r="I317" s="236"/>
      <c r="J317" s="236"/>
      <c r="K317" s="232"/>
      <c r="L317" s="232"/>
      <c r="M317" s="232"/>
    </row>
    <row r="318" spans="5:13" ht="15.75" customHeight="1">
      <c r="E318" s="236"/>
      <c r="F318" s="236"/>
      <c r="G318" s="236"/>
      <c r="H318" s="236"/>
      <c r="I318" s="236"/>
      <c r="J318" s="236"/>
      <c r="K318" s="232"/>
      <c r="L318" s="232"/>
      <c r="M318" s="232"/>
    </row>
    <row r="319" spans="5:13" ht="15.75" customHeight="1">
      <c r="E319" s="236"/>
      <c r="F319" s="236"/>
      <c r="G319" s="236"/>
      <c r="H319" s="236"/>
      <c r="I319" s="236"/>
      <c r="J319" s="236"/>
      <c r="K319" s="232"/>
      <c r="L319" s="232"/>
      <c r="M319" s="232"/>
    </row>
    <row r="320" spans="5:13" ht="15.75" customHeight="1">
      <c r="E320" s="236"/>
      <c r="F320" s="236"/>
      <c r="G320" s="236"/>
      <c r="H320" s="236"/>
      <c r="I320" s="236"/>
      <c r="J320" s="236"/>
      <c r="K320" s="232"/>
      <c r="L320" s="232"/>
      <c r="M320" s="232"/>
    </row>
    <row r="321" spans="5:13" ht="15.75" customHeight="1">
      <c r="E321" s="236"/>
      <c r="F321" s="236"/>
      <c r="G321" s="236"/>
      <c r="H321" s="236"/>
      <c r="I321" s="236"/>
      <c r="J321" s="236"/>
      <c r="K321" s="232"/>
      <c r="L321" s="232"/>
      <c r="M321" s="232"/>
    </row>
    <row r="322" spans="5:13" ht="15.75" customHeight="1">
      <c r="E322" s="236"/>
      <c r="F322" s="236"/>
      <c r="G322" s="236"/>
      <c r="H322" s="236"/>
      <c r="I322" s="236"/>
      <c r="J322" s="236"/>
      <c r="K322" s="232"/>
      <c r="L322" s="232"/>
      <c r="M322" s="232"/>
    </row>
    <row r="323" spans="5:13" ht="15.75" customHeight="1">
      <c r="E323" s="236"/>
      <c r="F323" s="236"/>
      <c r="G323" s="236"/>
      <c r="H323" s="236"/>
      <c r="I323" s="236"/>
      <c r="J323" s="236"/>
      <c r="K323" s="232"/>
      <c r="L323" s="232"/>
      <c r="M323" s="232"/>
    </row>
    <row r="324" spans="5:13" ht="15.75" customHeight="1">
      <c r="E324" s="236"/>
      <c r="F324" s="236"/>
      <c r="G324" s="236"/>
      <c r="H324" s="236"/>
      <c r="I324" s="236"/>
      <c r="J324" s="236"/>
      <c r="K324" s="232"/>
      <c r="L324" s="232"/>
      <c r="M324" s="232"/>
    </row>
    <row r="325" spans="5:13" ht="15.75" customHeight="1">
      <c r="E325" s="236"/>
      <c r="F325" s="236"/>
      <c r="G325" s="236"/>
      <c r="H325" s="236"/>
      <c r="I325" s="236"/>
      <c r="J325" s="236"/>
      <c r="K325" s="232"/>
      <c r="L325" s="232"/>
      <c r="M325" s="232"/>
    </row>
    <row r="326" spans="5:13" ht="15.75" customHeight="1">
      <c r="E326" s="236"/>
      <c r="F326" s="236"/>
      <c r="G326" s="236"/>
      <c r="H326" s="236"/>
      <c r="I326" s="236"/>
      <c r="J326" s="236"/>
      <c r="K326" s="232"/>
      <c r="L326" s="232"/>
      <c r="M326" s="232"/>
    </row>
    <row r="327" spans="5:13" ht="15.75" customHeight="1">
      <c r="E327" s="236"/>
      <c r="F327" s="236"/>
      <c r="G327" s="236"/>
      <c r="H327" s="236"/>
      <c r="I327" s="236"/>
      <c r="J327" s="236"/>
      <c r="K327" s="232"/>
      <c r="L327" s="232"/>
      <c r="M327" s="232"/>
    </row>
    <row r="328" spans="5:13" ht="15.75" customHeight="1">
      <c r="E328" s="236"/>
      <c r="F328" s="236"/>
      <c r="G328" s="236"/>
      <c r="H328" s="236"/>
      <c r="I328" s="236"/>
      <c r="J328" s="236"/>
      <c r="K328" s="232"/>
      <c r="L328" s="232"/>
      <c r="M328" s="232"/>
    </row>
    <row r="329" spans="5:13" ht="15.75" customHeight="1">
      <c r="E329" s="236"/>
      <c r="F329" s="236"/>
      <c r="G329" s="236"/>
      <c r="H329" s="236"/>
      <c r="I329" s="236"/>
      <c r="J329" s="236"/>
      <c r="K329" s="232"/>
      <c r="L329" s="232"/>
      <c r="M329" s="232"/>
    </row>
    <row r="330" spans="5:13" ht="15.75" customHeight="1">
      <c r="E330" s="236"/>
      <c r="F330" s="236"/>
      <c r="G330" s="236"/>
      <c r="H330" s="236"/>
      <c r="I330" s="236"/>
      <c r="J330" s="236"/>
      <c r="K330" s="232"/>
      <c r="L330" s="232"/>
      <c r="M330" s="232"/>
    </row>
    <row r="331" spans="5:13" ht="15.75" customHeight="1">
      <c r="E331" s="236"/>
      <c r="F331" s="236"/>
      <c r="G331" s="236"/>
      <c r="H331" s="236"/>
      <c r="I331" s="236"/>
      <c r="J331" s="236"/>
      <c r="K331" s="232"/>
      <c r="L331" s="232"/>
      <c r="M331" s="232"/>
    </row>
    <row r="332" spans="5:13" ht="15.75" customHeight="1">
      <c r="E332" s="236"/>
      <c r="F332" s="236"/>
      <c r="G332" s="236"/>
      <c r="H332" s="236"/>
      <c r="I332" s="236"/>
      <c r="J332" s="236"/>
      <c r="K332" s="232"/>
      <c r="L332" s="232"/>
      <c r="M332" s="232"/>
    </row>
    <row r="333" spans="5:13" ht="15.75" customHeight="1">
      <c r="E333" s="236"/>
      <c r="F333" s="236"/>
      <c r="G333" s="236"/>
      <c r="H333" s="236"/>
      <c r="I333" s="236"/>
      <c r="J333" s="236"/>
      <c r="K333" s="232"/>
      <c r="L333" s="232"/>
      <c r="M333" s="232"/>
    </row>
    <row r="334" spans="5:13" ht="15.75" customHeight="1">
      <c r="E334" s="236"/>
      <c r="F334" s="236"/>
      <c r="G334" s="236"/>
      <c r="H334" s="236"/>
      <c r="I334" s="236"/>
      <c r="J334" s="236"/>
      <c r="K334" s="232"/>
      <c r="L334" s="232"/>
      <c r="M334" s="232"/>
    </row>
    <row r="335" spans="5:13" ht="15.75" customHeight="1">
      <c r="E335" s="236"/>
      <c r="F335" s="236"/>
      <c r="G335" s="236"/>
      <c r="H335" s="236"/>
      <c r="I335" s="236"/>
      <c r="J335" s="236"/>
      <c r="K335" s="232"/>
      <c r="L335" s="232"/>
      <c r="M335" s="232"/>
    </row>
    <row r="336" spans="5:13" ht="15.75" customHeight="1">
      <c r="E336" s="236"/>
      <c r="F336" s="236"/>
      <c r="G336" s="236"/>
      <c r="H336" s="236"/>
      <c r="I336" s="236"/>
      <c r="J336" s="236"/>
      <c r="K336" s="232"/>
      <c r="L336" s="232"/>
      <c r="M336" s="232"/>
    </row>
    <row r="337" spans="5:13" ht="15.75" customHeight="1">
      <c r="E337" s="236"/>
      <c r="F337" s="236"/>
      <c r="G337" s="236"/>
      <c r="H337" s="236"/>
      <c r="I337" s="236"/>
      <c r="J337" s="236"/>
      <c r="K337" s="232"/>
      <c r="L337" s="232"/>
      <c r="M337" s="232"/>
    </row>
    <row r="338" spans="5:13" ht="15.75" customHeight="1">
      <c r="E338" s="236"/>
      <c r="F338" s="236"/>
      <c r="G338" s="236"/>
      <c r="H338" s="236"/>
      <c r="I338" s="236"/>
      <c r="J338" s="236"/>
      <c r="K338" s="232"/>
      <c r="L338" s="232"/>
      <c r="M338" s="232"/>
    </row>
    <row r="339" spans="5:13" ht="15.75" customHeight="1">
      <c r="E339" s="236"/>
      <c r="F339" s="236"/>
      <c r="G339" s="236"/>
      <c r="H339" s="236"/>
      <c r="I339" s="236"/>
      <c r="J339" s="236"/>
      <c r="K339" s="232"/>
      <c r="L339" s="232"/>
      <c r="M339" s="232"/>
    </row>
    <row r="340" spans="5:13" ht="15.75" customHeight="1">
      <c r="E340" s="236"/>
      <c r="F340" s="236"/>
      <c r="G340" s="236"/>
      <c r="H340" s="236"/>
      <c r="I340" s="236"/>
      <c r="J340" s="236"/>
      <c r="K340" s="232"/>
      <c r="L340" s="232"/>
      <c r="M340" s="232"/>
    </row>
    <row r="341" spans="5:13" ht="15.75" customHeight="1">
      <c r="E341" s="236"/>
      <c r="F341" s="236"/>
      <c r="G341" s="236"/>
      <c r="H341" s="236"/>
      <c r="I341" s="236"/>
      <c r="J341" s="236"/>
      <c r="K341" s="232"/>
      <c r="L341" s="232"/>
      <c r="M341" s="232"/>
    </row>
    <row r="342" spans="5:13" ht="15.75" customHeight="1">
      <c r="E342" s="236"/>
      <c r="F342" s="236"/>
      <c r="G342" s="236"/>
      <c r="H342" s="236"/>
      <c r="I342" s="236"/>
      <c r="J342" s="236"/>
      <c r="K342" s="232"/>
      <c r="L342" s="232"/>
      <c r="M342" s="232"/>
    </row>
    <row r="343" spans="5:13" ht="15.75" customHeight="1">
      <c r="E343" s="236"/>
      <c r="F343" s="236"/>
      <c r="G343" s="236"/>
      <c r="H343" s="236"/>
      <c r="I343" s="236"/>
      <c r="J343" s="236"/>
      <c r="K343" s="232"/>
      <c r="L343" s="232"/>
      <c r="M343" s="232"/>
    </row>
    <row r="344" spans="5:13" ht="15.75" customHeight="1">
      <c r="E344" s="236"/>
      <c r="F344" s="236"/>
      <c r="G344" s="236"/>
      <c r="H344" s="236"/>
      <c r="I344" s="236"/>
      <c r="J344" s="236"/>
      <c r="K344" s="232"/>
      <c r="L344" s="232"/>
      <c r="M344" s="232"/>
    </row>
    <row r="345" spans="5:13" ht="15.75" customHeight="1">
      <c r="E345" s="236"/>
      <c r="F345" s="236"/>
      <c r="G345" s="236"/>
      <c r="H345" s="236"/>
      <c r="I345" s="236"/>
      <c r="J345" s="236"/>
      <c r="K345" s="232"/>
      <c r="L345" s="232"/>
      <c r="M345" s="232"/>
    </row>
    <row r="346" spans="5:13" ht="15.75" customHeight="1">
      <c r="E346" s="236"/>
      <c r="F346" s="236"/>
      <c r="G346" s="236"/>
      <c r="H346" s="236"/>
      <c r="I346" s="236"/>
      <c r="J346" s="236"/>
      <c r="K346" s="232"/>
      <c r="L346" s="232"/>
      <c r="M346" s="232"/>
    </row>
    <row r="347" spans="5:13" ht="15.75" customHeight="1">
      <c r="E347" s="236"/>
      <c r="F347" s="236"/>
      <c r="G347" s="236"/>
      <c r="H347" s="236"/>
      <c r="I347" s="236"/>
      <c r="J347" s="236"/>
      <c r="K347" s="232"/>
      <c r="L347" s="232"/>
      <c r="M347" s="232"/>
    </row>
    <row r="348" spans="5:13" ht="15.75" customHeight="1">
      <c r="E348" s="236"/>
      <c r="F348" s="236"/>
      <c r="G348" s="236"/>
      <c r="H348" s="236"/>
      <c r="I348" s="236"/>
      <c r="J348" s="236"/>
      <c r="K348" s="232"/>
      <c r="L348" s="232"/>
      <c r="M348" s="232"/>
    </row>
    <row r="349" spans="5:13" ht="15.75" customHeight="1">
      <c r="E349" s="236"/>
      <c r="F349" s="236"/>
      <c r="G349" s="236"/>
      <c r="H349" s="236"/>
      <c r="I349" s="236"/>
      <c r="J349" s="236"/>
      <c r="K349" s="232"/>
      <c r="L349" s="232"/>
      <c r="M349" s="232"/>
    </row>
    <row r="350" spans="5:13" ht="15.75" customHeight="1">
      <c r="E350" s="236"/>
      <c r="F350" s="236"/>
      <c r="G350" s="236"/>
      <c r="H350" s="236"/>
      <c r="I350" s="236"/>
      <c r="J350" s="236"/>
      <c r="K350" s="232"/>
      <c r="L350" s="232"/>
      <c r="M350" s="232"/>
    </row>
    <row r="351" spans="5:13" ht="15.75" customHeight="1">
      <c r="E351" s="236"/>
      <c r="F351" s="236"/>
      <c r="G351" s="236"/>
      <c r="H351" s="236"/>
      <c r="I351" s="236"/>
      <c r="J351" s="236"/>
      <c r="K351" s="232"/>
      <c r="L351" s="232"/>
      <c r="M351" s="232"/>
    </row>
    <row r="352" spans="5:13" ht="15.75" customHeight="1">
      <c r="E352" s="236"/>
      <c r="F352" s="236"/>
      <c r="G352" s="236"/>
      <c r="H352" s="236"/>
      <c r="I352" s="236"/>
      <c r="J352" s="236"/>
      <c r="K352" s="232"/>
      <c r="L352" s="232"/>
      <c r="M352" s="232"/>
    </row>
    <row r="353" spans="5:13" ht="15.75" customHeight="1">
      <c r="E353" s="236"/>
      <c r="F353" s="236"/>
      <c r="G353" s="236"/>
      <c r="H353" s="236"/>
      <c r="I353" s="236"/>
      <c r="J353" s="236"/>
      <c r="K353" s="232"/>
      <c r="L353" s="232"/>
      <c r="M353" s="232"/>
    </row>
    <row r="354" spans="5:13" ht="15.75" customHeight="1">
      <c r="E354" s="236"/>
      <c r="F354" s="236"/>
      <c r="G354" s="236"/>
      <c r="H354" s="236"/>
      <c r="I354" s="236"/>
      <c r="J354" s="236"/>
      <c r="K354" s="232"/>
      <c r="L354" s="232"/>
      <c r="M354" s="232"/>
    </row>
    <row r="355" spans="5:13" ht="15.75" customHeight="1">
      <c r="E355" s="236"/>
      <c r="F355" s="236"/>
      <c r="G355" s="236"/>
      <c r="H355" s="236"/>
      <c r="I355" s="236"/>
      <c r="J355" s="236"/>
      <c r="K355" s="232"/>
      <c r="L355" s="232"/>
      <c r="M355" s="232"/>
    </row>
    <row r="356" spans="5:13" ht="15.75" customHeight="1">
      <c r="E356" s="236"/>
      <c r="F356" s="236"/>
      <c r="G356" s="236"/>
      <c r="H356" s="236"/>
      <c r="I356" s="236"/>
      <c r="J356" s="236"/>
      <c r="K356" s="232"/>
      <c r="L356" s="232"/>
      <c r="M356" s="232"/>
    </row>
    <row r="357" spans="5:13" ht="15.75" customHeight="1">
      <c r="E357" s="236"/>
      <c r="F357" s="236"/>
      <c r="G357" s="236"/>
      <c r="H357" s="236"/>
      <c r="I357" s="236"/>
      <c r="J357" s="236"/>
      <c r="K357" s="232"/>
      <c r="L357" s="232"/>
      <c r="M357" s="232"/>
    </row>
    <row r="358" spans="5:13" ht="15.75" customHeight="1">
      <c r="E358" s="236"/>
      <c r="F358" s="236"/>
      <c r="G358" s="236"/>
      <c r="H358" s="236"/>
      <c r="I358" s="236"/>
      <c r="J358" s="236"/>
      <c r="K358" s="232"/>
      <c r="L358" s="232"/>
      <c r="M358" s="232"/>
    </row>
    <row r="359" spans="5:13" ht="15.75" customHeight="1">
      <c r="E359" s="236"/>
      <c r="F359" s="236"/>
      <c r="G359" s="236"/>
      <c r="H359" s="236"/>
      <c r="I359" s="236"/>
      <c r="J359" s="236"/>
      <c r="K359" s="232"/>
      <c r="L359" s="232"/>
      <c r="M359" s="232"/>
    </row>
    <row r="360" spans="5:13" ht="15.75" customHeight="1">
      <c r="E360" s="236"/>
      <c r="F360" s="236"/>
      <c r="G360" s="236"/>
      <c r="H360" s="236"/>
      <c r="I360" s="236"/>
      <c r="J360" s="236"/>
      <c r="K360" s="232"/>
      <c r="L360" s="232"/>
      <c r="M360" s="232"/>
    </row>
    <row r="361" spans="5:13" ht="15.75" customHeight="1">
      <c r="E361" s="236"/>
      <c r="F361" s="236"/>
      <c r="G361" s="236"/>
      <c r="H361" s="236"/>
      <c r="I361" s="236"/>
      <c r="J361" s="236"/>
      <c r="K361" s="232"/>
      <c r="L361" s="232"/>
      <c r="M361" s="232"/>
    </row>
    <row r="362" spans="5:13" ht="15.75" customHeight="1">
      <c r="E362" s="236"/>
      <c r="F362" s="236"/>
      <c r="G362" s="236"/>
      <c r="H362" s="236"/>
      <c r="I362" s="236"/>
      <c r="J362" s="236"/>
      <c r="K362" s="232"/>
      <c r="L362" s="232"/>
      <c r="M362" s="232"/>
    </row>
    <row r="363" spans="5:13" ht="15.75" customHeight="1">
      <c r="E363" s="236"/>
      <c r="F363" s="236"/>
      <c r="G363" s="236"/>
      <c r="H363" s="236"/>
      <c r="I363" s="236"/>
      <c r="J363" s="236"/>
      <c r="K363" s="232"/>
      <c r="L363" s="232"/>
      <c r="M363" s="232"/>
    </row>
    <row r="364" spans="5:13" ht="15.75" customHeight="1">
      <c r="E364" s="236"/>
      <c r="F364" s="236"/>
      <c r="G364" s="236"/>
      <c r="H364" s="236"/>
      <c r="I364" s="236"/>
      <c r="J364" s="236"/>
      <c r="K364" s="232"/>
      <c r="L364" s="232"/>
      <c r="M364" s="232"/>
    </row>
    <row r="365" spans="5:13" ht="15.75" customHeight="1">
      <c r="E365" s="236"/>
      <c r="F365" s="236"/>
      <c r="G365" s="236"/>
      <c r="H365" s="236"/>
      <c r="I365" s="236"/>
      <c r="J365" s="236"/>
      <c r="K365" s="232"/>
      <c r="L365" s="232"/>
      <c r="M365" s="232"/>
    </row>
    <row r="366" spans="5:13" ht="15.75" customHeight="1">
      <c r="E366" s="236"/>
      <c r="F366" s="236"/>
      <c r="G366" s="236"/>
      <c r="H366" s="236"/>
      <c r="I366" s="236"/>
      <c r="J366" s="236"/>
      <c r="K366" s="232"/>
      <c r="L366" s="232"/>
      <c r="M366" s="232"/>
    </row>
    <row r="367" spans="5:13" ht="15.75" customHeight="1">
      <c r="E367" s="236"/>
      <c r="F367" s="236"/>
      <c r="G367" s="236"/>
      <c r="H367" s="236"/>
      <c r="I367" s="236"/>
      <c r="J367" s="236"/>
      <c r="K367" s="232"/>
      <c r="L367" s="232"/>
      <c r="M367" s="232"/>
    </row>
    <row r="368" spans="5:13" ht="15.75" customHeight="1">
      <c r="E368" s="236"/>
      <c r="F368" s="236"/>
      <c r="G368" s="236"/>
      <c r="H368" s="236"/>
      <c r="I368" s="236"/>
      <c r="J368" s="236"/>
      <c r="K368" s="232"/>
      <c r="L368" s="232"/>
      <c r="M368" s="232"/>
    </row>
    <row r="369" spans="5:13" ht="15.75" customHeight="1">
      <c r="E369" s="236"/>
      <c r="F369" s="236"/>
      <c r="G369" s="236"/>
      <c r="H369" s="236"/>
      <c r="I369" s="236"/>
      <c r="J369" s="236"/>
      <c r="K369" s="232"/>
      <c r="L369" s="232"/>
      <c r="M369" s="232"/>
    </row>
    <row r="370" spans="5:13" ht="15.75" customHeight="1">
      <c r="E370" s="236"/>
      <c r="F370" s="236"/>
      <c r="G370" s="236"/>
      <c r="H370" s="236"/>
      <c r="I370" s="236"/>
      <c r="J370" s="236"/>
      <c r="K370" s="232"/>
      <c r="L370" s="232"/>
      <c r="M370" s="232"/>
    </row>
    <row r="371" spans="5:13" ht="15.75" customHeight="1">
      <c r="E371" s="236"/>
      <c r="F371" s="236"/>
      <c r="G371" s="236"/>
      <c r="H371" s="236"/>
      <c r="I371" s="236"/>
      <c r="J371" s="236"/>
      <c r="K371" s="232"/>
      <c r="L371" s="232"/>
      <c r="M371" s="232"/>
    </row>
    <row r="372" spans="5:13" ht="15.75" customHeight="1">
      <c r="E372" s="236"/>
      <c r="F372" s="236"/>
      <c r="G372" s="236"/>
      <c r="H372" s="236"/>
      <c r="I372" s="236"/>
      <c r="J372" s="236"/>
      <c r="K372" s="232"/>
      <c r="L372" s="232"/>
      <c r="M372" s="232"/>
    </row>
    <row r="373" spans="5:13" ht="15.75" customHeight="1">
      <c r="E373" s="236"/>
      <c r="F373" s="236"/>
      <c r="G373" s="236"/>
      <c r="H373" s="236"/>
      <c r="I373" s="236"/>
      <c r="J373" s="236"/>
      <c r="K373" s="232"/>
      <c r="L373" s="232"/>
      <c r="M373" s="232"/>
    </row>
    <row r="374" spans="5:13" ht="15.75" customHeight="1">
      <c r="E374" s="236"/>
      <c r="F374" s="236"/>
      <c r="G374" s="236"/>
      <c r="H374" s="236"/>
      <c r="I374" s="236"/>
      <c r="J374" s="236"/>
      <c r="K374" s="232"/>
      <c r="L374" s="232"/>
      <c r="M374" s="232"/>
    </row>
    <row r="375" spans="5:13" ht="15.75" customHeight="1">
      <c r="E375" s="236"/>
      <c r="F375" s="236"/>
      <c r="G375" s="236"/>
      <c r="H375" s="236"/>
      <c r="I375" s="236"/>
      <c r="J375" s="236"/>
      <c r="K375" s="232"/>
      <c r="L375" s="232"/>
      <c r="M375" s="232"/>
    </row>
    <row r="376" spans="5:13" ht="15.75" customHeight="1">
      <c r="E376" s="236"/>
      <c r="F376" s="236"/>
      <c r="G376" s="236"/>
      <c r="H376" s="236"/>
      <c r="I376" s="236"/>
      <c r="J376" s="236"/>
      <c r="K376" s="232"/>
      <c r="L376" s="232"/>
      <c r="M376" s="232"/>
    </row>
    <row r="377" spans="5:13" ht="15.75" customHeight="1">
      <c r="E377" s="236"/>
      <c r="F377" s="236"/>
      <c r="G377" s="236"/>
      <c r="H377" s="236"/>
      <c r="I377" s="236"/>
      <c r="J377" s="236"/>
      <c r="K377" s="232"/>
      <c r="L377" s="232"/>
      <c r="M377" s="232"/>
    </row>
    <row r="378" spans="5:13" ht="15.75" customHeight="1">
      <c r="E378" s="236"/>
      <c r="F378" s="236"/>
      <c r="G378" s="236"/>
      <c r="H378" s="236"/>
      <c r="I378" s="236"/>
      <c r="J378" s="236"/>
      <c r="K378" s="232"/>
      <c r="L378" s="232"/>
      <c r="M378" s="232"/>
    </row>
    <row r="379" spans="5:13" ht="15.75" customHeight="1">
      <c r="E379" s="236"/>
      <c r="F379" s="236"/>
      <c r="G379" s="236"/>
      <c r="H379" s="236"/>
      <c r="I379" s="236"/>
      <c r="J379" s="236"/>
      <c r="K379" s="232"/>
      <c r="L379" s="232"/>
      <c r="M379" s="232"/>
    </row>
    <row r="380" spans="5:13" ht="15.75" customHeight="1">
      <c r="E380" s="236"/>
      <c r="F380" s="236"/>
      <c r="G380" s="236"/>
      <c r="H380" s="236"/>
      <c r="I380" s="236"/>
      <c r="J380" s="236"/>
      <c r="K380" s="232"/>
      <c r="L380" s="232"/>
      <c r="M380" s="232"/>
    </row>
    <row r="381" spans="5:13" ht="15.75" customHeight="1">
      <c r="E381" s="236"/>
      <c r="F381" s="236"/>
      <c r="G381" s="236"/>
      <c r="H381" s="236"/>
      <c r="I381" s="236"/>
      <c r="J381" s="236"/>
      <c r="K381" s="232"/>
      <c r="L381" s="232"/>
      <c r="M381" s="232"/>
    </row>
    <row r="382" spans="5:13" ht="15.75" customHeight="1">
      <c r="E382" s="236"/>
      <c r="F382" s="236"/>
      <c r="G382" s="236"/>
      <c r="H382" s="236"/>
      <c r="I382" s="236"/>
      <c r="J382" s="236"/>
      <c r="K382" s="232"/>
      <c r="L382" s="232"/>
      <c r="M382" s="232"/>
    </row>
    <row r="383" spans="5:13" ht="15.75" customHeight="1">
      <c r="E383" s="236"/>
      <c r="F383" s="236"/>
      <c r="G383" s="236"/>
      <c r="H383" s="236"/>
      <c r="I383" s="236"/>
      <c r="J383" s="236"/>
      <c r="K383" s="232"/>
      <c r="L383" s="232"/>
      <c r="M383" s="232"/>
    </row>
    <row r="384" spans="5:13" ht="15.75" customHeight="1">
      <c r="E384" s="236"/>
      <c r="F384" s="236"/>
      <c r="G384" s="236"/>
      <c r="H384" s="236"/>
      <c r="I384" s="236"/>
      <c r="J384" s="236"/>
      <c r="K384" s="232"/>
      <c r="L384" s="232"/>
      <c r="M384" s="232"/>
    </row>
    <row r="385" spans="5:13" ht="15.75" customHeight="1">
      <c r="E385" s="236"/>
      <c r="F385" s="236"/>
      <c r="G385" s="236"/>
      <c r="H385" s="236"/>
      <c r="I385" s="236"/>
      <c r="J385" s="236"/>
      <c r="K385" s="232"/>
      <c r="L385" s="232"/>
      <c r="M385" s="232"/>
    </row>
    <row r="386" spans="5:13" ht="15.75" customHeight="1">
      <c r="E386" s="236"/>
      <c r="F386" s="236"/>
      <c r="G386" s="236"/>
      <c r="H386" s="236"/>
      <c r="I386" s="236"/>
      <c r="J386" s="236"/>
      <c r="K386" s="232"/>
      <c r="L386" s="232"/>
      <c r="M386" s="232"/>
    </row>
    <row r="387" spans="5:13" ht="15.75" customHeight="1">
      <c r="E387" s="236"/>
      <c r="F387" s="236"/>
      <c r="G387" s="236"/>
      <c r="H387" s="236"/>
      <c r="I387" s="236"/>
      <c r="J387" s="236"/>
      <c r="K387" s="232"/>
      <c r="L387" s="232"/>
      <c r="M387" s="232"/>
    </row>
    <row r="388" spans="5:13" ht="15.75" customHeight="1">
      <c r="E388" s="236"/>
      <c r="F388" s="236"/>
      <c r="G388" s="236"/>
      <c r="H388" s="236"/>
      <c r="I388" s="236"/>
      <c r="J388" s="236"/>
      <c r="K388" s="232"/>
      <c r="L388" s="232"/>
      <c r="M388" s="232"/>
    </row>
    <row r="389" spans="5:13" ht="15.75" customHeight="1">
      <c r="E389" s="236"/>
      <c r="F389" s="236"/>
      <c r="G389" s="236"/>
      <c r="H389" s="236"/>
      <c r="I389" s="236"/>
      <c r="J389" s="236"/>
      <c r="K389" s="232"/>
      <c r="L389" s="232"/>
      <c r="M389" s="232"/>
    </row>
    <row r="390" spans="5:13" ht="15.75" customHeight="1">
      <c r="E390" s="236"/>
      <c r="F390" s="236"/>
      <c r="G390" s="236"/>
      <c r="H390" s="236"/>
      <c r="I390" s="236"/>
      <c r="J390" s="236"/>
      <c r="K390" s="232"/>
      <c r="L390" s="232"/>
      <c r="M390" s="232"/>
    </row>
    <row r="391" spans="5:13" ht="15.75" customHeight="1">
      <c r="E391" s="236"/>
      <c r="F391" s="236"/>
      <c r="G391" s="236"/>
      <c r="H391" s="236"/>
      <c r="I391" s="236"/>
      <c r="J391" s="236"/>
      <c r="K391" s="232"/>
      <c r="L391" s="232"/>
      <c r="M391" s="232"/>
    </row>
    <row r="392" spans="5:13" ht="15.75" customHeight="1">
      <c r="E392" s="236"/>
      <c r="F392" s="236"/>
      <c r="G392" s="236"/>
      <c r="H392" s="236"/>
      <c r="I392" s="236"/>
      <c r="J392" s="236"/>
      <c r="K392" s="232"/>
      <c r="L392" s="232"/>
      <c r="M392" s="232"/>
    </row>
    <row r="393" spans="5:13" ht="15.75" customHeight="1">
      <c r="E393" s="236"/>
      <c r="F393" s="236"/>
      <c r="G393" s="236"/>
      <c r="H393" s="236"/>
      <c r="I393" s="236"/>
      <c r="J393" s="236"/>
      <c r="K393" s="232"/>
      <c r="L393" s="232"/>
      <c r="M393" s="232"/>
    </row>
    <row r="394" spans="5:13" ht="15.75" customHeight="1">
      <c r="E394" s="236"/>
      <c r="F394" s="236"/>
      <c r="G394" s="236"/>
      <c r="H394" s="236"/>
      <c r="I394" s="236"/>
      <c r="J394" s="236"/>
      <c r="K394" s="232"/>
      <c r="L394" s="232"/>
      <c r="M394" s="232"/>
    </row>
    <row r="395" spans="5:13" ht="15.75" customHeight="1">
      <c r="E395" s="236"/>
      <c r="F395" s="236"/>
      <c r="G395" s="236"/>
      <c r="H395" s="236"/>
      <c r="I395" s="236"/>
      <c r="J395" s="236"/>
      <c r="K395" s="232"/>
      <c r="L395" s="232"/>
      <c r="M395" s="232"/>
    </row>
    <row r="396" spans="5:13" ht="15.75" customHeight="1">
      <c r="E396" s="236"/>
      <c r="F396" s="236"/>
      <c r="G396" s="236"/>
      <c r="H396" s="236"/>
      <c r="I396" s="236"/>
      <c r="J396" s="236"/>
      <c r="K396" s="232"/>
      <c r="L396" s="232"/>
      <c r="M396" s="232"/>
    </row>
    <row r="397" spans="5:13" ht="15.75" customHeight="1">
      <c r="E397" s="236"/>
      <c r="F397" s="236"/>
      <c r="G397" s="236"/>
      <c r="H397" s="236"/>
      <c r="I397" s="236"/>
      <c r="J397" s="236"/>
      <c r="K397" s="232"/>
      <c r="L397" s="232"/>
      <c r="M397" s="232"/>
    </row>
    <row r="398" spans="5:13" ht="15.75" customHeight="1">
      <c r="E398" s="236"/>
      <c r="F398" s="236"/>
      <c r="G398" s="236"/>
      <c r="H398" s="236"/>
      <c r="I398" s="236"/>
      <c r="J398" s="236"/>
      <c r="K398" s="232"/>
      <c r="L398" s="232"/>
      <c r="M398" s="232"/>
    </row>
    <row r="399" spans="5:13" ht="15.75" customHeight="1">
      <c r="E399" s="236"/>
      <c r="F399" s="236"/>
      <c r="G399" s="236"/>
      <c r="H399" s="236"/>
      <c r="I399" s="236"/>
      <c r="J399" s="236"/>
      <c r="K399" s="232"/>
      <c r="L399" s="232"/>
      <c r="M399" s="232"/>
    </row>
    <row r="400" spans="5:13" ht="15.75" customHeight="1">
      <c r="E400" s="236"/>
      <c r="F400" s="236"/>
      <c r="G400" s="236"/>
      <c r="H400" s="236"/>
      <c r="I400" s="236"/>
      <c r="J400" s="236"/>
      <c r="K400" s="232"/>
      <c r="L400" s="232"/>
      <c r="M400" s="232"/>
    </row>
    <row r="401" spans="5:13" ht="15.75" customHeight="1">
      <c r="E401" s="236"/>
      <c r="F401" s="236"/>
      <c r="G401" s="236"/>
      <c r="H401" s="236"/>
      <c r="I401" s="236"/>
      <c r="J401" s="236"/>
      <c r="K401" s="232"/>
      <c r="L401" s="232"/>
      <c r="M401" s="232"/>
    </row>
    <row r="402" spans="5:13" ht="15.75" customHeight="1">
      <c r="E402" s="236"/>
      <c r="F402" s="236"/>
      <c r="G402" s="236"/>
      <c r="H402" s="236"/>
      <c r="I402" s="236"/>
      <c r="J402" s="236"/>
      <c r="K402" s="232"/>
      <c r="L402" s="232"/>
      <c r="M402" s="232"/>
    </row>
    <row r="403" spans="5:13" ht="15.75" customHeight="1">
      <c r="E403" s="236"/>
      <c r="F403" s="236"/>
      <c r="G403" s="236"/>
      <c r="H403" s="236"/>
      <c r="I403" s="236"/>
      <c r="J403" s="236"/>
      <c r="K403" s="232"/>
      <c r="L403" s="232"/>
      <c r="M403" s="232"/>
    </row>
    <row r="404" spans="5:13" ht="15.75" customHeight="1">
      <c r="E404" s="236"/>
      <c r="F404" s="236"/>
      <c r="G404" s="236"/>
      <c r="H404" s="236"/>
      <c r="I404" s="236"/>
      <c r="J404" s="236"/>
      <c r="K404" s="232"/>
      <c r="L404" s="232"/>
      <c r="M404" s="232"/>
    </row>
    <row r="405" spans="5:13" ht="15.75" customHeight="1">
      <c r="E405" s="236"/>
      <c r="F405" s="236"/>
      <c r="G405" s="236"/>
      <c r="H405" s="236"/>
      <c r="I405" s="236"/>
      <c r="J405" s="236"/>
      <c r="K405" s="232"/>
      <c r="L405" s="232"/>
      <c r="M405" s="232"/>
    </row>
    <row r="406" spans="5:13" ht="15.75" customHeight="1">
      <c r="E406" s="236"/>
      <c r="F406" s="236"/>
      <c r="G406" s="236"/>
      <c r="H406" s="236"/>
      <c r="I406" s="236"/>
      <c r="J406" s="236"/>
      <c r="K406" s="232"/>
      <c r="L406" s="232"/>
      <c r="M406" s="232"/>
    </row>
    <row r="407" spans="5:13" ht="15.75" customHeight="1">
      <c r="E407" s="236"/>
      <c r="F407" s="236"/>
      <c r="G407" s="236"/>
      <c r="H407" s="236"/>
      <c r="I407" s="236"/>
      <c r="J407" s="236"/>
      <c r="K407" s="232"/>
      <c r="L407" s="232"/>
      <c r="M407" s="232"/>
    </row>
    <row r="408" spans="5:13" ht="15.75" customHeight="1">
      <c r="E408" s="236"/>
      <c r="F408" s="236"/>
      <c r="G408" s="236"/>
      <c r="H408" s="236"/>
      <c r="I408" s="236"/>
      <c r="J408" s="236"/>
      <c r="K408" s="232"/>
      <c r="L408" s="232"/>
      <c r="M408" s="232"/>
    </row>
    <row r="409" spans="5:13" ht="15.75" customHeight="1">
      <c r="E409" s="236"/>
      <c r="F409" s="236"/>
      <c r="G409" s="236"/>
      <c r="H409" s="236"/>
      <c r="I409" s="236"/>
      <c r="J409" s="236"/>
      <c r="K409" s="232"/>
      <c r="L409" s="232"/>
      <c r="M409" s="232"/>
    </row>
    <row r="410" spans="5:13" ht="15.75" customHeight="1">
      <c r="E410" s="236"/>
      <c r="F410" s="236"/>
      <c r="G410" s="236"/>
      <c r="H410" s="236"/>
      <c r="I410" s="236"/>
      <c r="J410" s="236"/>
      <c r="K410" s="232"/>
      <c r="L410" s="232"/>
      <c r="M410" s="232"/>
    </row>
    <row r="411" spans="5:13" ht="15.75" customHeight="1">
      <c r="E411" s="236"/>
      <c r="F411" s="236"/>
      <c r="G411" s="236"/>
      <c r="H411" s="236"/>
      <c r="I411" s="236"/>
      <c r="J411" s="236"/>
      <c r="K411" s="232"/>
      <c r="L411" s="232"/>
      <c r="M411" s="232"/>
    </row>
    <row r="412" spans="5:13" ht="15.75" customHeight="1">
      <c r="E412" s="236"/>
      <c r="F412" s="236"/>
      <c r="G412" s="236"/>
      <c r="H412" s="236"/>
      <c r="I412" s="236"/>
      <c r="J412" s="236"/>
      <c r="K412" s="232"/>
      <c r="L412" s="232"/>
      <c r="M412" s="232"/>
    </row>
    <row r="413" spans="5:13" ht="15.75" customHeight="1">
      <c r="E413" s="236"/>
      <c r="F413" s="236"/>
      <c r="G413" s="236"/>
      <c r="H413" s="236"/>
      <c r="I413" s="236"/>
      <c r="J413" s="236"/>
      <c r="K413" s="232"/>
      <c r="L413" s="232"/>
      <c r="M413" s="232"/>
    </row>
    <row r="414" spans="5:13" ht="15.75" customHeight="1">
      <c r="E414" s="236"/>
      <c r="F414" s="236"/>
      <c r="G414" s="236"/>
      <c r="H414" s="236"/>
      <c r="I414" s="236"/>
      <c r="J414" s="236"/>
      <c r="K414" s="232"/>
      <c r="L414" s="232"/>
      <c r="M414" s="232"/>
    </row>
    <row r="415" spans="5:13" ht="15.75" customHeight="1">
      <c r="E415" s="236"/>
      <c r="F415" s="236"/>
      <c r="G415" s="236"/>
      <c r="H415" s="236"/>
      <c r="I415" s="236"/>
      <c r="J415" s="236"/>
      <c r="K415" s="232"/>
      <c r="L415" s="232"/>
      <c r="M415" s="232"/>
    </row>
    <row r="416" spans="5:13" ht="15.75" customHeight="1">
      <c r="E416" s="236"/>
      <c r="F416" s="236"/>
      <c r="G416" s="236"/>
      <c r="H416" s="236"/>
      <c r="I416" s="236"/>
      <c r="J416" s="236"/>
      <c r="K416" s="232"/>
      <c r="L416" s="232"/>
      <c r="M416" s="232"/>
    </row>
    <row r="417" spans="5:13" ht="15.75" customHeight="1">
      <c r="E417" s="236"/>
      <c r="F417" s="236"/>
      <c r="G417" s="236"/>
      <c r="H417" s="236"/>
      <c r="I417" s="236"/>
      <c r="J417" s="236"/>
      <c r="K417" s="232"/>
      <c r="L417" s="232"/>
      <c r="M417" s="232"/>
    </row>
    <row r="418" spans="5:13" ht="15.75" customHeight="1">
      <c r="E418" s="236"/>
      <c r="F418" s="236"/>
      <c r="G418" s="236"/>
      <c r="H418" s="236"/>
      <c r="I418" s="236"/>
      <c r="J418" s="236"/>
      <c r="K418" s="232"/>
      <c r="L418" s="232"/>
      <c r="M418" s="232"/>
    </row>
    <row r="419" spans="5:13" ht="15.75" customHeight="1">
      <c r="E419" s="236"/>
      <c r="F419" s="236"/>
      <c r="G419" s="236"/>
      <c r="H419" s="236"/>
      <c r="I419" s="236"/>
      <c r="J419" s="236"/>
      <c r="K419" s="232"/>
      <c r="L419" s="232"/>
      <c r="M419" s="232"/>
    </row>
    <row r="420" spans="5:13" ht="15.75" customHeight="1">
      <c r="E420" s="236"/>
      <c r="F420" s="236"/>
      <c r="G420" s="236"/>
      <c r="H420" s="236"/>
      <c r="I420" s="236"/>
      <c r="J420" s="236"/>
      <c r="K420" s="232"/>
      <c r="L420" s="232"/>
      <c r="M420" s="232"/>
    </row>
    <row r="421" spans="5:13" ht="15.75" customHeight="1">
      <c r="E421" s="236"/>
      <c r="F421" s="236"/>
      <c r="G421" s="236"/>
      <c r="H421" s="236"/>
      <c r="I421" s="236"/>
      <c r="J421" s="236"/>
      <c r="K421" s="232"/>
      <c r="L421" s="232"/>
      <c r="M421" s="232"/>
    </row>
    <row r="422" spans="5:13" ht="15.75" customHeight="1">
      <c r="E422" s="236"/>
      <c r="F422" s="236"/>
      <c r="G422" s="236"/>
      <c r="H422" s="236"/>
      <c r="I422" s="236"/>
      <c r="J422" s="236"/>
      <c r="K422" s="232"/>
      <c r="L422" s="232"/>
      <c r="M422" s="232"/>
    </row>
    <row r="423" spans="5:13" ht="15.75" customHeight="1">
      <c r="E423" s="236"/>
      <c r="F423" s="236"/>
      <c r="G423" s="236"/>
      <c r="H423" s="236"/>
      <c r="I423" s="236"/>
      <c r="J423" s="236"/>
      <c r="K423" s="232"/>
      <c r="L423" s="232"/>
      <c r="M423" s="232"/>
    </row>
    <row r="424" spans="5:13" ht="15.75" customHeight="1">
      <c r="E424" s="236"/>
      <c r="F424" s="236"/>
      <c r="G424" s="236"/>
      <c r="H424" s="236"/>
      <c r="I424" s="236"/>
      <c r="J424" s="236"/>
      <c r="K424" s="232"/>
      <c r="L424" s="232"/>
      <c r="M424" s="232"/>
    </row>
    <row r="425" spans="5:13" ht="15.75" customHeight="1">
      <c r="E425" s="236"/>
      <c r="F425" s="236"/>
      <c r="G425" s="236"/>
      <c r="H425" s="236"/>
      <c r="I425" s="236"/>
      <c r="J425" s="236"/>
      <c r="K425" s="232"/>
      <c r="L425" s="232"/>
      <c r="M425" s="232"/>
    </row>
    <row r="426" spans="5:13" ht="15.75" customHeight="1">
      <c r="E426" s="236"/>
      <c r="F426" s="236"/>
      <c r="G426" s="236"/>
      <c r="H426" s="236"/>
      <c r="I426" s="236"/>
      <c r="J426" s="236"/>
      <c r="K426" s="232"/>
      <c r="L426" s="232"/>
      <c r="M426" s="232"/>
    </row>
    <row r="427" spans="5:13" ht="15.75" customHeight="1">
      <c r="E427" s="236"/>
      <c r="F427" s="236"/>
      <c r="G427" s="236"/>
      <c r="H427" s="236"/>
      <c r="I427" s="236"/>
      <c r="J427" s="236"/>
      <c r="K427" s="232"/>
      <c r="L427" s="232"/>
      <c r="M427" s="232"/>
    </row>
    <row r="428" spans="5:13" ht="15.75" customHeight="1">
      <c r="E428" s="236"/>
      <c r="F428" s="236"/>
      <c r="G428" s="236"/>
      <c r="H428" s="236"/>
      <c r="I428" s="236"/>
      <c r="J428" s="236"/>
      <c r="K428" s="232"/>
      <c r="L428" s="232"/>
      <c r="M428" s="232"/>
    </row>
    <row r="429" spans="5:13" ht="15.75" customHeight="1">
      <c r="E429" s="236"/>
      <c r="F429" s="236"/>
      <c r="G429" s="236"/>
      <c r="H429" s="236"/>
      <c r="I429" s="236"/>
      <c r="J429" s="236"/>
      <c r="K429" s="232"/>
      <c r="L429" s="232"/>
      <c r="M429" s="232"/>
    </row>
    <row r="430" spans="5:13" ht="15.75" customHeight="1">
      <c r="E430" s="236"/>
      <c r="F430" s="236"/>
      <c r="G430" s="236"/>
      <c r="H430" s="236"/>
      <c r="I430" s="236"/>
      <c r="J430" s="236"/>
      <c r="K430" s="232"/>
      <c r="L430" s="232"/>
      <c r="M430" s="232"/>
    </row>
    <row r="431" spans="5:13" ht="15.75" customHeight="1">
      <c r="E431" s="236"/>
      <c r="F431" s="236"/>
      <c r="G431" s="236"/>
      <c r="H431" s="236"/>
      <c r="I431" s="236"/>
      <c r="J431" s="236"/>
      <c r="K431" s="232"/>
      <c r="L431" s="232"/>
      <c r="M431" s="232"/>
    </row>
    <row r="432" spans="5:13" ht="15.75" customHeight="1">
      <c r="E432" s="236"/>
      <c r="F432" s="236"/>
      <c r="G432" s="236"/>
      <c r="H432" s="236"/>
      <c r="I432" s="236"/>
      <c r="J432" s="236"/>
      <c r="K432" s="232"/>
      <c r="L432" s="232"/>
      <c r="M432" s="232"/>
    </row>
    <row r="433" spans="5:13" ht="15.75" customHeight="1">
      <c r="E433" s="236"/>
      <c r="F433" s="236"/>
      <c r="G433" s="236"/>
      <c r="H433" s="236"/>
      <c r="I433" s="236"/>
      <c r="J433" s="236"/>
      <c r="K433" s="232"/>
      <c r="L433" s="232"/>
      <c r="M433" s="232"/>
    </row>
    <row r="434" spans="5:13" ht="15.75" customHeight="1">
      <c r="E434" s="236"/>
      <c r="F434" s="236"/>
      <c r="G434" s="236"/>
      <c r="H434" s="236"/>
      <c r="I434" s="236"/>
      <c r="J434" s="236"/>
      <c r="K434" s="232"/>
      <c r="L434" s="232"/>
      <c r="M434" s="232"/>
    </row>
    <row r="435" spans="5:13" ht="15.75" customHeight="1">
      <c r="E435" s="236"/>
      <c r="F435" s="236"/>
      <c r="G435" s="236"/>
      <c r="H435" s="236"/>
      <c r="I435" s="236"/>
      <c r="J435" s="236"/>
      <c r="K435" s="232"/>
      <c r="L435" s="232"/>
      <c r="M435" s="232"/>
    </row>
    <row r="436" spans="5:13" ht="15.75" customHeight="1">
      <c r="E436" s="236"/>
      <c r="F436" s="236"/>
      <c r="G436" s="236"/>
      <c r="H436" s="236"/>
      <c r="I436" s="236"/>
      <c r="J436" s="236"/>
      <c r="K436" s="232"/>
      <c r="L436" s="232"/>
      <c r="M436" s="232"/>
    </row>
    <row r="437" spans="5:13" ht="15.75" customHeight="1">
      <c r="E437" s="236"/>
      <c r="F437" s="236"/>
      <c r="G437" s="236"/>
      <c r="H437" s="236"/>
      <c r="I437" s="236"/>
      <c r="J437" s="236"/>
      <c r="K437" s="232"/>
      <c r="L437" s="232"/>
      <c r="M437" s="232"/>
    </row>
    <row r="438" spans="5:13" ht="15.75" customHeight="1">
      <c r="E438" s="236"/>
      <c r="F438" s="236"/>
      <c r="G438" s="236"/>
      <c r="H438" s="236"/>
      <c r="I438" s="236"/>
      <c r="J438" s="236"/>
      <c r="K438" s="232"/>
      <c r="L438" s="232"/>
      <c r="M438" s="232"/>
    </row>
    <row r="439" spans="5:13" ht="15.75" customHeight="1">
      <c r="E439" s="236"/>
      <c r="F439" s="236"/>
      <c r="G439" s="236"/>
      <c r="H439" s="236"/>
      <c r="I439" s="236"/>
      <c r="J439" s="236"/>
      <c r="K439" s="232"/>
      <c r="L439" s="232"/>
      <c r="M439" s="232"/>
    </row>
    <row r="440" spans="5:13" ht="15.75" customHeight="1">
      <c r="E440" s="236"/>
      <c r="F440" s="236"/>
      <c r="G440" s="236"/>
      <c r="H440" s="236"/>
      <c r="I440" s="236"/>
      <c r="J440" s="236"/>
      <c r="K440" s="232"/>
      <c r="L440" s="232"/>
      <c r="M440" s="232"/>
    </row>
    <row r="441" spans="5:13" ht="15.75" customHeight="1">
      <c r="E441" s="236"/>
      <c r="F441" s="236"/>
      <c r="G441" s="236"/>
      <c r="H441" s="236"/>
      <c r="I441" s="236"/>
      <c r="J441" s="236"/>
      <c r="K441" s="232"/>
      <c r="L441" s="232"/>
      <c r="M441" s="232"/>
    </row>
    <row r="442" spans="5:13" ht="15.75" customHeight="1">
      <c r="E442" s="236"/>
      <c r="F442" s="236"/>
      <c r="G442" s="236"/>
      <c r="H442" s="236"/>
      <c r="I442" s="236"/>
      <c r="J442" s="236"/>
      <c r="K442" s="232"/>
      <c r="L442" s="232"/>
      <c r="M442" s="232"/>
    </row>
    <row r="443" spans="5:13" ht="15.75" customHeight="1">
      <c r="E443" s="236"/>
      <c r="F443" s="236"/>
      <c r="G443" s="236"/>
      <c r="H443" s="236"/>
      <c r="I443" s="236"/>
      <c r="J443" s="236"/>
      <c r="K443" s="232"/>
      <c r="L443" s="232"/>
      <c r="M443" s="232"/>
    </row>
    <row r="444" spans="5:13" ht="15.75" customHeight="1">
      <c r="E444" s="236"/>
      <c r="F444" s="236"/>
      <c r="G444" s="236"/>
      <c r="H444" s="236"/>
      <c r="I444" s="236"/>
      <c r="J444" s="236"/>
      <c r="K444" s="232"/>
      <c r="L444" s="232"/>
      <c r="M444" s="232"/>
    </row>
    <row r="445" spans="5:13" ht="15.75" customHeight="1">
      <c r="E445" s="236"/>
      <c r="F445" s="236"/>
      <c r="G445" s="236"/>
      <c r="H445" s="236"/>
      <c r="I445" s="236"/>
      <c r="J445" s="236"/>
      <c r="K445" s="232"/>
      <c r="L445" s="232"/>
      <c r="M445" s="232"/>
    </row>
    <row r="446" spans="5:13" ht="15.75" customHeight="1">
      <c r="E446" s="236"/>
      <c r="F446" s="236"/>
      <c r="G446" s="236"/>
      <c r="H446" s="236"/>
      <c r="I446" s="236"/>
      <c r="J446" s="236"/>
      <c r="K446" s="232"/>
      <c r="L446" s="232"/>
      <c r="M446" s="232"/>
    </row>
    <row r="447" spans="5:13" ht="15.75" customHeight="1">
      <c r="E447" s="236"/>
      <c r="F447" s="236"/>
      <c r="G447" s="236"/>
      <c r="H447" s="236"/>
      <c r="I447" s="236"/>
      <c r="J447" s="236"/>
      <c r="K447" s="232"/>
      <c r="L447" s="232"/>
      <c r="M447" s="232"/>
    </row>
    <row r="448" spans="5:13" ht="15.75" customHeight="1">
      <c r="E448" s="236"/>
      <c r="F448" s="236"/>
      <c r="G448" s="236"/>
      <c r="H448" s="236"/>
      <c r="I448" s="236"/>
      <c r="J448" s="236"/>
      <c r="K448" s="232"/>
      <c r="L448" s="232"/>
      <c r="M448" s="232"/>
    </row>
    <row r="449" spans="5:13" ht="15.75" customHeight="1">
      <c r="E449" s="236"/>
      <c r="F449" s="236"/>
      <c r="G449" s="236"/>
      <c r="H449" s="236"/>
      <c r="I449" s="236"/>
      <c r="J449" s="236"/>
      <c r="K449" s="232"/>
      <c r="L449" s="232"/>
      <c r="M449" s="232"/>
    </row>
    <row r="450" spans="5:13" ht="15.75" customHeight="1">
      <c r="E450" s="236"/>
      <c r="F450" s="236"/>
      <c r="G450" s="236"/>
      <c r="H450" s="236"/>
      <c r="I450" s="236"/>
      <c r="J450" s="236"/>
      <c r="K450" s="232"/>
      <c r="L450" s="232"/>
      <c r="M450" s="232"/>
    </row>
    <row r="451" spans="5:13" ht="15.75" customHeight="1">
      <c r="E451" s="236"/>
      <c r="F451" s="236"/>
      <c r="G451" s="236"/>
      <c r="H451" s="236"/>
      <c r="I451" s="236"/>
      <c r="J451" s="236"/>
      <c r="K451" s="232"/>
      <c r="L451" s="232"/>
      <c r="M451" s="232"/>
    </row>
    <row r="452" spans="5:13" ht="15.75" customHeight="1">
      <c r="E452" s="236"/>
      <c r="F452" s="236"/>
      <c r="G452" s="236"/>
      <c r="H452" s="236"/>
      <c r="I452" s="236"/>
      <c r="J452" s="236"/>
      <c r="K452" s="232"/>
      <c r="L452" s="232"/>
      <c r="M452" s="232"/>
    </row>
    <row r="453" spans="5:13" ht="15.75" customHeight="1">
      <c r="E453" s="236"/>
      <c r="F453" s="236"/>
      <c r="G453" s="236"/>
      <c r="H453" s="236"/>
      <c r="I453" s="236"/>
      <c r="J453" s="236"/>
      <c r="K453" s="232"/>
      <c r="L453" s="232"/>
      <c r="M453" s="232"/>
    </row>
    <row r="454" spans="5:13" ht="15.75" customHeight="1">
      <c r="E454" s="236"/>
      <c r="F454" s="236"/>
      <c r="G454" s="236"/>
      <c r="H454" s="236"/>
      <c r="I454" s="236"/>
      <c r="J454" s="236"/>
      <c r="K454" s="232"/>
      <c r="L454" s="232"/>
      <c r="M454" s="232"/>
    </row>
    <row r="455" spans="5:13" ht="15.75" customHeight="1">
      <c r="E455" s="236"/>
      <c r="F455" s="236"/>
      <c r="G455" s="236"/>
      <c r="H455" s="236"/>
      <c r="I455" s="236"/>
      <c r="J455" s="236"/>
      <c r="K455" s="232"/>
      <c r="L455" s="232"/>
      <c r="M455" s="232"/>
    </row>
    <row r="456" spans="5:13" ht="15.75" customHeight="1">
      <c r="E456" s="236"/>
      <c r="F456" s="236"/>
      <c r="G456" s="236"/>
      <c r="H456" s="236"/>
      <c r="I456" s="236"/>
      <c r="J456" s="236"/>
      <c r="K456" s="232"/>
      <c r="L456" s="232"/>
      <c r="M456" s="232"/>
    </row>
    <row r="457" spans="5:13" ht="15.75" customHeight="1">
      <c r="E457" s="236"/>
      <c r="F457" s="236"/>
      <c r="G457" s="236"/>
      <c r="H457" s="236"/>
      <c r="I457" s="236"/>
      <c r="J457" s="236"/>
      <c r="K457" s="232"/>
      <c r="L457" s="232"/>
      <c r="M457" s="232"/>
    </row>
    <row r="458" spans="5:13" ht="15.75" customHeight="1">
      <c r="E458" s="236"/>
      <c r="F458" s="236"/>
      <c r="G458" s="236"/>
      <c r="H458" s="236"/>
      <c r="I458" s="236"/>
      <c r="J458" s="236"/>
      <c r="K458" s="232"/>
      <c r="L458" s="232"/>
      <c r="M458" s="232"/>
    </row>
    <row r="459" spans="5:13" ht="15.75" customHeight="1">
      <c r="E459" s="236"/>
      <c r="F459" s="236"/>
      <c r="G459" s="236"/>
      <c r="H459" s="236"/>
      <c r="I459" s="236"/>
      <c r="J459" s="236"/>
      <c r="K459" s="232"/>
      <c r="L459" s="232"/>
      <c r="M459" s="232"/>
    </row>
    <row r="460" spans="5:13" ht="15.75" customHeight="1">
      <c r="E460" s="236"/>
      <c r="F460" s="236"/>
      <c r="G460" s="236"/>
      <c r="H460" s="236"/>
      <c r="I460" s="236"/>
      <c r="J460" s="236"/>
      <c r="K460" s="232"/>
      <c r="L460" s="232"/>
      <c r="M460" s="232"/>
    </row>
    <row r="461" spans="5:13" ht="15.75" customHeight="1">
      <c r="E461" s="236"/>
      <c r="F461" s="236"/>
      <c r="G461" s="236"/>
      <c r="H461" s="236"/>
      <c r="I461" s="236"/>
      <c r="J461" s="236"/>
      <c r="K461" s="232"/>
      <c r="L461" s="232"/>
      <c r="M461" s="232"/>
    </row>
    <row r="462" spans="5:13" ht="15.75" customHeight="1">
      <c r="E462" s="236"/>
      <c r="F462" s="236"/>
      <c r="G462" s="236"/>
      <c r="H462" s="236"/>
      <c r="I462" s="236"/>
      <c r="J462" s="236"/>
      <c r="K462" s="232"/>
      <c r="L462" s="232"/>
      <c r="M462" s="232"/>
    </row>
    <row r="463" spans="5:13" ht="15.75" customHeight="1">
      <c r="E463" s="236"/>
      <c r="F463" s="236"/>
      <c r="G463" s="236"/>
      <c r="H463" s="236"/>
      <c r="I463" s="236"/>
      <c r="J463" s="236"/>
      <c r="K463" s="232"/>
      <c r="L463" s="232"/>
      <c r="M463" s="232"/>
    </row>
    <row r="464" spans="5:13" ht="15.75" customHeight="1">
      <c r="E464" s="236"/>
      <c r="F464" s="236"/>
      <c r="G464" s="236"/>
      <c r="H464" s="236"/>
      <c r="I464" s="236"/>
      <c r="J464" s="236"/>
      <c r="K464" s="232"/>
      <c r="L464" s="232"/>
      <c r="M464" s="232"/>
    </row>
    <row r="465" spans="5:13" ht="15.75" customHeight="1">
      <c r="E465" s="236"/>
      <c r="F465" s="236"/>
      <c r="G465" s="236"/>
      <c r="H465" s="236"/>
      <c r="I465" s="236"/>
      <c r="J465" s="236"/>
      <c r="K465" s="232"/>
      <c r="L465" s="232"/>
      <c r="M465" s="232"/>
    </row>
    <row r="466" spans="5:13" ht="15.75" customHeight="1">
      <c r="E466" s="236"/>
      <c r="F466" s="236"/>
      <c r="G466" s="236"/>
      <c r="H466" s="236"/>
      <c r="I466" s="236"/>
      <c r="J466" s="236"/>
      <c r="K466" s="232"/>
      <c r="L466" s="232"/>
      <c r="M466" s="232"/>
    </row>
    <row r="467" spans="5:13" ht="15.75" customHeight="1">
      <c r="E467" s="236"/>
      <c r="F467" s="236"/>
      <c r="G467" s="236"/>
      <c r="H467" s="236"/>
      <c r="I467" s="236"/>
      <c r="J467" s="236"/>
      <c r="K467" s="232"/>
      <c r="L467" s="232"/>
      <c r="M467" s="232"/>
    </row>
    <row r="468" spans="5:13" ht="15.75" customHeight="1">
      <c r="E468" s="236"/>
      <c r="F468" s="236"/>
      <c r="G468" s="236"/>
      <c r="H468" s="236"/>
      <c r="I468" s="236"/>
      <c r="J468" s="236"/>
      <c r="K468" s="232"/>
      <c r="L468" s="232"/>
      <c r="M468" s="232"/>
    </row>
    <row r="469" spans="5:13" ht="15.75" customHeight="1">
      <c r="E469" s="236"/>
      <c r="F469" s="236"/>
      <c r="G469" s="236"/>
      <c r="H469" s="236"/>
      <c r="I469" s="236"/>
      <c r="J469" s="236"/>
      <c r="K469" s="232"/>
      <c r="L469" s="232"/>
      <c r="M469" s="232"/>
    </row>
    <row r="470" spans="5:13" ht="15.75" customHeight="1">
      <c r="E470" s="236"/>
      <c r="F470" s="236"/>
      <c r="G470" s="236"/>
      <c r="H470" s="236"/>
      <c r="I470" s="236"/>
      <c r="J470" s="236"/>
      <c r="K470" s="232"/>
      <c r="L470" s="232"/>
      <c r="M470" s="232"/>
    </row>
    <row r="471" spans="5:13" ht="15.75" customHeight="1">
      <c r="E471" s="236"/>
      <c r="F471" s="236"/>
      <c r="G471" s="236"/>
      <c r="H471" s="236"/>
      <c r="I471" s="236"/>
      <c r="J471" s="236"/>
      <c r="K471" s="232"/>
      <c r="L471" s="232"/>
      <c r="M471" s="232"/>
    </row>
    <row r="472" spans="5:13" ht="15.75" customHeight="1">
      <c r="E472" s="236"/>
      <c r="F472" s="236"/>
      <c r="G472" s="236"/>
      <c r="H472" s="236"/>
      <c r="I472" s="236"/>
      <c r="J472" s="236"/>
      <c r="K472" s="232"/>
      <c r="L472" s="232"/>
      <c r="M472" s="232"/>
    </row>
    <row r="473" spans="5:13" ht="15.75" customHeight="1">
      <c r="E473" s="236"/>
      <c r="F473" s="236"/>
      <c r="G473" s="236"/>
      <c r="H473" s="236"/>
      <c r="I473" s="236"/>
      <c r="J473" s="236"/>
      <c r="K473" s="232"/>
      <c r="L473" s="232"/>
      <c r="M473" s="232"/>
    </row>
    <row r="474" spans="5:13" ht="15.75" customHeight="1">
      <c r="E474" s="236"/>
      <c r="F474" s="236"/>
      <c r="G474" s="236"/>
      <c r="H474" s="236"/>
      <c r="I474" s="236"/>
      <c r="J474" s="236"/>
      <c r="K474" s="232"/>
      <c r="L474" s="232"/>
      <c r="M474" s="232"/>
    </row>
    <row r="475" spans="5:13" ht="15.75" customHeight="1">
      <c r="E475" s="236"/>
      <c r="F475" s="236"/>
      <c r="G475" s="236"/>
      <c r="H475" s="236"/>
      <c r="I475" s="236"/>
      <c r="J475" s="236"/>
      <c r="K475" s="232"/>
      <c r="L475" s="232"/>
      <c r="M475" s="232"/>
    </row>
    <row r="476" spans="5:13" ht="15.75" customHeight="1">
      <c r="E476" s="236"/>
      <c r="F476" s="236"/>
      <c r="G476" s="236"/>
      <c r="H476" s="236"/>
      <c r="I476" s="236"/>
      <c r="J476" s="236"/>
      <c r="K476" s="232"/>
      <c r="L476" s="232"/>
      <c r="M476" s="232"/>
    </row>
    <row r="477" spans="5:13" ht="15.75" customHeight="1">
      <c r="E477" s="236"/>
      <c r="F477" s="236"/>
      <c r="G477" s="236"/>
      <c r="H477" s="236"/>
      <c r="I477" s="236"/>
      <c r="J477" s="236"/>
      <c r="K477" s="232"/>
      <c r="L477" s="232"/>
      <c r="M477" s="232"/>
    </row>
    <row r="478" spans="5:13" ht="15.75" customHeight="1">
      <c r="E478" s="236"/>
      <c r="F478" s="236"/>
      <c r="G478" s="236"/>
      <c r="H478" s="236"/>
      <c r="I478" s="236"/>
      <c r="J478" s="236"/>
      <c r="K478" s="232"/>
      <c r="L478" s="232"/>
      <c r="M478" s="232"/>
    </row>
    <row r="479" spans="5:13" ht="15.75" customHeight="1">
      <c r="E479" s="236"/>
      <c r="F479" s="236"/>
      <c r="G479" s="236"/>
      <c r="H479" s="236"/>
      <c r="I479" s="236"/>
      <c r="J479" s="236"/>
      <c r="K479" s="232"/>
      <c r="L479" s="232"/>
      <c r="M479" s="232"/>
    </row>
    <row r="480" spans="5:13" ht="15.75" customHeight="1">
      <c r="E480" s="236"/>
      <c r="F480" s="236"/>
      <c r="G480" s="236"/>
      <c r="H480" s="236"/>
      <c r="I480" s="236"/>
      <c r="J480" s="236"/>
      <c r="K480" s="232"/>
      <c r="L480" s="232"/>
      <c r="M480" s="232"/>
    </row>
    <row r="481" spans="5:13" ht="15.75" customHeight="1">
      <c r="E481" s="236"/>
      <c r="F481" s="236"/>
      <c r="G481" s="236"/>
      <c r="H481" s="236"/>
      <c r="I481" s="236"/>
      <c r="J481" s="236"/>
      <c r="K481" s="232"/>
      <c r="L481" s="232"/>
      <c r="M481" s="232"/>
    </row>
    <row r="482" spans="5:13" ht="15.75" customHeight="1">
      <c r="E482" s="236"/>
      <c r="F482" s="236"/>
      <c r="G482" s="236"/>
      <c r="H482" s="236"/>
      <c r="I482" s="236"/>
      <c r="J482" s="236"/>
      <c r="K482" s="232"/>
      <c r="L482" s="232"/>
      <c r="M482" s="232"/>
    </row>
    <row r="483" spans="5:13" ht="15.75" customHeight="1">
      <c r="E483" s="236"/>
      <c r="F483" s="236"/>
      <c r="G483" s="236"/>
      <c r="H483" s="236"/>
      <c r="I483" s="236"/>
      <c r="J483" s="236"/>
      <c r="K483" s="232"/>
      <c r="L483" s="232"/>
      <c r="M483" s="232"/>
    </row>
    <row r="484" spans="5:13" ht="15.75" customHeight="1">
      <c r="E484" s="236"/>
      <c r="F484" s="236"/>
      <c r="G484" s="236"/>
      <c r="H484" s="236"/>
      <c r="I484" s="236"/>
      <c r="J484" s="236"/>
      <c r="K484" s="232"/>
      <c r="L484" s="232"/>
      <c r="M484" s="232"/>
    </row>
    <row r="485" spans="5:13" ht="15.75" customHeight="1">
      <c r="E485" s="236"/>
      <c r="F485" s="236"/>
      <c r="G485" s="236"/>
      <c r="H485" s="236"/>
      <c r="I485" s="236"/>
      <c r="J485" s="236"/>
      <c r="K485" s="232"/>
      <c r="L485" s="232"/>
      <c r="M485" s="232"/>
    </row>
    <row r="486" spans="5:13" ht="15.75" customHeight="1">
      <c r="E486" s="236"/>
      <c r="F486" s="236"/>
      <c r="G486" s="236"/>
      <c r="H486" s="236"/>
      <c r="I486" s="236"/>
      <c r="J486" s="236"/>
      <c r="K486" s="232"/>
      <c r="L486" s="232"/>
      <c r="M486" s="232"/>
    </row>
    <row r="487" spans="5:13" ht="15.75" customHeight="1">
      <c r="E487" s="236"/>
      <c r="F487" s="236"/>
      <c r="G487" s="236"/>
      <c r="H487" s="236"/>
      <c r="I487" s="236"/>
      <c r="J487" s="236"/>
      <c r="K487" s="232"/>
      <c r="L487" s="232"/>
      <c r="M487" s="232"/>
    </row>
    <row r="488" spans="5:13" ht="15.75" customHeight="1">
      <c r="E488" s="236"/>
      <c r="F488" s="236"/>
      <c r="G488" s="236"/>
      <c r="H488" s="236"/>
      <c r="I488" s="236"/>
      <c r="J488" s="236"/>
      <c r="K488" s="232"/>
      <c r="L488" s="232"/>
      <c r="M488" s="232"/>
    </row>
    <row r="489" spans="5:13" ht="15.75" customHeight="1">
      <c r="E489" s="236"/>
      <c r="F489" s="236"/>
      <c r="G489" s="236"/>
      <c r="H489" s="236"/>
      <c r="I489" s="236"/>
      <c r="J489" s="236"/>
      <c r="K489" s="232"/>
      <c r="L489" s="232"/>
      <c r="M489" s="232"/>
    </row>
    <row r="490" spans="5:13" ht="15.75" customHeight="1">
      <c r="E490" s="236"/>
      <c r="F490" s="236"/>
      <c r="G490" s="236"/>
      <c r="H490" s="236"/>
      <c r="I490" s="236"/>
      <c r="J490" s="236"/>
      <c r="K490" s="232"/>
      <c r="L490" s="232"/>
      <c r="M490" s="232"/>
    </row>
    <row r="491" spans="5:13" ht="15.75" customHeight="1">
      <c r="E491" s="236"/>
      <c r="F491" s="236"/>
      <c r="G491" s="236"/>
      <c r="H491" s="236"/>
      <c r="I491" s="236"/>
      <c r="J491" s="236"/>
      <c r="K491" s="232"/>
      <c r="L491" s="232"/>
      <c r="M491" s="232"/>
    </row>
    <row r="492" spans="5:13" ht="15.75" customHeight="1">
      <c r="E492" s="236"/>
      <c r="F492" s="236"/>
      <c r="G492" s="236"/>
      <c r="H492" s="236"/>
      <c r="I492" s="236"/>
      <c r="J492" s="236"/>
      <c r="K492" s="232"/>
      <c r="L492" s="232"/>
      <c r="M492" s="232"/>
    </row>
    <row r="493" spans="5:13" ht="15.75" customHeight="1">
      <c r="E493" s="236"/>
      <c r="F493" s="236"/>
      <c r="G493" s="236"/>
      <c r="H493" s="236"/>
      <c r="I493" s="236"/>
      <c r="J493" s="236"/>
      <c r="K493" s="232"/>
      <c r="L493" s="232"/>
      <c r="M493" s="232"/>
    </row>
    <row r="494" spans="5:13" ht="15.75" customHeight="1">
      <c r="E494" s="236"/>
      <c r="F494" s="236"/>
      <c r="G494" s="236"/>
      <c r="H494" s="236"/>
      <c r="I494" s="236"/>
      <c r="J494" s="236"/>
      <c r="K494" s="232"/>
      <c r="L494" s="232"/>
      <c r="M494" s="232"/>
    </row>
    <row r="495" spans="5:13" ht="15.75" customHeight="1">
      <c r="E495" s="236"/>
      <c r="F495" s="236"/>
      <c r="G495" s="236"/>
      <c r="H495" s="236"/>
      <c r="I495" s="236"/>
      <c r="J495" s="236"/>
      <c r="K495" s="232"/>
      <c r="L495" s="232"/>
      <c r="M495" s="232"/>
    </row>
    <row r="496" spans="5:13" ht="15.75" customHeight="1">
      <c r="E496" s="236"/>
      <c r="F496" s="236"/>
      <c r="G496" s="236"/>
      <c r="H496" s="236"/>
      <c r="I496" s="236"/>
      <c r="J496" s="236"/>
      <c r="K496" s="232"/>
      <c r="L496" s="232"/>
      <c r="M496" s="232"/>
    </row>
    <row r="497" spans="5:13" ht="15.75" customHeight="1">
      <c r="E497" s="236"/>
      <c r="F497" s="236"/>
      <c r="G497" s="236"/>
      <c r="H497" s="236"/>
      <c r="I497" s="236"/>
      <c r="J497" s="236"/>
      <c r="K497" s="232"/>
      <c r="L497" s="232"/>
      <c r="M497" s="232"/>
    </row>
    <row r="498" spans="5:13" ht="15.75" customHeight="1">
      <c r="E498" s="236"/>
      <c r="F498" s="236"/>
      <c r="G498" s="236"/>
      <c r="H498" s="236"/>
      <c r="I498" s="236"/>
      <c r="J498" s="236"/>
      <c r="K498" s="232"/>
      <c r="L498" s="232"/>
      <c r="M498" s="232"/>
    </row>
    <row r="499" spans="5:13" ht="15.75" customHeight="1">
      <c r="E499" s="236"/>
      <c r="F499" s="236"/>
      <c r="G499" s="236"/>
      <c r="H499" s="236"/>
      <c r="I499" s="236"/>
      <c r="J499" s="236"/>
      <c r="K499" s="232"/>
      <c r="L499" s="232"/>
      <c r="M499" s="232"/>
    </row>
    <row r="500" spans="5:13" ht="15.75" customHeight="1">
      <c r="E500" s="236"/>
      <c r="F500" s="236"/>
      <c r="G500" s="236"/>
      <c r="H500" s="236"/>
      <c r="I500" s="236"/>
      <c r="J500" s="236"/>
      <c r="K500" s="232"/>
      <c r="L500" s="232"/>
      <c r="M500" s="232"/>
    </row>
    <row r="501" spans="5:13" ht="15.75" customHeight="1">
      <c r="E501" s="236"/>
      <c r="F501" s="236"/>
      <c r="G501" s="236"/>
      <c r="H501" s="236"/>
      <c r="I501" s="236"/>
      <c r="J501" s="236"/>
      <c r="K501" s="232"/>
      <c r="L501" s="232"/>
      <c r="M501" s="232"/>
    </row>
    <row r="502" spans="5:13" ht="15.75" customHeight="1">
      <c r="E502" s="236"/>
      <c r="F502" s="236"/>
      <c r="G502" s="236"/>
      <c r="H502" s="236"/>
      <c r="I502" s="236"/>
      <c r="J502" s="236"/>
      <c r="K502" s="232"/>
      <c r="L502" s="232"/>
      <c r="M502" s="232"/>
    </row>
    <row r="503" spans="5:13" ht="15.75" customHeight="1">
      <c r="E503" s="236"/>
      <c r="F503" s="236"/>
      <c r="G503" s="236"/>
      <c r="H503" s="236"/>
      <c r="I503" s="236"/>
      <c r="J503" s="236"/>
      <c r="K503" s="232"/>
      <c r="L503" s="232"/>
      <c r="M503" s="232"/>
    </row>
    <row r="504" spans="5:13" ht="15.75" customHeight="1">
      <c r="E504" s="236"/>
      <c r="F504" s="236"/>
      <c r="G504" s="236"/>
      <c r="H504" s="236"/>
      <c r="I504" s="236"/>
      <c r="J504" s="236"/>
      <c r="K504" s="232"/>
      <c r="L504" s="232"/>
      <c r="M504" s="232"/>
    </row>
    <row r="505" spans="5:13" ht="15.75" customHeight="1">
      <c r="E505" s="236"/>
      <c r="F505" s="236"/>
      <c r="G505" s="236"/>
      <c r="H505" s="236"/>
      <c r="I505" s="236"/>
      <c r="J505" s="236"/>
      <c r="K505" s="232"/>
      <c r="L505" s="232"/>
      <c r="M505" s="232"/>
    </row>
    <row r="506" spans="5:13" ht="15.75" customHeight="1">
      <c r="E506" s="236"/>
      <c r="F506" s="236"/>
      <c r="G506" s="236"/>
      <c r="H506" s="236"/>
      <c r="I506" s="236"/>
      <c r="J506" s="236"/>
      <c r="K506" s="232"/>
      <c r="L506" s="232"/>
      <c r="M506" s="232"/>
    </row>
    <row r="507" spans="5:13" ht="15.75" customHeight="1">
      <c r="E507" s="236"/>
      <c r="F507" s="236"/>
      <c r="G507" s="236"/>
      <c r="H507" s="236"/>
      <c r="I507" s="236"/>
      <c r="J507" s="236"/>
      <c r="K507" s="232"/>
      <c r="L507" s="232"/>
      <c r="M507" s="232"/>
    </row>
    <row r="508" spans="5:13" ht="15.75" customHeight="1">
      <c r="E508" s="236"/>
      <c r="F508" s="236"/>
      <c r="G508" s="236"/>
      <c r="H508" s="236"/>
      <c r="I508" s="236"/>
      <c r="J508" s="236"/>
      <c r="K508" s="232"/>
      <c r="L508" s="232"/>
      <c r="M508" s="232"/>
    </row>
    <row r="509" spans="5:13" ht="15.75" customHeight="1">
      <c r="E509" s="236"/>
      <c r="F509" s="236"/>
      <c r="G509" s="236"/>
      <c r="H509" s="236"/>
      <c r="I509" s="236"/>
      <c r="J509" s="236"/>
      <c r="K509" s="232"/>
      <c r="L509" s="232"/>
      <c r="M509" s="232"/>
    </row>
    <row r="510" spans="5:13" ht="15.75" customHeight="1">
      <c r="E510" s="236"/>
      <c r="F510" s="236"/>
      <c r="G510" s="236"/>
      <c r="H510" s="236"/>
      <c r="I510" s="236"/>
      <c r="J510" s="236"/>
      <c r="K510" s="232"/>
      <c r="L510" s="232"/>
      <c r="M510" s="232"/>
    </row>
    <row r="511" spans="5:13" ht="15.75" customHeight="1">
      <c r="E511" s="236"/>
      <c r="F511" s="236"/>
      <c r="G511" s="236"/>
      <c r="H511" s="236"/>
      <c r="I511" s="236"/>
      <c r="J511" s="236"/>
      <c r="K511" s="232"/>
      <c r="L511" s="232"/>
      <c r="M511" s="232"/>
    </row>
    <row r="512" spans="5:13" ht="15.75" customHeight="1">
      <c r="E512" s="236"/>
      <c r="F512" s="236"/>
      <c r="G512" s="236"/>
      <c r="H512" s="236"/>
      <c r="I512" s="236"/>
      <c r="J512" s="236"/>
      <c r="K512" s="232"/>
      <c r="L512" s="232"/>
      <c r="M512" s="232"/>
    </row>
    <row r="513" spans="5:13" ht="15.75" customHeight="1">
      <c r="E513" s="236"/>
      <c r="F513" s="236"/>
      <c r="G513" s="236"/>
      <c r="H513" s="236"/>
      <c r="I513" s="236"/>
      <c r="J513" s="236"/>
      <c r="K513" s="232"/>
      <c r="L513" s="232"/>
      <c r="M513" s="232"/>
    </row>
    <row r="514" spans="5:13" ht="15.75" customHeight="1">
      <c r="E514" s="236"/>
      <c r="F514" s="236"/>
      <c r="G514" s="236"/>
      <c r="H514" s="236"/>
      <c r="I514" s="236"/>
      <c r="J514" s="236"/>
      <c r="K514" s="232"/>
      <c r="L514" s="232"/>
      <c r="M514" s="232"/>
    </row>
    <row r="515" spans="5:13" ht="15.75" customHeight="1">
      <c r="E515" s="236"/>
      <c r="F515" s="236"/>
      <c r="G515" s="236"/>
      <c r="H515" s="236"/>
      <c r="I515" s="236"/>
      <c r="J515" s="236"/>
      <c r="K515" s="232"/>
      <c r="L515" s="232"/>
      <c r="M515" s="232"/>
    </row>
    <row r="516" spans="5:13" ht="15.75" customHeight="1">
      <c r="E516" s="236"/>
      <c r="F516" s="236"/>
      <c r="G516" s="236"/>
      <c r="H516" s="236"/>
      <c r="I516" s="236"/>
      <c r="J516" s="236"/>
      <c r="K516" s="232"/>
      <c r="L516" s="232"/>
      <c r="M516" s="232"/>
    </row>
    <row r="517" spans="5:13" ht="15.75" customHeight="1">
      <c r="E517" s="236"/>
      <c r="F517" s="236"/>
      <c r="G517" s="236"/>
      <c r="H517" s="236"/>
      <c r="I517" s="236"/>
      <c r="J517" s="236"/>
      <c r="K517" s="232"/>
      <c r="L517" s="232"/>
      <c r="M517" s="232"/>
    </row>
    <row r="518" spans="5:13" ht="15.75" customHeight="1">
      <c r="E518" s="236"/>
      <c r="F518" s="236"/>
      <c r="G518" s="236"/>
      <c r="H518" s="236"/>
      <c r="I518" s="236"/>
      <c r="J518" s="236"/>
      <c r="K518" s="232"/>
      <c r="L518" s="232"/>
      <c r="M518" s="232"/>
    </row>
    <row r="519" spans="5:13" ht="15.75" customHeight="1">
      <c r="E519" s="236"/>
      <c r="F519" s="236"/>
      <c r="G519" s="236"/>
      <c r="H519" s="236"/>
      <c r="I519" s="236"/>
      <c r="J519" s="236"/>
      <c r="K519" s="232"/>
      <c r="L519" s="232"/>
      <c r="M519" s="232"/>
    </row>
    <row r="520" spans="5:13" ht="15.75" customHeight="1">
      <c r="E520" s="236"/>
      <c r="F520" s="236"/>
      <c r="G520" s="236"/>
      <c r="H520" s="236"/>
      <c r="I520" s="236"/>
      <c r="J520" s="236"/>
      <c r="K520" s="232"/>
      <c r="L520" s="232"/>
      <c r="M520" s="232"/>
    </row>
    <row r="521" spans="5:13" ht="15.75" customHeight="1">
      <c r="E521" s="236"/>
      <c r="F521" s="236"/>
      <c r="G521" s="236"/>
      <c r="H521" s="236"/>
      <c r="I521" s="236"/>
      <c r="J521" s="236"/>
      <c r="K521" s="232"/>
      <c r="L521" s="232"/>
      <c r="M521" s="232"/>
    </row>
    <row r="522" spans="5:13" ht="15.75" customHeight="1">
      <c r="E522" s="236"/>
      <c r="F522" s="236"/>
      <c r="G522" s="236"/>
      <c r="H522" s="236"/>
      <c r="I522" s="236"/>
      <c r="J522" s="236"/>
      <c r="K522" s="232"/>
      <c r="L522" s="232"/>
      <c r="M522" s="232"/>
    </row>
    <row r="523" spans="5:13" ht="15.75" customHeight="1">
      <c r="E523" s="236"/>
      <c r="F523" s="236"/>
      <c r="G523" s="236"/>
      <c r="H523" s="236"/>
      <c r="I523" s="236"/>
      <c r="J523" s="236"/>
      <c r="K523" s="232"/>
      <c r="L523" s="232"/>
      <c r="M523" s="232"/>
    </row>
    <row r="524" spans="5:13" ht="15.75" customHeight="1">
      <c r="E524" s="236"/>
      <c r="F524" s="236"/>
      <c r="G524" s="236"/>
      <c r="H524" s="236"/>
      <c r="I524" s="236"/>
      <c r="J524" s="236"/>
      <c r="K524" s="232"/>
      <c r="L524" s="232"/>
      <c r="M524" s="232"/>
    </row>
    <row r="525" spans="5:13" ht="15.75" customHeight="1">
      <c r="E525" s="236"/>
      <c r="F525" s="236"/>
      <c r="G525" s="236"/>
      <c r="H525" s="236"/>
      <c r="I525" s="236"/>
      <c r="J525" s="236"/>
      <c r="K525" s="232"/>
      <c r="L525" s="232"/>
      <c r="M525" s="232"/>
    </row>
    <row r="526" spans="5:13" ht="15.75" customHeight="1">
      <c r="E526" s="236"/>
      <c r="F526" s="236"/>
      <c r="G526" s="236"/>
      <c r="H526" s="236"/>
      <c r="I526" s="236"/>
      <c r="J526" s="236"/>
      <c r="K526" s="232"/>
      <c r="L526" s="232"/>
      <c r="M526" s="232"/>
    </row>
    <row r="527" spans="5:13" ht="15.75" customHeight="1">
      <c r="E527" s="236"/>
      <c r="F527" s="236"/>
      <c r="G527" s="236"/>
      <c r="H527" s="236"/>
      <c r="I527" s="236"/>
      <c r="J527" s="236"/>
      <c r="K527" s="232"/>
      <c r="L527" s="232"/>
      <c r="M527" s="232"/>
    </row>
    <row r="528" spans="5:13" ht="15.75" customHeight="1">
      <c r="E528" s="236"/>
      <c r="F528" s="236"/>
      <c r="G528" s="236"/>
      <c r="H528" s="236"/>
      <c r="I528" s="236"/>
      <c r="J528" s="236"/>
      <c r="K528" s="232"/>
      <c r="L528" s="232"/>
      <c r="M528" s="232"/>
    </row>
    <row r="529" spans="5:13" ht="15.75" customHeight="1">
      <c r="E529" s="236"/>
      <c r="F529" s="236"/>
      <c r="G529" s="236"/>
      <c r="H529" s="236"/>
      <c r="I529" s="236"/>
      <c r="J529" s="236"/>
      <c r="K529" s="232"/>
      <c r="L529" s="232"/>
      <c r="M529" s="232"/>
    </row>
    <row r="530" spans="5:13" ht="15.75" customHeight="1">
      <c r="E530" s="236"/>
      <c r="F530" s="236"/>
      <c r="G530" s="236"/>
      <c r="H530" s="236"/>
      <c r="I530" s="236"/>
      <c r="J530" s="236"/>
      <c r="K530" s="232"/>
      <c r="L530" s="232"/>
      <c r="M530" s="232"/>
    </row>
    <row r="531" spans="5:13" ht="15.75" customHeight="1">
      <c r="E531" s="236"/>
      <c r="F531" s="236"/>
      <c r="G531" s="236"/>
      <c r="H531" s="236"/>
      <c r="I531" s="236"/>
      <c r="J531" s="236"/>
      <c r="K531" s="232"/>
      <c r="L531" s="232"/>
      <c r="M531" s="232"/>
    </row>
    <row r="532" spans="5:13" ht="15.75" customHeight="1">
      <c r="E532" s="236"/>
      <c r="F532" s="236"/>
      <c r="G532" s="236"/>
      <c r="H532" s="236"/>
      <c r="I532" s="236"/>
      <c r="J532" s="236"/>
      <c r="K532" s="232"/>
      <c r="L532" s="232"/>
      <c r="M532" s="232"/>
    </row>
    <row r="533" spans="5:13" ht="15.75" customHeight="1">
      <c r="E533" s="236"/>
      <c r="F533" s="236"/>
      <c r="G533" s="236"/>
      <c r="H533" s="236"/>
      <c r="I533" s="236"/>
      <c r="J533" s="236"/>
      <c r="K533" s="232"/>
      <c r="L533" s="232"/>
      <c r="M533" s="232"/>
    </row>
    <row r="534" spans="5:13" ht="15.75" customHeight="1">
      <c r="E534" s="236"/>
      <c r="F534" s="236"/>
      <c r="G534" s="236"/>
      <c r="H534" s="236"/>
      <c r="I534" s="236"/>
      <c r="J534" s="236"/>
      <c r="K534" s="232"/>
      <c r="L534" s="232"/>
      <c r="M534" s="232"/>
    </row>
    <row r="535" spans="5:13" ht="15.75" customHeight="1">
      <c r="E535" s="236"/>
      <c r="F535" s="236"/>
      <c r="G535" s="236"/>
      <c r="H535" s="236"/>
      <c r="I535" s="236"/>
      <c r="J535" s="236"/>
      <c r="K535" s="232"/>
      <c r="L535" s="232"/>
      <c r="M535" s="232"/>
    </row>
    <row r="536" spans="5:13" ht="15.75" customHeight="1">
      <c r="E536" s="236"/>
      <c r="F536" s="236"/>
      <c r="G536" s="236"/>
      <c r="H536" s="236"/>
      <c r="I536" s="236"/>
      <c r="J536" s="236"/>
      <c r="K536" s="232"/>
      <c r="L536" s="232"/>
      <c r="M536" s="232"/>
    </row>
    <row r="537" spans="5:13" ht="15.75" customHeight="1">
      <c r="E537" s="236"/>
      <c r="F537" s="236"/>
      <c r="G537" s="236"/>
      <c r="H537" s="236"/>
      <c r="I537" s="236"/>
      <c r="J537" s="236"/>
      <c r="K537" s="232"/>
      <c r="L537" s="232"/>
      <c r="M537" s="232"/>
    </row>
    <row r="538" spans="5:13" ht="15.75" customHeight="1">
      <c r="E538" s="236"/>
      <c r="F538" s="236"/>
      <c r="G538" s="236"/>
      <c r="H538" s="236"/>
      <c r="I538" s="236"/>
      <c r="J538" s="236"/>
      <c r="K538" s="232"/>
      <c r="L538" s="232"/>
      <c r="M538" s="232"/>
    </row>
    <row r="539" spans="5:13" ht="15.75" customHeight="1">
      <c r="E539" s="236"/>
      <c r="F539" s="236"/>
      <c r="G539" s="236"/>
      <c r="H539" s="236"/>
      <c r="I539" s="236"/>
      <c r="J539" s="236"/>
      <c r="K539" s="232"/>
      <c r="L539" s="232"/>
      <c r="M539" s="232"/>
    </row>
    <row r="540" spans="5:13" ht="15.75" customHeight="1">
      <c r="E540" s="236"/>
      <c r="F540" s="236"/>
      <c r="G540" s="236"/>
      <c r="H540" s="236"/>
      <c r="I540" s="236"/>
      <c r="J540" s="236"/>
      <c r="K540" s="232"/>
      <c r="L540" s="232"/>
      <c r="M540" s="232"/>
    </row>
    <row r="541" spans="5:13" ht="15.75" customHeight="1">
      <c r="E541" s="236"/>
      <c r="F541" s="236"/>
      <c r="G541" s="236"/>
      <c r="H541" s="236"/>
      <c r="I541" s="236"/>
      <c r="J541" s="236"/>
      <c r="K541" s="232"/>
      <c r="L541" s="232"/>
      <c r="M541" s="232"/>
    </row>
    <row r="542" spans="5:13" ht="15.75" customHeight="1">
      <c r="E542" s="236"/>
      <c r="F542" s="236"/>
      <c r="G542" s="236"/>
      <c r="H542" s="236"/>
      <c r="I542" s="236"/>
      <c r="J542" s="236"/>
      <c r="K542" s="232"/>
      <c r="L542" s="232"/>
      <c r="M542" s="232"/>
    </row>
    <row r="543" spans="5:13" ht="15.75" customHeight="1">
      <c r="E543" s="236"/>
      <c r="F543" s="236"/>
      <c r="G543" s="236"/>
      <c r="H543" s="236"/>
      <c r="I543" s="236"/>
      <c r="J543" s="236"/>
      <c r="K543" s="232"/>
      <c r="L543" s="232"/>
      <c r="M543" s="232"/>
    </row>
    <row r="544" spans="5:13" ht="15.75" customHeight="1">
      <c r="E544" s="236"/>
      <c r="F544" s="236"/>
      <c r="G544" s="236"/>
      <c r="H544" s="236"/>
      <c r="I544" s="236"/>
      <c r="J544" s="236"/>
      <c r="K544" s="232"/>
      <c r="L544" s="232"/>
      <c r="M544" s="232"/>
    </row>
    <row r="545" spans="5:13" ht="15.75" customHeight="1">
      <c r="E545" s="236"/>
      <c r="F545" s="236"/>
      <c r="G545" s="236"/>
      <c r="H545" s="236"/>
      <c r="I545" s="236"/>
      <c r="J545" s="236"/>
      <c r="K545" s="232"/>
      <c r="L545" s="232"/>
      <c r="M545" s="232"/>
    </row>
    <row r="546" spans="5:13" ht="15.75" customHeight="1">
      <c r="E546" s="236"/>
      <c r="F546" s="236"/>
      <c r="G546" s="236"/>
      <c r="H546" s="236"/>
      <c r="I546" s="236"/>
      <c r="J546" s="236"/>
      <c r="K546" s="232"/>
      <c r="L546" s="232"/>
      <c r="M546" s="232"/>
    </row>
    <row r="547" spans="5:13" ht="15.75" customHeight="1">
      <c r="E547" s="236"/>
      <c r="F547" s="236"/>
      <c r="G547" s="236"/>
      <c r="H547" s="236"/>
      <c r="I547" s="236"/>
      <c r="J547" s="236"/>
      <c r="K547" s="232"/>
      <c r="L547" s="232"/>
      <c r="M547" s="232"/>
    </row>
    <row r="548" spans="5:13" ht="15.75" customHeight="1">
      <c r="E548" s="236"/>
      <c r="F548" s="236"/>
      <c r="G548" s="236"/>
      <c r="H548" s="236"/>
      <c r="I548" s="236"/>
      <c r="J548" s="236"/>
      <c r="K548" s="232"/>
      <c r="L548" s="232"/>
      <c r="M548" s="232"/>
    </row>
    <row r="549" spans="5:13" ht="15.75" customHeight="1">
      <c r="E549" s="236"/>
      <c r="F549" s="236"/>
      <c r="G549" s="236"/>
      <c r="H549" s="236"/>
      <c r="I549" s="236"/>
      <c r="J549" s="236"/>
      <c r="K549" s="232"/>
      <c r="L549" s="232"/>
      <c r="M549" s="232"/>
    </row>
    <row r="550" spans="5:13" ht="15.75" customHeight="1">
      <c r="E550" s="236"/>
      <c r="F550" s="236"/>
      <c r="G550" s="236"/>
      <c r="H550" s="236"/>
      <c r="I550" s="236"/>
      <c r="J550" s="236"/>
      <c r="K550" s="232"/>
      <c r="L550" s="232"/>
      <c r="M550" s="232"/>
    </row>
    <row r="551" spans="5:13" ht="15.75" customHeight="1">
      <c r="E551" s="236"/>
      <c r="F551" s="236"/>
      <c r="G551" s="236"/>
      <c r="H551" s="236"/>
      <c r="I551" s="236"/>
      <c r="J551" s="236"/>
      <c r="K551" s="232"/>
      <c r="L551" s="232"/>
      <c r="M551" s="232"/>
    </row>
    <row r="552" spans="5:13" ht="15.75" customHeight="1">
      <c r="E552" s="236"/>
      <c r="F552" s="236"/>
      <c r="G552" s="236"/>
      <c r="H552" s="236"/>
      <c r="I552" s="236"/>
      <c r="J552" s="236"/>
      <c r="K552" s="232"/>
      <c r="L552" s="232"/>
      <c r="M552" s="232"/>
    </row>
    <row r="553" spans="5:13" ht="15.75" customHeight="1">
      <c r="E553" s="236"/>
      <c r="F553" s="236"/>
      <c r="G553" s="236"/>
      <c r="H553" s="236"/>
      <c r="I553" s="236"/>
      <c r="J553" s="236"/>
      <c r="K553" s="232"/>
      <c r="L553" s="232"/>
      <c r="M553" s="232"/>
    </row>
    <row r="554" spans="5:13" ht="15.75" customHeight="1">
      <c r="E554" s="236"/>
      <c r="F554" s="236"/>
      <c r="G554" s="236"/>
      <c r="H554" s="236"/>
      <c r="I554" s="236"/>
      <c r="J554" s="236"/>
      <c r="K554" s="232"/>
      <c r="L554" s="232"/>
      <c r="M554" s="232"/>
    </row>
    <row r="555" spans="5:13" ht="15.75" customHeight="1">
      <c r="E555" s="236"/>
      <c r="F555" s="236"/>
      <c r="G555" s="236"/>
      <c r="H555" s="236"/>
      <c r="I555" s="236"/>
      <c r="J555" s="236"/>
      <c r="K555" s="232"/>
      <c r="L555" s="232"/>
      <c r="M555" s="232"/>
    </row>
    <row r="556" spans="5:13" ht="15.75" customHeight="1">
      <c r="E556" s="236"/>
      <c r="F556" s="236"/>
      <c r="G556" s="236"/>
      <c r="H556" s="236"/>
      <c r="I556" s="236"/>
      <c r="J556" s="236"/>
      <c r="K556" s="232"/>
      <c r="L556" s="232"/>
      <c r="M556" s="232"/>
    </row>
    <row r="557" spans="5:13" ht="15.75" customHeight="1">
      <c r="E557" s="236"/>
      <c r="F557" s="236"/>
      <c r="G557" s="236"/>
      <c r="H557" s="236"/>
      <c r="I557" s="236"/>
      <c r="J557" s="236"/>
      <c r="K557" s="232"/>
      <c r="L557" s="232"/>
      <c r="M557" s="232"/>
    </row>
    <row r="558" spans="5:13" ht="15.75" customHeight="1">
      <c r="E558" s="236"/>
      <c r="F558" s="236"/>
      <c r="G558" s="236"/>
      <c r="H558" s="236"/>
      <c r="I558" s="236"/>
      <c r="J558" s="236"/>
      <c r="K558" s="232"/>
      <c r="L558" s="232"/>
      <c r="M558" s="232"/>
    </row>
    <row r="559" spans="5:13" ht="15.75" customHeight="1">
      <c r="E559" s="236"/>
      <c r="F559" s="236"/>
      <c r="G559" s="236"/>
      <c r="H559" s="236"/>
      <c r="I559" s="236"/>
      <c r="J559" s="236"/>
      <c r="K559" s="232"/>
      <c r="L559" s="232"/>
      <c r="M559" s="232"/>
    </row>
    <row r="560" spans="5:13" ht="15.75" customHeight="1">
      <c r="E560" s="236"/>
      <c r="F560" s="236"/>
      <c r="G560" s="236"/>
      <c r="H560" s="236"/>
      <c r="I560" s="236"/>
      <c r="J560" s="236"/>
      <c r="K560" s="232"/>
      <c r="L560" s="232"/>
      <c r="M560" s="232"/>
    </row>
    <row r="561" spans="5:13" ht="15.75" customHeight="1">
      <c r="E561" s="236"/>
      <c r="F561" s="236"/>
      <c r="G561" s="236"/>
      <c r="H561" s="236"/>
      <c r="I561" s="236"/>
      <c r="J561" s="236"/>
      <c r="K561" s="232"/>
      <c r="L561" s="232"/>
      <c r="M561" s="232"/>
    </row>
    <row r="562" spans="5:13" ht="15.75" customHeight="1">
      <c r="E562" s="236"/>
      <c r="F562" s="236"/>
      <c r="G562" s="236"/>
      <c r="H562" s="236"/>
      <c r="I562" s="236"/>
      <c r="J562" s="236"/>
      <c r="K562" s="232"/>
      <c r="L562" s="232"/>
      <c r="M562" s="232"/>
    </row>
    <row r="563" spans="5:13" ht="15.75" customHeight="1">
      <c r="E563" s="236"/>
      <c r="F563" s="236"/>
      <c r="G563" s="236"/>
      <c r="H563" s="236"/>
      <c r="I563" s="236"/>
      <c r="J563" s="236"/>
      <c r="K563" s="232"/>
      <c r="L563" s="232"/>
      <c r="M563" s="232"/>
    </row>
    <row r="564" spans="5:13" ht="15.75" customHeight="1">
      <c r="E564" s="236"/>
      <c r="F564" s="236"/>
      <c r="G564" s="236"/>
      <c r="H564" s="236"/>
      <c r="I564" s="236"/>
      <c r="J564" s="236"/>
      <c r="K564" s="232"/>
      <c r="L564" s="232"/>
      <c r="M564" s="232"/>
    </row>
    <row r="565" spans="5:13" ht="15.75" customHeight="1">
      <c r="E565" s="236"/>
      <c r="F565" s="236"/>
      <c r="G565" s="236"/>
      <c r="H565" s="236"/>
      <c r="I565" s="236"/>
      <c r="J565" s="236"/>
      <c r="K565" s="232"/>
      <c r="L565" s="232"/>
      <c r="M565" s="232"/>
    </row>
    <row r="566" spans="5:13" ht="15.75" customHeight="1">
      <c r="E566" s="236"/>
      <c r="F566" s="236"/>
      <c r="G566" s="236"/>
      <c r="H566" s="236"/>
      <c r="I566" s="236"/>
      <c r="J566" s="236"/>
      <c r="K566" s="232"/>
      <c r="L566" s="232"/>
      <c r="M566" s="232"/>
    </row>
    <row r="567" spans="5:13" ht="15.75" customHeight="1">
      <c r="E567" s="236"/>
      <c r="F567" s="236"/>
      <c r="G567" s="236"/>
      <c r="H567" s="236"/>
      <c r="I567" s="236"/>
      <c r="J567" s="236"/>
      <c r="K567" s="232"/>
      <c r="L567" s="232"/>
      <c r="M567" s="232"/>
    </row>
    <row r="568" spans="5:13" ht="15.75" customHeight="1">
      <c r="E568" s="236"/>
      <c r="F568" s="236"/>
      <c r="G568" s="236"/>
      <c r="H568" s="236"/>
      <c r="I568" s="236"/>
      <c r="J568" s="236"/>
      <c r="K568" s="232"/>
      <c r="L568" s="232"/>
      <c r="M568" s="232"/>
    </row>
    <row r="569" spans="5:13" ht="15.75" customHeight="1">
      <c r="E569" s="236"/>
      <c r="F569" s="236"/>
      <c r="G569" s="236"/>
      <c r="H569" s="236"/>
      <c r="I569" s="236"/>
      <c r="J569" s="236"/>
      <c r="K569" s="232"/>
      <c r="L569" s="232"/>
      <c r="M569" s="232"/>
    </row>
    <row r="570" spans="5:13" ht="15.75" customHeight="1">
      <c r="E570" s="236"/>
      <c r="F570" s="236"/>
      <c r="G570" s="236"/>
      <c r="H570" s="236"/>
      <c r="I570" s="236"/>
      <c r="J570" s="236"/>
      <c r="K570" s="232"/>
      <c r="L570" s="232"/>
      <c r="M570" s="232"/>
    </row>
    <row r="571" spans="5:13" ht="15.75" customHeight="1">
      <c r="E571" s="236"/>
      <c r="F571" s="236"/>
      <c r="G571" s="236"/>
      <c r="H571" s="236"/>
      <c r="I571" s="236"/>
      <c r="J571" s="236"/>
      <c r="K571" s="232"/>
      <c r="L571" s="232"/>
      <c r="M571" s="232"/>
    </row>
    <row r="572" spans="5:13" ht="15.75" customHeight="1">
      <c r="E572" s="236"/>
      <c r="F572" s="236"/>
      <c r="G572" s="236"/>
      <c r="H572" s="236"/>
      <c r="I572" s="236"/>
      <c r="J572" s="236"/>
      <c r="K572" s="232"/>
      <c r="L572" s="232"/>
      <c r="M572" s="232"/>
    </row>
    <row r="573" spans="5:13" ht="15.75" customHeight="1">
      <c r="E573" s="236"/>
      <c r="F573" s="236"/>
      <c r="G573" s="236"/>
      <c r="H573" s="236"/>
      <c r="I573" s="236"/>
      <c r="J573" s="236"/>
      <c r="K573" s="232"/>
      <c r="L573" s="232"/>
      <c r="M573" s="232"/>
    </row>
    <row r="574" spans="5:13" ht="15.75" customHeight="1">
      <c r="E574" s="236"/>
      <c r="F574" s="236"/>
      <c r="G574" s="236"/>
      <c r="H574" s="236"/>
      <c r="I574" s="236"/>
      <c r="J574" s="236"/>
      <c r="K574" s="232"/>
      <c r="L574" s="232"/>
      <c r="M574" s="232"/>
    </row>
    <row r="575" spans="5:13" ht="15.75" customHeight="1">
      <c r="E575" s="236"/>
      <c r="F575" s="236"/>
      <c r="G575" s="236"/>
      <c r="H575" s="236"/>
      <c r="I575" s="236"/>
      <c r="J575" s="236"/>
      <c r="K575" s="232"/>
      <c r="L575" s="232"/>
      <c r="M575" s="232"/>
    </row>
    <row r="576" spans="5:13" ht="15.75" customHeight="1">
      <c r="E576" s="236"/>
      <c r="F576" s="236"/>
      <c r="G576" s="236"/>
      <c r="H576" s="236"/>
      <c r="I576" s="236"/>
      <c r="J576" s="236"/>
      <c r="K576" s="232"/>
      <c r="L576" s="232"/>
      <c r="M576" s="232"/>
    </row>
    <row r="577" spans="5:13" ht="15.75" customHeight="1">
      <c r="E577" s="236"/>
      <c r="F577" s="236"/>
      <c r="G577" s="236"/>
      <c r="H577" s="236"/>
      <c r="I577" s="236"/>
      <c r="J577" s="236"/>
      <c r="K577" s="232"/>
      <c r="L577" s="232"/>
      <c r="M577" s="232"/>
    </row>
    <row r="578" spans="5:13" ht="15.75" customHeight="1">
      <c r="E578" s="236"/>
      <c r="F578" s="236"/>
      <c r="G578" s="236"/>
      <c r="H578" s="236"/>
      <c r="I578" s="236"/>
      <c r="J578" s="236"/>
      <c r="K578" s="232"/>
      <c r="L578" s="232"/>
      <c r="M578" s="232"/>
    </row>
    <row r="579" spans="5:13" ht="15.75" customHeight="1">
      <c r="E579" s="236"/>
      <c r="F579" s="236"/>
      <c r="G579" s="236"/>
      <c r="H579" s="236"/>
      <c r="I579" s="236"/>
      <c r="J579" s="236"/>
      <c r="K579" s="232"/>
      <c r="L579" s="232"/>
      <c r="M579" s="232"/>
    </row>
    <row r="580" spans="5:13" ht="15.75" customHeight="1">
      <c r="E580" s="236"/>
      <c r="F580" s="236"/>
      <c r="G580" s="236"/>
      <c r="H580" s="236"/>
      <c r="I580" s="236"/>
      <c r="J580" s="236"/>
      <c r="K580" s="232"/>
      <c r="L580" s="232"/>
      <c r="M580" s="232"/>
    </row>
    <row r="581" spans="5:13" ht="15.75" customHeight="1">
      <c r="E581" s="236"/>
      <c r="F581" s="236"/>
      <c r="G581" s="236"/>
      <c r="H581" s="236"/>
      <c r="I581" s="236"/>
      <c r="J581" s="236"/>
      <c r="K581" s="232"/>
      <c r="L581" s="232"/>
      <c r="M581" s="232"/>
    </row>
    <row r="582" spans="5:13" ht="15.75" customHeight="1">
      <c r="E582" s="236"/>
      <c r="F582" s="236"/>
      <c r="G582" s="236"/>
      <c r="H582" s="236"/>
      <c r="I582" s="236"/>
      <c r="J582" s="236"/>
      <c r="K582" s="232"/>
      <c r="L582" s="232"/>
      <c r="M582" s="232"/>
    </row>
    <row r="583" spans="5:13" ht="15.75" customHeight="1">
      <c r="E583" s="236"/>
      <c r="F583" s="236"/>
      <c r="G583" s="236"/>
      <c r="H583" s="236"/>
      <c r="I583" s="236"/>
      <c r="J583" s="236"/>
      <c r="K583" s="232"/>
      <c r="L583" s="232"/>
      <c r="M583" s="232"/>
    </row>
    <row r="584" spans="5:13" ht="15.75" customHeight="1">
      <c r="E584" s="236"/>
      <c r="F584" s="236"/>
      <c r="G584" s="236"/>
      <c r="H584" s="236"/>
      <c r="I584" s="236"/>
      <c r="J584" s="236"/>
      <c r="K584" s="232"/>
      <c r="L584" s="232"/>
      <c r="M584" s="232"/>
    </row>
    <row r="585" spans="5:13" ht="15.75" customHeight="1">
      <c r="E585" s="236"/>
      <c r="F585" s="236"/>
      <c r="G585" s="236"/>
      <c r="H585" s="236"/>
      <c r="I585" s="236"/>
      <c r="J585" s="236"/>
      <c r="K585" s="232"/>
      <c r="L585" s="232"/>
      <c r="M585" s="232"/>
    </row>
    <row r="586" spans="5:13" ht="15.75" customHeight="1">
      <c r="E586" s="236"/>
      <c r="F586" s="236"/>
      <c r="G586" s="236"/>
      <c r="H586" s="236"/>
      <c r="I586" s="236"/>
      <c r="J586" s="236"/>
      <c r="K586" s="232"/>
      <c r="L586" s="232"/>
      <c r="M586" s="232"/>
    </row>
    <row r="587" spans="5:13" ht="15.75" customHeight="1">
      <c r="E587" s="236"/>
      <c r="F587" s="236"/>
      <c r="G587" s="236"/>
      <c r="H587" s="236"/>
      <c r="I587" s="236"/>
      <c r="J587" s="236"/>
      <c r="K587" s="232"/>
      <c r="L587" s="232"/>
      <c r="M587" s="232"/>
    </row>
    <row r="588" spans="5:13" ht="15.75" customHeight="1">
      <c r="E588" s="236"/>
      <c r="F588" s="236"/>
      <c r="G588" s="236"/>
      <c r="H588" s="236"/>
      <c r="I588" s="236"/>
      <c r="J588" s="236"/>
      <c r="K588" s="232"/>
      <c r="L588" s="232"/>
      <c r="M588" s="232"/>
    </row>
    <row r="589" spans="5:13" ht="15.75" customHeight="1">
      <c r="E589" s="236"/>
      <c r="F589" s="236"/>
      <c r="G589" s="236"/>
      <c r="H589" s="236"/>
      <c r="I589" s="236"/>
      <c r="J589" s="236"/>
      <c r="K589" s="232"/>
      <c r="L589" s="232"/>
      <c r="M589" s="232"/>
    </row>
    <row r="590" spans="5:13" ht="15.75" customHeight="1">
      <c r="E590" s="236"/>
      <c r="F590" s="236"/>
      <c r="G590" s="236"/>
      <c r="H590" s="236"/>
      <c r="I590" s="236"/>
      <c r="J590" s="236"/>
      <c r="K590" s="232"/>
      <c r="L590" s="232"/>
      <c r="M590" s="232"/>
    </row>
    <row r="591" spans="5:13" ht="15.75" customHeight="1">
      <c r="E591" s="236"/>
      <c r="F591" s="236"/>
      <c r="G591" s="236"/>
      <c r="H591" s="236"/>
      <c r="I591" s="236"/>
      <c r="J591" s="236"/>
      <c r="K591" s="232"/>
      <c r="L591" s="232"/>
      <c r="M591" s="232"/>
    </row>
    <row r="592" spans="5:13" ht="15.75" customHeight="1">
      <c r="E592" s="236"/>
      <c r="F592" s="236"/>
      <c r="G592" s="236"/>
      <c r="H592" s="236"/>
      <c r="I592" s="236"/>
      <c r="J592" s="236"/>
      <c r="K592" s="232"/>
      <c r="L592" s="232"/>
      <c r="M592" s="232"/>
    </row>
    <row r="593" spans="5:13" ht="15.75" customHeight="1">
      <c r="E593" s="236"/>
      <c r="F593" s="236"/>
      <c r="G593" s="236"/>
      <c r="H593" s="236"/>
      <c r="I593" s="236"/>
      <c r="J593" s="236"/>
      <c r="K593" s="232"/>
      <c r="L593" s="232"/>
      <c r="M593" s="232"/>
    </row>
    <row r="594" spans="5:13" ht="15.75" customHeight="1">
      <c r="E594" s="236"/>
      <c r="F594" s="236"/>
      <c r="G594" s="236"/>
      <c r="H594" s="236"/>
      <c r="I594" s="236"/>
      <c r="J594" s="236"/>
      <c r="K594" s="232"/>
      <c r="L594" s="232"/>
      <c r="M594" s="232"/>
    </row>
    <row r="595" spans="5:13" ht="15.75" customHeight="1">
      <c r="E595" s="236"/>
      <c r="F595" s="236"/>
      <c r="G595" s="236"/>
      <c r="H595" s="236"/>
      <c r="I595" s="236"/>
      <c r="J595" s="236"/>
      <c r="K595" s="232"/>
      <c r="L595" s="232"/>
      <c r="M595" s="232"/>
    </row>
    <row r="596" spans="5:13" ht="15.75" customHeight="1">
      <c r="E596" s="236"/>
      <c r="F596" s="236"/>
      <c r="G596" s="236"/>
      <c r="H596" s="236"/>
      <c r="I596" s="236"/>
      <c r="J596" s="236"/>
      <c r="K596" s="232"/>
      <c r="L596" s="232"/>
      <c r="M596" s="232"/>
    </row>
    <row r="597" spans="5:13" ht="15.75" customHeight="1">
      <c r="E597" s="236"/>
      <c r="F597" s="236"/>
      <c r="G597" s="236"/>
      <c r="H597" s="236"/>
      <c r="I597" s="236"/>
      <c r="J597" s="236"/>
      <c r="K597" s="232"/>
      <c r="L597" s="232"/>
      <c r="M597" s="232"/>
    </row>
    <row r="598" spans="5:13" ht="15.75" customHeight="1">
      <c r="E598" s="236"/>
      <c r="F598" s="236"/>
      <c r="G598" s="236"/>
      <c r="H598" s="236"/>
      <c r="I598" s="236"/>
      <c r="J598" s="236"/>
      <c r="K598" s="232"/>
      <c r="L598" s="232"/>
      <c r="M598" s="232"/>
    </row>
    <row r="599" spans="5:13" ht="15.75" customHeight="1">
      <c r="E599" s="236"/>
      <c r="F599" s="236"/>
      <c r="G599" s="236"/>
      <c r="H599" s="236"/>
      <c r="I599" s="236"/>
      <c r="J599" s="236"/>
      <c r="K599" s="232"/>
      <c r="L599" s="232"/>
      <c r="M599" s="232"/>
    </row>
    <row r="600" spans="5:13" ht="15.75" customHeight="1">
      <c r="E600" s="236"/>
      <c r="F600" s="236"/>
      <c r="G600" s="236"/>
      <c r="H600" s="236"/>
      <c r="I600" s="236"/>
      <c r="J600" s="236"/>
      <c r="K600" s="232"/>
      <c r="L600" s="232"/>
      <c r="M600" s="232"/>
    </row>
    <row r="601" spans="5:13" ht="15.75" customHeight="1">
      <c r="E601" s="236"/>
      <c r="F601" s="236"/>
      <c r="G601" s="236"/>
      <c r="H601" s="236"/>
      <c r="I601" s="236"/>
      <c r="J601" s="236"/>
      <c r="K601" s="232"/>
      <c r="L601" s="232"/>
      <c r="M601" s="232"/>
    </row>
    <row r="602" spans="5:13" ht="15.75" customHeight="1">
      <c r="E602" s="236"/>
      <c r="F602" s="236"/>
      <c r="G602" s="236"/>
      <c r="H602" s="236"/>
      <c r="I602" s="236"/>
      <c r="J602" s="236"/>
      <c r="K602" s="232"/>
      <c r="L602" s="232"/>
      <c r="M602" s="232"/>
    </row>
    <row r="603" spans="5:13" ht="15.75" customHeight="1">
      <c r="E603" s="236"/>
      <c r="F603" s="236"/>
      <c r="G603" s="236"/>
      <c r="H603" s="236"/>
      <c r="I603" s="236"/>
      <c r="J603" s="236"/>
      <c r="K603" s="232"/>
      <c r="L603" s="232"/>
      <c r="M603" s="232"/>
    </row>
    <row r="604" spans="5:13" ht="15.75" customHeight="1">
      <c r="E604" s="236"/>
      <c r="F604" s="236"/>
      <c r="G604" s="236"/>
      <c r="H604" s="236"/>
      <c r="I604" s="236"/>
      <c r="J604" s="236"/>
      <c r="K604" s="232"/>
      <c r="L604" s="232"/>
      <c r="M604" s="232"/>
    </row>
    <row r="605" spans="5:13" ht="15.75" customHeight="1">
      <c r="E605" s="236"/>
      <c r="F605" s="236"/>
      <c r="G605" s="236"/>
      <c r="H605" s="236"/>
      <c r="I605" s="236"/>
      <c r="J605" s="236"/>
      <c r="K605" s="232"/>
      <c r="L605" s="232"/>
      <c r="M605" s="232"/>
    </row>
    <row r="606" spans="5:13" ht="15.75" customHeight="1">
      <c r="E606" s="236"/>
      <c r="F606" s="236"/>
      <c r="G606" s="236"/>
      <c r="H606" s="236"/>
      <c r="I606" s="236"/>
      <c r="J606" s="236"/>
      <c r="K606" s="232"/>
      <c r="L606" s="232"/>
      <c r="M606" s="232"/>
    </row>
    <row r="607" spans="5:13" ht="15.75" customHeight="1">
      <c r="E607" s="236"/>
      <c r="F607" s="236"/>
      <c r="G607" s="236"/>
      <c r="H607" s="236"/>
      <c r="I607" s="236"/>
      <c r="J607" s="236"/>
      <c r="K607" s="232"/>
      <c r="L607" s="232"/>
      <c r="M607" s="232"/>
    </row>
    <row r="608" spans="5:13" ht="15.75" customHeight="1">
      <c r="E608" s="236"/>
      <c r="F608" s="236"/>
      <c r="G608" s="236"/>
      <c r="H608" s="236"/>
      <c r="I608" s="236"/>
      <c r="J608" s="236"/>
      <c r="K608" s="232"/>
      <c r="L608" s="232"/>
      <c r="M608" s="232"/>
    </row>
    <row r="609" spans="5:13" ht="15.75" customHeight="1">
      <c r="E609" s="236"/>
      <c r="F609" s="236"/>
      <c r="G609" s="236"/>
      <c r="H609" s="236"/>
      <c r="I609" s="236"/>
      <c r="J609" s="236"/>
      <c r="K609" s="232"/>
      <c r="L609" s="232"/>
      <c r="M609" s="232"/>
    </row>
    <row r="610" spans="5:13" ht="15.75" customHeight="1">
      <c r="E610" s="236"/>
      <c r="F610" s="236"/>
      <c r="G610" s="236"/>
      <c r="H610" s="236"/>
      <c r="I610" s="236"/>
      <c r="J610" s="236"/>
      <c r="K610" s="232"/>
      <c r="L610" s="232"/>
      <c r="M610" s="232"/>
    </row>
    <row r="611" spans="5:13" ht="15.75" customHeight="1">
      <c r="E611" s="236"/>
      <c r="F611" s="236"/>
      <c r="G611" s="236"/>
      <c r="H611" s="236"/>
      <c r="I611" s="236"/>
      <c r="J611" s="236"/>
      <c r="K611" s="232"/>
      <c r="L611" s="232"/>
      <c r="M611" s="232"/>
    </row>
    <row r="612" spans="5:13" ht="15.75" customHeight="1">
      <c r="E612" s="236"/>
      <c r="F612" s="236"/>
      <c r="G612" s="236"/>
      <c r="H612" s="236"/>
      <c r="I612" s="236"/>
      <c r="J612" s="236"/>
      <c r="K612" s="232"/>
      <c r="L612" s="232"/>
      <c r="M612" s="232"/>
    </row>
    <row r="613" spans="5:13" ht="15.75" customHeight="1">
      <c r="E613" s="236"/>
      <c r="F613" s="236"/>
      <c r="G613" s="236"/>
      <c r="H613" s="236"/>
      <c r="I613" s="236"/>
      <c r="J613" s="236"/>
      <c r="K613" s="232"/>
      <c r="L613" s="232"/>
      <c r="M613" s="232"/>
    </row>
    <row r="614" spans="5:13" ht="15.75" customHeight="1">
      <c r="E614" s="236"/>
      <c r="F614" s="236"/>
      <c r="G614" s="236"/>
      <c r="H614" s="236"/>
      <c r="I614" s="236"/>
      <c r="J614" s="236"/>
      <c r="K614" s="232"/>
      <c r="L614" s="232"/>
      <c r="M614" s="232"/>
    </row>
    <row r="615" spans="5:13" ht="15.75" customHeight="1">
      <c r="E615" s="236"/>
      <c r="F615" s="236"/>
      <c r="G615" s="236"/>
      <c r="H615" s="236"/>
      <c r="I615" s="236"/>
      <c r="J615" s="236"/>
      <c r="K615" s="232"/>
      <c r="L615" s="232"/>
      <c r="M615" s="232"/>
    </row>
    <row r="616" spans="5:13" ht="15.75" customHeight="1">
      <c r="E616" s="236"/>
      <c r="F616" s="236"/>
      <c r="G616" s="236"/>
      <c r="H616" s="236"/>
      <c r="I616" s="236"/>
      <c r="J616" s="236"/>
      <c r="K616" s="232"/>
      <c r="L616" s="232"/>
      <c r="M616" s="232"/>
    </row>
    <row r="617" spans="5:13" ht="15.75" customHeight="1">
      <c r="E617" s="236"/>
      <c r="F617" s="236"/>
      <c r="G617" s="236"/>
      <c r="H617" s="236"/>
      <c r="I617" s="236"/>
      <c r="J617" s="236"/>
      <c r="K617" s="232"/>
      <c r="L617" s="232"/>
      <c r="M617" s="232"/>
    </row>
    <row r="618" spans="5:13" ht="15.75" customHeight="1">
      <c r="E618" s="236"/>
      <c r="F618" s="236"/>
      <c r="G618" s="236"/>
      <c r="H618" s="236"/>
      <c r="I618" s="236"/>
      <c r="J618" s="236"/>
      <c r="K618" s="232"/>
      <c r="L618" s="232"/>
      <c r="M618" s="232"/>
    </row>
    <row r="619" spans="5:13" ht="15.75" customHeight="1">
      <c r="E619" s="236"/>
      <c r="F619" s="236"/>
      <c r="G619" s="236"/>
      <c r="H619" s="236"/>
      <c r="I619" s="236"/>
      <c r="J619" s="236"/>
      <c r="K619" s="232"/>
      <c r="L619" s="232"/>
      <c r="M619" s="232"/>
    </row>
    <row r="620" spans="5:13" ht="15.75" customHeight="1">
      <c r="E620" s="236"/>
      <c r="F620" s="236"/>
      <c r="G620" s="236"/>
      <c r="H620" s="236"/>
      <c r="I620" s="236"/>
      <c r="J620" s="236"/>
      <c r="K620" s="232"/>
      <c r="L620" s="232"/>
      <c r="M620" s="232"/>
    </row>
    <row r="621" spans="5:13" ht="15.75" customHeight="1">
      <c r="E621" s="236"/>
      <c r="F621" s="236"/>
      <c r="G621" s="236"/>
      <c r="H621" s="236"/>
      <c r="I621" s="236"/>
      <c r="J621" s="236"/>
      <c r="K621" s="232"/>
      <c r="L621" s="232"/>
      <c r="M621" s="232"/>
    </row>
    <row r="622" spans="5:13" ht="15.75" customHeight="1">
      <c r="E622" s="236"/>
      <c r="F622" s="236"/>
      <c r="G622" s="236"/>
      <c r="H622" s="236"/>
      <c r="I622" s="236"/>
      <c r="J622" s="236"/>
      <c r="K622" s="232"/>
      <c r="L622" s="232"/>
      <c r="M622" s="232"/>
    </row>
    <row r="623" spans="5:13" ht="15.75" customHeight="1">
      <c r="E623" s="236"/>
      <c r="F623" s="236"/>
      <c r="G623" s="236"/>
      <c r="H623" s="236"/>
      <c r="I623" s="236"/>
      <c r="J623" s="236"/>
      <c r="K623" s="232"/>
      <c r="L623" s="232"/>
      <c r="M623" s="232"/>
    </row>
    <row r="624" spans="5:13" ht="15.75" customHeight="1">
      <c r="E624" s="236"/>
      <c r="F624" s="236"/>
      <c r="G624" s="236"/>
      <c r="H624" s="236"/>
      <c r="I624" s="236"/>
      <c r="J624" s="236"/>
      <c r="K624" s="232"/>
      <c r="L624" s="232"/>
      <c r="M624" s="232"/>
    </row>
    <row r="625" spans="5:13" ht="15.75" customHeight="1">
      <c r="E625" s="236"/>
      <c r="F625" s="236"/>
      <c r="G625" s="236"/>
      <c r="H625" s="236"/>
      <c r="I625" s="236"/>
      <c r="J625" s="236"/>
      <c r="K625" s="232"/>
      <c r="L625" s="232"/>
      <c r="M625" s="232"/>
    </row>
    <row r="626" spans="5:13" ht="15.75" customHeight="1">
      <c r="E626" s="236"/>
      <c r="F626" s="236"/>
      <c r="G626" s="236"/>
      <c r="H626" s="236"/>
      <c r="I626" s="236"/>
      <c r="J626" s="236"/>
      <c r="K626" s="232"/>
      <c r="L626" s="232"/>
      <c r="M626" s="232"/>
    </row>
    <row r="627" spans="5:13" ht="15.75" customHeight="1">
      <c r="E627" s="236"/>
      <c r="F627" s="236"/>
      <c r="G627" s="236"/>
      <c r="H627" s="236"/>
      <c r="I627" s="236"/>
      <c r="J627" s="236"/>
      <c r="K627" s="232"/>
      <c r="L627" s="232"/>
      <c r="M627" s="232"/>
    </row>
    <row r="628" spans="5:13" ht="15.75" customHeight="1">
      <c r="E628" s="236"/>
      <c r="F628" s="236"/>
      <c r="G628" s="236"/>
      <c r="H628" s="236"/>
      <c r="I628" s="236"/>
      <c r="J628" s="236"/>
      <c r="K628" s="232"/>
      <c r="L628" s="232"/>
      <c r="M628" s="232"/>
    </row>
    <row r="629" spans="5:13" ht="15.75" customHeight="1">
      <c r="E629" s="236"/>
      <c r="F629" s="236"/>
      <c r="G629" s="236"/>
      <c r="H629" s="236"/>
      <c r="I629" s="236"/>
      <c r="J629" s="236"/>
      <c r="K629" s="232"/>
      <c r="L629" s="232"/>
      <c r="M629" s="232"/>
    </row>
    <row r="630" spans="5:13" ht="15.75" customHeight="1">
      <c r="E630" s="236"/>
      <c r="F630" s="236"/>
      <c r="G630" s="236"/>
      <c r="H630" s="236"/>
      <c r="I630" s="236"/>
      <c r="J630" s="236"/>
      <c r="K630" s="232"/>
      <c r="L630" s="232"/>
      <c r="M630" s="232"/>
    </row>
    <row r="631" spans="5:13" ht="15.75" customHeight="1">
      <c r="E631" s="236"/>
      <c r="F631" s="236"/>
      <c r="G631" s="236"/>
      <c r="H631" s="236"/>
      <c r="I631" s="236"/>
      <c r="J631" s="236"/>
      <c r="K631" s="232"/>
      <c r="L631" s="232"/>
      <c r="M631" s="232"/>
    </row>
    <row r="632" spans="5:13" ht="15.75" customHeight="1">
      <c r="E632" s="236"/>
      <c r="F632" s="236"/>
      <c r="G632" s="236"/>
      <c r="H632" s="236"/>
      <c r="I632" s="236"/>
      <c r="J632" s="236"/>
      <c r="K632" s="232"/>
      <c r="L632" s="232"/>
      <c r="M632" s="232"/>
    </row>
    <row r="633" spans="5:13" ht="15.75" customHeight="1">
      <c r="E633" s="236"/>
      <c r="F633" s="236"/>
      <c r="G633" s="236"/>
      <c r="H633" s="236"/>
      <c r="I633" s="236"/>
      <c r="J633" s="236"/>
      <c r="K633" s="232"/>
      <c r="L633" s="232"/>
      <c r="M633" s="232"/>
    </row>
    <row r="634" spans="5:13" ht="15.75" customHeight="1">
      <c r="E634" s="236"/>
      <c r="F634" s="236"/>
      <c r="G634" s="236"/>
      <c r="H634" s="236"/>
      <c r="I634" s="236"/>
      <c r="J634" s="236"/>
      <c r="K634" s="232"/>
      <c r="L634" s="232"/>
      <c r="M634" s="232"/>
    </row>
    <row r="635" spans="5:13" ht="15.75" customHeight="1">
      <c r="E635" s="236"/>
      <c r="F635" s="236"/>
      <c r="G635" s="236"/>
      <c r="H635" s="236"/>
      <c r="I635" s="236"/>
      <c r="J635" s="236"/>
      <c r="K635" s="232"/>
      <c r="L635" s="232"/>
      <c r="M635" s="232"/>
    </row>
    <row r="636" spans="5:13" ht="15.75" customHeight="1">
      <c r="E636" s="236"/>
      <c r="F636" s="236"/>
      <c r="G636" s="236"/>
      <c r="H636" s="236"/>
      <c r="I636" s="236"/>
      <c r="J636" s="236"/>
      <c r="K636" s="232"/>
      <c r="L636" s="232"/>
      <c r="M636" s="232"/>
    </row>
    <row r="637" spans="5:13" ht="15.75" customHeight="1">
      <c r="E637" s="236"/>
      <c r="F637" s="236"/>
      <c r="G637" s="236"/>
      <c r="H637" s="236"/>
      <c r="I637" s="236"/>
      <c r="J637" s="236"/>
      <c r="K637" s="232"/>
      <c r="L637" s="232"/>
      <c r="M637" s="232"/>
    </row>
    <row r="638" spans="5:13" ht="15.75" customHeight="1">
      <c r="E638" s="236"/>
      <c r="F638" s="236"/>
      <c r="G638" s="236"/>
      <c r="H638" s="236"/>
      <c r="I638" s="236"/>
      <c r="J638" s="236"/>
      <c r="K638" s="232"/>
      <c r="L638" s="232"/>
      <c r="M638" s="232"/>
    </row>
    <row r="639" spans="5:13" ht="15.75" customHeight="1">
      <c r="E639" s="236"/>
      <c r="F639" s="236"/>
      <c r="G639" s="236"/>
      <c r="H639" s="236"/>
      <c r="I639" s="236"/>
      <c r="J639" s="236"/>
      <c r="K639" s="232"/>
      <c r="L639" s="232"/>
      <c r="M639" s="232"/>
    </row>
    <row r="640" spans="5:13" ht="15.75" customHeight="1">
      <c r="E640" s="236"/>
      <c r="F640" s="236"/>
      <c r="G640" s="236"/>
      <c r="H640" s="236"/>
      <c r="I640" s="236"/>
      <c r="J640" s="236"/>
      <c r="K640" s="232"/>
      <c r="L640" s="232"/>
      <c r="M640" s="232"/>
    </row>
    <row r="641" spans="5:13" ht="15.75" customHeight="1">
      <c r="E641" s="236"/>
      <c r="F641" s="236"/>
      <c r="G641" s="236"/>
      <c r="H641" s="236"/>
      <c r="I641" s="236"/>
      <c r="J641" s="236"/>
      <c r="K641" s="232"/>
      <c r="L641" s="232"/>
      <c r="M641" s="232"/>
    </row>
    <row r="642" spans="5:13" ht="15.75" customHeight="1">
      <c r="E642" s="236"/>
      <c r="F642" s="236"/>
      <c r="G642" s="236"/>
      <c r="H642" s="236"/>
      <c r="I642" s="236"/>
      <c r="J642" s="236"/>
      <c r="K642" s="232"/>
      <c r="L642" s="232"/>
      <c r="M642" s="232"/>
    </row>
    <row r="643" spans="5:13" ht="15.75" customHeight="1">
      <c r="E643" s="236"/>
      <c r="F643" s="236"/>
      <c r="G643" s="236"/>
      <c r="H643" s="236"/>
      <c r="I643" s="236"/>
      <c r="J643" s="236"/>
      <c r="K643" s="232"/>
      <c r="L643" s="232"/>
      <c r="M643" s="232"/>
    </row>
    <row r="644" spans="5:13" ht="15.75" customHeight="1">
      <c r="E644" s="236"/>
      <c r="F644" s="236"/>
      <c r="G644" s="236"/>
      <c r="H644" s="236"/>
      <c r="I644" s="236"/>
      <c r="J644" s="236"/>
      <c r="K644" s="232"/>
      <c r="L644" s="232"/>
      <c r="M644" s="232"/>
    </row>
    <row r="645" spans="5:13" ht="15.75" customHeight="1">
      <c r="E645" s="236"/>
      <c r="F645" s="236"/>
      <c r="G645" s="236"/>
      <c r="H645" s="236"/>
      <c r="I645" s="236"/>
      <c r="J645" s="236"/>
      <c r="K645" s="232"/>
      <c r="L645" s="232"/>
      <c r="M645" s="232"/>
    </row>
    <row r="646" spans="5:13" ht="15.75" customHeight="1">
      <c r="E646" s="236"/>
      <c r="F646" s="236"/>
      <c r="G646" s="236"/>
      <c r="H646" s="236"/>
      <c r="I646" s="236"/>
      <c r="J646" s="236"/>
      <c r="K646" s="232"/>
      <c r="L646" s="232"/>
      <c r="M646" s="232"/>
    </row>
    <row r="647" spans="5:13" ht="15.75" customHeight="1">
      <c r="E647" s="236"/>
      <c r="F647" s="236"/>
      <c r="G647" s="236"/>
      <c r="H647" s="236"/>
      <c r="I647" s="236"/>
      <c r="J647" s="236"/>
      <c r="K647" s="232"/>
      <c r="L647" s="232"/>
      <c r="M647" s="232"/>
    </row>
    <row r="648" spans="5:13" ht="15.75" customHeight="1">
      <c r="E648" s="236"/>
      <c r="F648" s="236"/>
      <c r="G648" s="236"/>
      <c r="H648" s="236"/>
      <c r="I648" s="236"/>
      <c r="J648" s="236"/>
      <c r="K648" s="232"/>
      <c r="L648" s="232"/>
      <c r="M648" s="232"/>
    </row>
    <row r="649" spans="5:13" ht="15.75" customHeight="1">
      <c r="E649" s="236"/>
      <c r="F649" s="236"/>
      <c r="G649" s="236"/>
      <c r="H649" s="236"/>
      <c r="I649" s="236"/>
      <c r="J649" s="236"/>
      <c r="K649" s="232"/>
      <c r="L649" s="232"/>
      <c r="M649" s="232"/>
    </row>
    <row r="650" spans="5:13" ht="15.75" customHeight="1">
      <c r="E650" s="236"/>
      <c r="F650" s="236"/>
      <c r="G650" s="236"/>
      <c r="H650" s="236"/>
      <c r="I650" s="236"/>
      <c r="J650" s="236"/>
      <c r="K650" s="232"/>
      <c r="L650" s="232"/>
      <c r="M650" s="232"/>
    </row>
    <row r="651" spans="5:13" ht="15.75" customHeight="1">
      <c r="E651" s="236"/>
      <c r="F651" s="236"/>
      <c r="G651" s="236"/>
      <c r="H651" s="236"/>
      <c r="I651" s="236"/>
      <c r="J651" s="236"/>
      <c r="K651" s="232"/>
      <c r="L651" s="232"/>
      <c r="M651" s="232"/>
    </row>
    <row r="652" spans="5:13" ht="15.75" customHeight="1">
      <c r="E652" s="236"/>
      <c r="F652" s="236"/>
      <c r="G652" s="236"/>
      <c r="H652" s="236"/>
      <c r="I652" s="236"/>
      <c r="J652" s="236"/>
      <c r="K652" s="232"/>
      <c r="L652" s="232"/>
      <c r="M652" s="232"/>
    </row>
    <row r="653" spans="5:13" ht="15.75" customHeight="1">
      <c r="E653" s="236"/>
      <c r="F653" s="236"/>
      <c r="G653" s="236"/>
      <c r="H653" s="236"/>
      <c r="I653" s="236"/>
      <c r="J653" s="236"/>
      <c r="K653" s="232"/>
      <c r="L653" s="232"/>
      <c r="M653" s="232"/>
    </row>
    <row r="654" spans="5:13" ht="15.75" customHeight="1">
      <c r="E654" s="236"/>
      <c r="F654" s="236"/>
      <c r="G654" s="236"/>
      <c r="H654" s="236"/>
      <c r="I654" s="236"/>
      <c r="J654" s="236"/>
      <c r="K654" s="232"/>
      <c r="L654" s="232"/>
      <c r="M654" s="232"/>
    </row>
    <row r="655" spans="5:13" ht="15.75" customHeight="1">
      <c r="E655" s="236"/>
      <c r="F655" s="236"/>
      <c r="G655" s="236"/>
      <c r="H655" s="236"/>
      <c r="I655" s="236"/>
      <c r="J655" s="236"/>
      <c r="K655" s="232"/>
      <c r="L655" s="232"/>
      <c r="M655" s="232"/>
    </row>
    <row r="656" spans="5:13" ht="15.75" customHeight="1">
      <c r="E656" s="236"/>
      <c r="F656" s="236"/>
      <c r="G656" s="236"/>
      <c r="H656" s="236"/>
      <c r="I656" s="236"/>
      <c r="J656" s="236"/>
      <c r="K656" s="232"/>
      <c r="L656" s="232"/>
      <c r="M656" s="232"/>
    </row>
    <row r="657" spans="5:13" ht="15.75" customHeight="1">
      <c r="E657" s="236"/>
      <c r="F657" s="236"/>
      <c r="G657" s="236"/>
      <c r="H657" s="236"/>
      <c r="I657" s="236"/>
      <c r="J657" s="236"/>
      <c r="K657" s="232"/>
      <c r="L657" s="232"/>
      <c r="M657" s="232"/>
    </row>
    <row r="658" spans="5:13" ht="15.75" customHeight="1">
      <c r="E658" s="236"/>
      <c r="F658" s="236"/>
      <c r="G658" s="236"/>
      <c r="H658" s="236"/>
      <c r="I658" s="236"/>
      <c r="J658" s="236"/>
      <c r="K658" s="232"/>
      <c r="L658" s="232"/>
      <c r="M658" s="232"/>
    </row>
    <row r="659" spans="5:13" ht="15.75" customHeight="1">
      <c r="E659" s="236"/>
      <c r="F659" s="236"/>
      <c r="G659" s="236"/>
      <c r="H659" s="236"/>
      <c r="I659" s="236"/>
      <c r="J659" s="236"/>
      <c r="K659" s="232"/>
      <c r="L659" s="232"/>
      <c r="M659" s="232"/>
    </row>
    <row r="660" spans="5:13" ht="15.75" customHeight="1">
      <c r="E660" s="236"/>
      <c r="F660" s="236"/>
      <c r="G660" s="236"/>
      <c r="H660" s="236"/>
      <c r="I660" s="236"/>
      <c r="J660" s="236"/>
      <c r="K660" s="232"/>
      <c r="L660" s="232"/>
      <c r="M660" s="232"/>
    </row>
    <row r="661" spans="5:13" ht="15.75" customHeight="1">
      <c r="E661" s="236"/>
      <c r="F661" s="236"/>
      <c r="G661" s="236"/>
      <c r="H661" s="236"/>
      <c r="I661" s="236"/>
      <c r="J661" s="236"/>
      <c r="K661" s="232"/>
      <c r="L661" s="232"/>
      <c r="M661" s="232"/>
    </row>
    <row r="662" spans="5:13" ht="15.75" customHeight="1">
      <c r="E662" s="236"/>
      <c r="F662" s="236"/>
      <c r="G662" s="236"/>
      <c r="H662" s="236"/>
      <c r="I662" s="236"/>
      <c r="J662" s="236"/>
      <c r="K662" s="232"/>
      <c r="L662" s="232"/>
      <c r="M662" s="232"/>
    </row>
    <row r="663" spans="5:13" ht="15.75" customHeight="1">
      <c r="E663" s="236"/>
      <c r="F663" s="236"/>
      <c r="G663" s="236"/>
      <c r="H663" s="236"/>
      <c r="I663" s="236"/>
      <c r="J663" s="236"/>
      <c r="K663" s="232"/>
      <c r="L663" s="232"/>
      <c r="M663" s="232"/>
    </row>
    <row r="664" spans="5:13" ht="15.75" customHeight="1">
      <c r="E664" s="236"/>
      <c r="F664" s="236"/>
      <c r="G664" s="236"/>
      <c r="H664" s="236"/>
      <c r="I664" s="236"/>
      <c r="J664" s="236"/>
      <c r="K664" s="232"/>
      <c r="L664" s="232"/>
      <c r="M664" s="232"/>
    </row>
    <row r="665" spans="5:13" ht="15.75" customHeight="1">
      <c r="E665" s="236"/>
      <c r="F665" s="236"/>
      <c r="G665" s="236"/>
      <c r="H665" s="236"/>
      <c r="I665" s="236"/>
      <c r="J665" s="236"/>
      <c r="K665" s="232"/>
      <c r="L665" s="232"/>
      <c r="M665" s="232"/>
    </row>
    <row r="666" spans="5:13" ht="15.75" customHeight="1">
      <c r="E666" s="236"/>
      <c r="F666" s="236"/>
      <c r="G666" s="236"/>
      <c r="H666" s="236"/>
      <c r="I666" s="236"/>
      <c r="J666" s="236"/>
      <c r="K666" s="232"/>
      <c r="L666" s="232"/>
      <c r="M666" s="232"/>
    </row>
    <row r="667" spans="5:13" ht="15.75" customHeight="1">
      <c r="E667" s="236"/>
      <c r="F667" s="236"/>
      <c r="G667" s="236"/>
      <c r="H667" s="236"/>
      <c r="I667" s="236"/>
      <c r="J667" s="236"/>
      <c r="K667" s="232"/>
      <c r="L667" s="232"/>
      <c r="M667" s="232"/>
    </row>
    <row r="668" spans="5:13" ht="15.75" customHeight="1">
      <c r="E668" s="236"/>
      <c r="F668" s="236"/>
      <c r="G668" s="236"/>
      <c r="H668" s="236"/>
      <c r="I668" s="236"/>
      <c r="J668" s="236"/>
      <c r="K668" s="232"/>
      <c r="L668" s="232"/>
      <c r="M668" s="232"/>
    </row>
    <row r="669" spans="5:13" ht="15.75" customHeight="1">
      <c r="E669" s="236"/>
      <c r="F669" s="236"/>
      <c r="G669" s="236"/>
      <c r="H669" s="236"/>
      <c r="I669" s="236"/>
      <c r="J669" s="236"/>
      <c r="K669" s="232"/>
      <c r="L669" s="232"/>
      <c r="M669" s="232"/>
    </row>
    <row r="670" spans="5:13" ht="15.75" customHeight="1">
      <c r="E670" s="236"/>
      <c r="F670" s="236"/>
      <c r="G670" s="236"/>
      <c r="H670" s="236"/>
      <c r="I670" s="236"/>
      <c r="J670" s="236"/>
      <c r="K670" s="232"/>
      <c r="L670" s="232"/>
      <c r="M670" s="232"/>
    </row>
    <row r="671" spans="5:13" ht="15.75" customHeight="1">
      <c r="E671" s="236"/>
      <c r="F671" s="236"/>
      <c r="G671" s="236"/>
      <c r="H671" s="236"/>
      <c r="I671" s="236"/>
      <c r="J671" s="236"/>
      <c r="K671" s="232"/>
      <c r="L671" s="232"/>
      <c r="M671" s="232"/>
    </row>
    <row r="672" spans="5:13" ht="15.75" customHeight="1">
      <c r="E672" s="236"/>
      <c r="F672" s="236"/>
      <c r="G672" s="236"/>
      <c r="H672" s="236"/>
      <c r="I672" s="236"/>
      <c r="J672" s="236"/>
      <c r="K672" s="232"/>
      <c r="L672" s="232"/>
      <c r="M672" s="232"/>
    </row>
    <row r="673" spans="5:13" ht="15.75" customHeight="1">
      <c r="E673" s="236"/>
      <c r="F673" s="236"/>
      <c r="G673" s="236"/>
      <c r="H673" s="236"/>
      <c r="I673" s="236"/>
      <c r="J673" s="236"/>
      <c r="K673" s="232"/>
      <c r="L673" s="232"/>
      <c r="M673" s="232"/>
    </row>
    <row r="674" spans="5:13" ht="15.75" customHeight="1">
      <c r="E674" s="236"/>
      <c r="F674" s="236"/>
      <c r="G674" s="236"/>
      <c r="H674" s="236"/>
      <c r="I674" s="236"/>
      <c r="J674" s="236"/>
      <c r="K674" s="232"/>
      <c r="L674" s="232"/>
      <c r="M674" s="232"/>
    </row>
    <row r="675" spans="5:13" ht="15.75" customHeight="1">
      <c r="E675" s="236"/>
      <c r="F675" s="236"/>
      <c r="G675" s="236"/>
      <c r="H675" s="236"/>
      <c r="I675" s="236"/>
      <c r="J675" s="236"/>
      <c r="K675" s="232"/>
      <c r="L675" s="232"/>
      <c r="M675" s="232"/>
    </row>
    <row r="676" spans="5:13" ht="15.75" customHeight="1">
      <c r="E676" s="236"/>
      <c r="F676" s="236"/>
      <c r="G676" s="236"/>
      <c r="H676" s="236"/>
      <c r="I676" s="236"/>
      <c r="J676" s="236"/>
      <c r="K676" s="232"/>
      <c r="L676" s="232"/>
      <c r="M676" s="232"/>
    </row>
    <row r="677" spans="5:13" ht="15.75" customHeight="1">
      <c r="E677" s="236"/>
      <c r="F677" s="236"/>
      <c r="G677" s="236"/>
      <c r="H677" s="236"/>
      <c r="I677" s="236"/>
      <c r="J677" s="236"/>
      <c r="K677" s="232"/>
      <c r="L677" s="232"/>
      <c r="M677" s="232"/>
    </row>
    <row r="678" spans="5:13" ht="15.75" customHeight="1">
      <c r="E678" s="236"/>
      <c r="F678" s="236"/>
      <c r="G678" s="236"/>
      <c r="H678" s="236"/>
      <c r="I678" s="236"/>
      <c r="J678" s="236"/>
      <c r="K678" s="232"/>
      <c r="L678" s="232"/>
      <c r="M678" s="232"/>
    </row>
    <row r="679" spans="5:13" ht="15.75" customHeight="1">
      <c r="E679" s="236"/>
      <c r="F679" s="236"/>
      <c r="G679" s="236"/>
      <c r="H679" s="236"/>
      <c r="I679" s="236"/>
      <c r="J679" s="236"/>
      <c r="K679" s="232"/>
      <c r="L679" s="232"/>
      <c r="M679" s="232"/>
    </row>
    <row r="680" spans="5:13" ht="15.75" customHeight="1">
      <c r="E680" s="236"/>
      <c r="F680" s="236"/>
      <c r="G680" s="236"/>
      <c r="H680" s="236"/>
      <c r="I680" s="236"/>
      <c r="J680" s="236"/>
      <c r="K680" s="232"/>
      <c r="L680" s="232"/>
      <c r="M680" s="232"/>
    </row>
    <row r="681" spans="5:13" ht="15.75" customHeight="1">
      <c r="E681" s="236"/>
      <c r="F681" s="236"/>
      <c r="G681" s="236"/>
      <c r="H681" s="236"/>
      <c r="I681" s="236"/>
      <c r="J681" s="236"/>
      <c r="K681" s="232"/>
      <c r="L681" s="232"/>
      <c r="M681" s="232"/>
    </row>
    <row r="682" spans="5:13" ht="15.75" customHeight="1">
      <c r="E682" s="236"/>
      <c r="F682" s="236"/>
      <c r="G682" s="236"/>
      <c r="H682" s="236"/>
      <c r="I682" s="236"/>
      <c r="J682" s="236"/>
      <c r="K682" s="232"/>
      <c r="L682" s="232"/>
      <c r="M682" s="232"/>
    </row>
    <row r="683" spans="5:13" ht="15.75" customHeight="1">
      <c r="E683" s="236"/>
      <c r="F683" s="236"/>
      <c r="G683" s="236"/>
      <c r="H683" s="236"/>
      <c r="I683" s="236"/>
      <c r="J683" s="236"/>
      <c r="K683" s="232"/>
      <c r="L683" s="232"/>
      <c r="M683" s="232"/>
    </row>
    <row r="684" spans="5:13" ht="15.75" customHeight="1">
      <c r="E684" s="236"/>
      <c r="F684" s="236"/>
      <c r="G684" s="236"/>
      <c r="H684" s="236"/>
      <c r="I684" s="236"/>
      <c r="J684" s="236"/>
      <c r="K684" s="232"/>
      <c r="L684" s="232"/>
      <c r="M684" s="232"/>
    </row>
    <row r="685" spans="5:13" ht="15.75" customHeight="1">
      <c r="E685" s="236"/>
      <c r="F685" s="236"/>
      <c r="G685" s="236"/>
      <c r="H685" s="236"/>
      <c r="I685" s="236"/>
      <c r="J685" s="236"/>
      <c r="K685" s="232"/>
      <c r="L685" s="232"/>
      <c r="M685" s="232"/>
    </row>
    <row r="686" spans="5:13" ht="15.75" customHeight="1">
      <c r="E686" s="236"/>
      <c r="F686" s="236"/>
      <c r="G686" s="236"/>
      <c r="H686" s="236"/>
      <c r="I686" s="236"/>
      <c r="J686" s="236"/>
      <c r="K686" s="232"/>
      <c r="L686" s="232"/>
      <c r="M686" s="232"/>
    </row>
    <row r="687" spans="5:13" ht="15.75" customHeight="1">
      <c r="E687" s="236"/>
      <c r="F687" s="236"/>
      <c r="G687" s="236"/>
      <c r="H687" s="236"/>
      <c r="I687" s="236"/>
      <c r="J687" s="236"/>
      <c r="K687" s="232"/>
      <c r="L687" s="232"/>
      <c r="M687" s="232"/>
    </row>
    <row r="688" spans="5:13" ht="15.75" customHeight="1">
      <c r="E688" s="236"/>
      <c r="F688" s="236"/>
      <c r="G688" s="236"/>
      <c r="H688" s="236"/>
      <c r="I688" s="236"/>
      <c r="J688" s="236"/>
      <c r="K688" s="232"/>
      <c r="L688" s="232"/>
      <c r="M688" s="232"/>
    </row>
    <row r="689" spans="5:13" ht="15.75" customHeight="1">
      <c r="E689" s="236"/>
      <c r="F689" s="236"/>
      <c r="G689" s="236"/>
      <c r="H689" s="236"/>
      <c r="I689" s="236"/>
      <c r="J689" s="236"/>
      <c r="K689" s="232"/>
      <c r="L689" s="232"/>
      <c r="M689" s="232"/>
    </row>
    <row r="690" spans="5:13" ht="15.75" customHeight="1">
      <c r="E690" s="236"/>
      <c r="F690" s="236"/>
      <c r="G690" s="236"/>
      <c r="H690" s="236"/>
      <c r="I690" s="236"/>
      <c r="J690" s="236"/>
      <c r="K690" s="232"/>
      <c r="L690" s="232"/>
      <c r="M690" s="232"/>
    </row>
    <row r="691" spans="5:13" ht="15.75" customHeight="1">
      <c r="E691" s="236"/>
      <c r="F691" s="236"/>
      <c r="G691" s="236"/>
      <c r="H691" s="236"/>
      <c r="I691" s="236"/>
      <c r="J691" s="236"/>
      <c r="K691" s="232"/>
      <c r="L691" s="232"/>
      <c r="M691" s="232"/>
    </row>
    <row r="692" spans="5:13" ht="15.75" customHeight="1">
      <c r="E692" s="236"/>
      <c r="F692" s="236"/>
      <c r="G692" s="236"/>
      <c r="H692" s="236"/>
      <c r="I692" s="236"/>
      <c r="J692" s="236"/>
      <c r="K692" s="232"/>
      <c r="L692" s="232"/>
      <c r="M692" s="232"/>
    </row>
    <row r="693" spans="5:13" ht="15.75" customHeight="1">
      <c r="E693" s="236"/>
      <c r="F693" s="236"/>
      <c r="G693" s="236"/>
      <c r="H693" s="236"/>
      <c r="I693" s="236"/>
      <c r="J693" s="236"/>
      <c r="K693" s="232"/>
      <c r="L693" s="232"/>
      <c r="M693" s="232"/>
    </row>
    <row r="694" spans="5:13" ht="15.75" customHeight="1">
      <c r="E694" s="236"/>
      <c r="F694" s="236"/>
      <c r="G694" s="236"/>
      <c r="H694" s="236"/>
      <c r="I694" s="236"/>
      <c r="J694" s="236"/>
      <c r="K694" s="232"/>
      <c r="L694" s="232"/>
      <c r="M694" s="232"/>
    </row>
    <row r="695" spans="5:13" ht="15.75" customHeight="1">
      <c r="E695" s="236"/>
      <c r="F695" s="236"/>
      <c r="G695" s="236"/>
      <c r="H695" s="236"/>
      <c r="I695" s="236"/>
      <c r="J695" s="236"/>
      <c r="K695" s="232"/>
      <c r="L695" s="232"/>
      <c r="M695" s="232"/>
    </row>
    <row r="696" spans="5:13" ht="15.75" customHeight="1">
      <c r="E696" s="236"/>
      <c r="F696" s="236"/>
      <c r="G696" s="236"/>
      <c r="H696" s="236"/>
      <c r="I696" s="236"/>
      <c r="J696" s="236"/>
      <c r="K696" s="232"/>
      <c r="L696" s="232"/>
      <c r="M696" s="232"/>
    </row>
    <row r="697" spans="5:13" ht="15.75" customHeight="1">
      <c r="E697" s="236"/>
      <c r="F697" s="236"/>
      <c r="G697" s="236"/>
      <c r="H697" s="236"/>
      <c r="I697" s="236"/>
      <c r="J697" s="236"/>
      <c r="K697" s="232"/>
      <c r="L697" s="232"/>
      <c r="M697" s="232"/>
    </row>
    <row r="698" spans="5:13" ht="15.75" customHeight="1">
      <c r="E698" s="236"/>
      <c r="F698" s="236"/>
      <c r="G698" s="236"/>
      <c r="H698" s="236"/>
      <c r="I698" s="236"/>
      <c r="J698" s="236"/>
      <c r="K698" s="232"/>
      <c r="L698" s="232"/>
      <c r="M698" s="232"/>
    </row>
    <row r="699" spans="5:13" ht="15.75" customHeight="1">
      <c r="E699" s="236"/>
      <c r="F699" s="236"/>
      <c r="G699" s="236"/>
      <c r="H699" s="236"/>
      <c r="I699" s="236"/>
      <c r="J699" s="236"/>
      <c r="K699" s="232"/>
      <c r="L699" s="232"/>
      <c r="M699" s="232"/>
    </row>
    <row r="700" spans="5:13" ht="15.75" customHeight="1">
      <c r="E700" s="236"/>
      <c r="F700" s="236"/>
      <c r="G700" s="236"/>
      <c r="H700" s="236"/>
      <c r="I700" s="236"/>
      <c r="J700" s="236"/>
      <c r="K700" s="232"/>
      <c r="L700" s="232"/>
      <c r="M700" s="232"/>
    </row>
    <row r="701" spans="5:13" ht="15.75" customHeight="1">
      <c r="E701" s="236"/>
      <c r="F701" s="236"/>
      <c r="G701" s="236"/>
      <c r="H701" s="236"/>
      <c r="I701" s="236"/>
      <c r="J701" s="236"/>
      <c r="K701" s="232"/>
      <c r="L701" s="232"/>
      <c r="M701" s="232"/>
    </row>
    <row r="702" spans="5:13" ht="15.75" customHeight="1">
      <c r="E702" s="236"/>
      <c r="F702" s="236"/>
      <c r="G702" s="236"/>
      <c r="H702" s="236"/>
      <c r="I702" s="236"/>
      <c r="J702" s="236"/>
      <c r="K702" s="232"/>
      <c r="L702" s="232"/>
      <c r="M702" s="232"/>
    </row>
    <row r="703" spans="5:13" ht="15.75" customHeight="1">
      <c r="E703" s="236"/>
      <c r="F703" s="236"/>
      <c r="G703" s="236"/>
      <c r="H703" s="236"/>
      <c r="I703" s="236"/>
      <c r="J703" s="236"/>
      <c r="K703" s="232"/>
      <c r="L703" s="232"/>
      <c r="M703" s="232"/>
    </row>
    <row r="704" spans="5:13" ht="15.75" customHeight="1">
      <c r="E704" s="236"/>
      <c r="F704" s="236"/>
      <c r="G704" s="236"/>
      <c r="H704" s="236"/>
      <c r="I704" s="236"/>
      <c r="J704" s="236"/>
      <c r="K704" s="232"/>
      <c r="L704" s="232"/>
      <c r="M704" s="232"/>
    </row>
  </sheetData>
  <mergeCells count="2">
    <mergeCell ref="B38:J38"/>
    <mergeCell ref="B41:K41"/>
  </mergeCells>
  <pageMargins left="0.19685039370078741" right="0.19685039370078741" top="0.39370078740157483" bottom="0.39370078740157483" header="0.11811023622047244" footer="0.19685039370078741"/>
  <pageSetup paperSize="9" scale="84" orientation="portrait" r:id="rId1"/>
  <headerFooter>
    <oddHeader>&amp;C&amp;"Calibri,Bold"&amp;14
Filament Material Guide</oddHead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PARTS LIST</vt:lpstr>
      <vt:lpstr>V2 Frame BOM</vt:lpstr>
      <vt:lpstr>V2 AB Gantry BOM</vt:lpstr>
      <vt:lpstr>V2 Toolhead BOM</vt:lpstr>
      <vt:lpstr>V2 Z System BOM</vt:lpstr>
      <vt:lpstr>V2 Enclosure BOM</vt:lpstr>
      <vt:lpstr>V2 Drybox BOM</vt:lpstr>
      <vt:lpstr>V2 Liquid Cooling BOM</vt:lpstr>
      <vt:lpstr>V2 Electronics BOM</vt:lpstr>
      <vt:lpstr>V2 Printed Parts</vt:lpstr>
      <vt:lpstr>To Do</vt:lpstr>
      <vt:lpstr>Macro &amp; system names </vt:lpstr>
      <vt:lpstr>MISC</vt:lpstr>
      <vt:lpstr>V2 new features</vt:lpstr>
      <vt:lpstr>Comparison </vt:lpstr>
      <vt:lpstr>Filament Material Guide</vt:lpstr>
      <vt:lpstr>'V2 Printed Parts'!Print_Area</vt:lpstr>
      <vt:lpstr>'PARTS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Roy Berntsen</cp:lastModifiedBy>
  <cp:revision/>
  <dcterms:created xsi:type="dcterms:W3CDTF">2021-11-13T13:18:32Z</dcterms:created>
  <dcterms:modified xsi:type="dcterms:W3CDTF">2026-05-02T07:22:20Z</dcterms:modified>
  <cp:category/>
  <cp:contentStatus/>
</cp:coreProperties>
</file>