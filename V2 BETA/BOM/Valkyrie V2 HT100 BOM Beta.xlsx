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1775" documentId="8_{5107759B-8870-48A8-933E-C4A7F6F41B8D}" xr6:coauthVersionLast="47" xr6:coauthVersionMax="47" xr10:uidLastSave="{3ECE2CF9-6685-47C7-87C0-611AF77779BE}"/>
  <bookViews>
    <workbookView xWindow="28680" yWindow="-45" windowWidth="29040" windowHeight="16440" activeTab="4" xr2:uid="{00000000-000D-0000-FFFF-FFFF00000000}"/>
  </bookViews>
  <sheets>
    <sheet name="PARTS LIST" sheetId="43" r:id="rId1"/>
    <sheet name="V2 Frame BOM" sheetId="28" r:id="rId2"/>
    <sheet name="V2 AB Gantry BOM" sheetId="20" r:id="rId3"/>
    <sheet name="V2 Toolhead BOM" sheetId="36" r:id="rId4"/>
    <sheet name="V2 Z System BOM" sheetId="38" r:id="rId5"/>
    <sheet name="V2 Enclosure BOM" sheetId="39" r:id="rId6"/>
    <sheet name="V2 Drybox BOM" sheetId="40" r:id="rId7"/>
    <sheet name="V2 Liquid Cooling BOM" sheetId="41" r:id="rId8"/>
    <sheet name="V2 Electronics BOM" sheetId="42" r:id="rId9"/>
    <sheet name="V2 Printed Parts" sheetId="45" r:id="rId10"/>
    <sheet name="Chamber connections" sheetId="35" r:id="rId11"/>
    <sheet name="To Do" sheetId="34" r:id="rId12"/>
    <sheet name="Macro &amp; system names " sheetId="44" r:id="rId13"/>
    <sheet name="MISC" sheetId="30" r:id="rId14"/>
  </sheets>
  <definedNames>
    <definedName name="_xlnm._FilterDatabase" localSheetId="0" hidden="1">'PARTS LIST'!$A$1:$L$151</definedName>
    <definedName name="_xlnm.Print_Titles" localSheetId="0">'PARTS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18" roundtripDataSignature="AMtx7mjXg2aXlIlZtHiGIVqqlSvDo2t44g=="/>
    </ext>
  </extLst>
</workbook>
</file>

<file path=xl/calcChain.xml><?xml version="1.0" encoding="utf-8"?>
<calcChain xmlns="http://schemas.openxmlformats.org/spreadsheetml/2006/main">
  <c r="G106" i="43" l="1"/>
  <c r="G60" i="43"/>
  <c r="G61" i="43"/>
  <c r="G49" i="43"/>
  <c r="G50" i="43"/>
  <c r="G57" i="43"/>
  <c r="K14" i="45"/>
  <c r="K12" i="45"/>
  <c r="K11" i="45"/>
  <c r="G2" i="45"/>
  <c r="G3" i="45"/>
  <c r="G4" i="45"/>
  <c r="G5" i="45"/>
  <c r="G6" i="45"/>
  <c r="G7" i="45"/>
  <c r="G8" i="45"/>
  <c r="G9" i="45"/>
  <c r="G10" i="45"/>
  <c r="G11" i="45"/>
  <c r="G12" i="45"/>
  <c r="G13" i="45"/>
  <c r="G14" i="45"/>
  <c r="G15" i="45"/>
  <c r="G16" i="45"/>
  <c r="G17" i="45"/>
  <c r="G18" i="45"/>
  <c r="G19" i="45"/>
  <c r="G20" i="45"/>
  <c r="G21" i="45"/>
  <c r="G22" i="45"/>
  <c r="G23" i="45"/>
  <c r="G24" i="45"/>
  <c r="G25" i="45"/>
  <c r="G26" i="45"/>
  <c r="G27" i="45"/>
  <c r="G28" i="45"/>
  <c r="G29" i="45"/>
  <c r="G30" i="45"/>
  <c r="G31" i="45"/>
  <c r="G32" i="45"/>
  <c r="G33" i="45"/>
  <c r="G34" i="45"/>
  <c r="G35" i="45"/>
  <c r="G36" i="45"/>
  <c r="G37" i="45"/>
  <c r="G38" i="45"/>
  <c r="G39" i="45"/>
  <c r="G40" i="45"/>
  <c r="G41" i="45"/>
  <c r="G42" i="45"/>
  <c r="G43" i="45"/>
  <c r="G44" i="45"/>
  <c r="G45" i="45"/>
  <c r="G46" i="45"/>
  <c r="G47" i="45"/>
  <c r="G48" i="45"/>
  <c r="G49" i="45"/>
  <c r="G50" i="45"/>
  <c r="G51" i="45"/>
  <c r="G52" i="45"/>
  <c r="G53" i="45"/>
  <c r="G54" i="45"/>
  <c r="G55" i="45"/>
  <c r="G56" i="45"/>
  <c r="G57" i="45"/>
  <c r="G58" i="45"/>
  <c r="G59" i="45"/>
  <c r="G60" i="45"/>
  <c r="G61" i="45"/>
  <c r="G62" i="45"/>
  <c r="G63" i="45"/>
  <c r="G64" i="45"/>
  <c r="G65" i="45"/>
  <c r="G66" i="45"/>
  <c r="G67" i="45"/>
  <c r="G68" i="45"/>
  <c r="G69" i="45"/>
  <c r="G70" i="45"/>
  <c r="G71" i="45"/>
  <c r="G72" i="45"/>
  <c r="G73" i="45"/>
  <c r="G74" i="45"/>
  <c r="G75" i="45"/>
  <c r="G76" i="45"/>
  <c r="G77" i="45"/>
  <c r="G78" i="45"/>
  <c r="G79" i="45"/>
  <c r="G80" i="45"/>
  <c r="G81" i="45"/>
  <c r="G82" i="45"/>
  <c r="G83" i="45"/>
  <c r="G84" i="45"/>
  <c r="G85" i="45"/>
  <c r="G86" i="45"/>
  <c r="G87" i="45"/>
  <c r="G88" i="45"/>
  <c r="G89" i="45"/>
  <c r="G90" i="45"/>
  <c r="G91" i="45"/>
  <c r="F76" i="45"/>
  <c r="F2" i="45"/>
  <c r="F3" i="45"/>
  <c r="F4" i="45"/>
  <c r="F5" i="45"/>
  <c r="F6" i="45"/>
  <c r="F7" i="45"/>
  <c r="F34" i="45"/>
  <c r="F35" i="45"/>
  <c r="F36" i="45"/>
  <c r="F37" i="45"/>
  <c r="F18" i="45"/>
  <c r="F19" i="45"/>
  <c r="F20" i="45"/>
  <c r="F21" i="45"/>
  <c r="F22" i="45"/>
  <c r="F23" i="45"/>
  <c r="F59" i="45"/>
  <c r="F38" i="45"/>
  <c r="F67" i="45"/>
  <c r="F24" i="45"/>
  <c r="F25" i="45"/>
  <c r="F26" i="45"/>
  <c r="F27" i="45"/>
  <c r="F28" i="45"/>
  <c r="F29" i="45"/>
  <c r="F30" i="45"/>
  <c r="F31" i="45"/>
  <c r="F39" i="45"/>
  <c r="F40" i="45"/>
  <c r="F41" i="45"/>
  <c r="F42" i="45"/>
  <c r="F43" i="45"/>
  <c r="F44" i="45"/>
  <c r="F45" i="45"/>
  <c r="F46" i="45"/>
  <c r="F47" i="45"/>
  <c r="F60" i="45"/>
  <c r="F32" i="45"/>
  <c r="F68" i="45"/>
  <c r="F69" i="45"/>
  <c r="F70" i="45"/>
  <c r="F48" i="45"/>
  <c r="F49" i="45"/>
  <c r="F50" i="45"/>
  <c r="F51" i="45"/>
  <c r="F8" i="45"/>
  <c r="F9" i="45"/>
  <c r="F77" i="45"/>
  <c r="F78" i="45"/>
  <c r="F79" i="45"/>
  <c r="F52" i="45"/>
  <c r="F53" i="45"/>
  <c r="F33" i="45"/>
  <c r="F10" i="45"/>
  <c r="F11" i="45"/>
  <c r="F12" i="45"/>
  <c r="F13" i="45"/>
  <c r="F63" i="45"/>
  <c r="F61" i="45"/>
  <c r="F62" i="45"/>
  <c r="F14" i="45"/>
  <c r="F15" i="45"/>
  <c r="F54" i="45"/>
  <c r="F71" i="45"/>
  <c r="F72" i="45"/>
  <c r="F55" i="45"/>
  <c r="F56" i="45"/>
  <c r="F64" i="45"/>
  <c r="F65" i="45"/>
  <c r="F66" i="45"/>
  <c r="F73" i="45"/>
  <c r="F74" i="45"/>
  <c r="F75" i="45"/>
  <c r="F57" i="45"/>
  <c r="F58" i="45"/>
  <c r="F16" i="45"/>
  <c r="F17" i="45"/>
  <c r="F80" i="45"/>
  <c r="F81" i="45"/>
  <c r="F82" i="45"/>
  <c r="F83" i="45"/>
  <c r="F84" i="45"/>
  <c r="F85" i="45"/>
  <c r="F86" i="45"/>
  <c r="F87" i="45"/>
  <c r="F88" i="45"/>
  <c r="F89" i="45"/>
  <c r="F90" i="45"/>
  <c r="F91" i="45"/>
  <c r="H92" i="45"/>
  <c r="E92" i="45"/>
  <c r="G143" i="43"/>
  <c r="G110" i="43"/>
  <c r="G30" i="43"/>
  <c r="G31" i="43"/>
  <c r="G32" i="43"/>
  <c r="G33" i="43"/>
  <c r="G124" i="43"/>
  <c r="G14" i="43"/>
  <c r="G62" i="43"/>
  <c r="G28" i="43"/>
  <c r="G58" i="43"/>
  <c r="G24" i="43"/>
  <c r="G53" i="43"/>
  <c r="G34" i="43"/>
  <c r="G15" i="43"/>
  <c r="G16" i="43"/>
  <c r="G17" i="43"/>
  <c r="G44" i="43"/>
  <c r="G47" i="43"/>
  <c r="G38" i="43"/>
  <c r="G40" i="43"/>
  <c r="G42" i="43"/>
  <c r="G45" i="43"/>
  <c r="G39" i="43"/>
  <c r="G41" i="43"/>
  <c r="G43" i="43"/>
  <c r="G46" i="43"/>
  <c r="G48" i="43"/>
  <c r="G35" i="43"/>
  <c r="G36" i="43"/>
  <c r="G37" i="43"/>
  <c r="G13" i="43"/>
  <c r="G11" i="43"/>
  <c r="G12" i="43"/>
  <c r="G59" i="43"/>
  <c r="G85" i="43"/>
  <c r="G78" i="43"/>
  <c r="G73" i="43"/>
  <c r="G25" i="43"/>
  <c r="G144" i="43"/>
  <c r="G145" i="43"/>
  <c r="G149" i="43"/>
  <c r="G146" i="43"/>
  <c r="G147" i="43"/>
  <c r="G148" i="43"/>
  <c r="G80" i="43"/>
  <c r="G26" i="43"/>
  <c r="G95" i="43"/>
  <c r="G84" i="43"/>
  <c r="G71" i="43"/>
  <c r="G141" i="43"/>
  <c r="G68" i="43"/>
  <c r="G67" i="43"/>
  <c r="G66" i="43"/>
  <c r="G140" i="43"/>
  <c r="G138" i="43"/>
  <c r="G137" i="43"/>
  <c r="G136" i="43"/>
  <c r="G135" i="43"/>
  <c r="G139" i="43"/>
  <c r="G104" i="43"/>
  <c r="G103" i="43"/>
  <c r="G102" i="43"/>
  <c r="G101" i="43"/>
  <c r="G100" i="43"/>
  <c r="G99" i="43"/>
  <c r="G98" i="43"/>
  <c r="G97" i="43"/>
  <c r="G96" i="43"/>
  <c r="G92" i="43"/>
  <c r="G91" i="43"/>
  <c r="G90" i="43"/>
  <c r="G89" i="43"/>
  <c r="G88" i="43"/>
  <c r="G87" i="43"/>
  <c r="G86" i="43"/>
  <c r="G81" i="43"/>
  <c r="G79" i="43"/>
  <c r="G77" i="43"/>
  <c r="G76" i="43"/>
  <c r="G75" i="43"/>
  <c r="G74" i="43"/>
  <c r="G72" i="43"/>
  <c r="G131" i="43"/>
  <c r="G130" i="43"/>
  <c r="G129" i="43"/>
  <c r="G128" i="43"/>
  <c r="G127" i="43"/>
  <c r="G126" i="43"/>
  <c r="G123" i="43"/>
  <c r="G132" i="43"/>
  <c r="G125" i="43"/>
  <c r="G122" i="43"/>
  <c r="G121" i="43"/>
  <c r="G114" i="43"/>
  <c r="G120" i="43"/>
  <c r="G119" i="43"/>
  <c r="G117" i="43"/>
  <c r="G118" i="43"/>
  <c r="G115" i="43"/>
  <c r="G116" i="43"/>
  <c r="G133" i="43"/>
  <c r="G134" i="43"/>
  <c r="G94" i="43"/>
  <c r="G93" i="43"/>
  <c r="G64" i="43"/>
  <c r="G83" i="43"/>
  <c r="G82" i="43"/>
  <c r="G70" i="43"/>
  <c r="G69" i="43"/>
  <c r="G63" i="43"/>
  <c r="G150" i="43"/>
  <c r="G142" i="43"/>
  <c r="G113" i="43"/>
  <c r="G112" i="43"/>
  <c r="G111" i="43"/>
  <c r="G109" i="43"/>
  <c r="G107" i="43"/>
  <c r="G108" i="43"/>
  <c r="G105" i="43"/>
  <c r="G29" i="43"/>
  <c r="G52" i="43"/>
  <c r="G51" i="43"/>
  <c r="G19" i="43"/>
  <c r="G18" i="43"/>
  <c r="G54" i="43"/>
  <c r="G27" i="43"/>
  <c r="G23" i="43"/>
  <c r="G22" i="43"/>
  <c r="G55" i="43"/>
  <c r="G20" i="43"/>
  <c r="G56" i="43"/>
  <c r="G21" i="43"/>
  <c r="G65" i="43"/>
  <c r="G7" i="43"/>
  <c r="G6" i="43"/>
  <c r="G5" i="43"/>
  <c r="G9" i="43"/>
  <c r="G3" i="43"/>
  <c r="G8" i="43"/>
  <c r="G10" i="43"/>
  <c r="G4" i="43"/>
  <c r="G2" i="43"/>
  <c r="F92" i="45" l="1"/>
  <c r="G92" i="45"/>
  <c r="G151" i="43"/>
</calcChain>
</file>

<file path=xl/sharedStrings.xml><?xml version="1.0" encoding="utf-8"?>
<sst xmlns="http://schemas.openxmlformats.org/spreadsheetml/2006/main" count="1652" uniqueCount="874">
  <si>
    <t>Type</t>
  </si>
  <si>
    <t>Part</t>
  </si>
  <si>
    <t>Cut length</t>
  </si>
  <si>
    <t>Qty Required</t>
  </si>
  <si>
    <t>Pack Order Qty</t>
  </si>
  <si>
    <t>Pack Price $USD</t>
  </si>
  <si>
    <t>*Cost Price $USD</t>
  </si>
  <si>
    <t>Order Link</t>
  </si>
  <si>
    <t>Supplier</t>
  </si>
  <si>
    <t>Qty in a Pack</t>
  </si>
  <si>
    <t>DIN</t>
  </si>
  <si>
    <t>ISO</t>
  </si>
  <si>
    <t>Column1</t>
  </si>
  <si>
    <t>Column2</t>
  </si>
  <si>
    <t>Bearing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</si>
  <si>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</si>
  <si>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</si>
  <si>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</si>
  <si>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</si>
  <si>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</si>
  <si>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</si>
  <si>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</si>
  <si>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MGN 12H 350 Linear Rail</t>
  </si>
  <si>
    <t>C: L350 - MGN12H - PL None</t>
  </si>
  <si>
    <t>CNA</t>
  </si>
  <si>
    <t>MGN 12H 400 Linear Rail</t>
  </si>
  <si>
    <t>C: L400 - MGN12H - PL Light</t>
  </si>
  <si>
    <t>MGN 9H 400 Linear Rail</t>
  </si>
  <si>
    <t>C: L400 - MGN9H - PL Medium</t>
  </si>
  <si>
    <t>04.5mm Bearing Ball</t>
  </si>
  <si>
    <t>OD: 4.5mm G100 - N: 10PCS</t>
  </si>
  <si>
    <t>Gosenballs</t>
  </si>
  <si>
    <t>M4x10mm Ball Bearing tapped</t>
  </si>
  <si>
    <t>M4x10 Ball Bearing - 20PCS</t>
  </si>
  <si>
    <t>Mellow 3D</t>
  </si>
  <si>
    <t>16x400 DBX Draw Slides</t>
  </si>
  <si>
    <t>C: Buffer 16in - 40cm</t>
  </si>
  <si>
    <t>Naierdi</t>
  </si>
  <si>
    <t>Electrical</t>
  </si>
  <si>
    <t>Cable Blue 18AWG 200C 600V</t>
  </si>
  <si>
    <t>Color: Blue - L: 1M - S: 18AWG</t>
  </si>
  <si>
    <t>SkyCable store</t>
  </si>
  <si>
    <t>Cable Green 18AWG 200C 600V</t>
  </si>
  <si>
    <t>Cable Brown 18AWG 200C 600V</t>
  </si>
  <si>
    <t>Color: Brown L: 1M S: 18 AWG</t>
  </si>
  <si>
    <t>Lighting - 24v led strip 5M</t>
  </si>
  <si>
    <t>Color: DC 24V - L: 5M</t>
  </si>
  <si>
    <t>Dengsum</t>
  </si>
  <si>
    <t>Power Fuse 10A</t>
  </si>
  <si>
    <t>486-3322-ND</t>
  </si>
  <si>
    <t>Digikey</t>
  </si>
  <si>
    <t>Power Fuse holder 15A</t>
  </si>
  <si>
    <t>2298-PMA-DB-04-Q1S-ND</t>
  </si>
  <si>
    <t>Power IEC + switch AC 15A</t>
  </si>
  <si>
    <t>CCM1916-ND</t>
  </si>
  <si>
    <t>Load Cell 5kg</t>
  </si>
  <si>
    <t>Adafruit Industries LLC 4541</t>
  </si>
  <si>
    <t>Load cell amplifier HX711</t>
  </si>
  <si>
    <t>SparkFun Electronics 13879</t>
  </si>
  <si>
    <t>ESP32 + Expansion Board</t>
  </si>
  <si>
    <t>ESP32 + Expansion Board Combo</t>
  </si>
  <si>
    <t>EZ-Electro</t>
  </si>
  <si>
    <t>Buildplate Heater 750w</t>
  </si>
  <si>
    <t>300x300</t>
  </si>
  <si>
    <t>300x300 750W-120V/220V-NO GLUE!</t>
  </si>
  <si>
    <t>Keenovo</t>
  </si>
  <si>
    <t>GX20 flange mount &amp; Plug 10pin</t>
  </si>
  <si>
    <t>Color: 10Pin</t>
  </si>
  <si>
    <t>MannHwa</t>
  </si>
  <si>
    <t>GX20 flange mount &amp; Plug 6pin</t>
  </si>
  <si>
    <t>Color: 6Pin</t>
  </si>
  <si>
    <t>PSU 12V DC 75W meanwell</t>
  </si>
  <si>
    <t>MEANWELL</t>
  </si>
  <si>
    <t>Buffer - LLL Plus Filament Buffer</t>
  </si>
  <si>
    <t>Color: LLL Plus Buffer</t>
  </si>
  <si>
    <t>Fan Dual Ball Bearing 4010</t>
  </si>
  <si>
    <t>Size: 24V</t>
  </si>
  <si>
    <t>Heater - Cartridge Heater 24v 70W</t>
  </si>
  <si>
    <t>Solid State Relay</t>
  </si>
  <si>
    <t>DC5-24V Solid State Relay</t>
  </si>
  <si>
    <t>Temp Sensor PT 1000</t>
  </si>
  <si>
    <t>HT PT1000 Thermistor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</si>
  <si>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</si>
  <si>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</si>
  <si>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</si>
  <si>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</si>
  <si>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</si>
  <si>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HDC-HE-4core HD connector female</t>
  </si>
  <si>
    <t>Color: 4 female core</t>
  </si>
  <si>
    <t>HDC-HE-4core HD connector male</t>
  </si>
  <si>
    <t>Color: 4 male core</t>
  </si>
  <si>
    <t>Power IEC extension lead</t>
  </si>
  <si>
    <t>Cable length: 1m - Color: Black</t>
  </si>
  <si>
    <t>Shop5884151</t>
  </si>
  <si>
    <t>Cable 2:1 Heat Shrink Tube 3mm</t>
  </si>
  <si>
    <t>Color: black - ID: 3mm - L: 1M</t>
  </si>
  <si>
    <t>Cable 2:1 Heat Shrink Tube 4mm</t>
  </si>
  <si>
    <t>Color: black - ID: 4mm - L: 1M</t>
  </si>
  <si>
    <t>Cable 2:1 Heat Shrink Tube 8mm</t>
  </si>
  <si>
    <t>Color: black - ID: 8mm - L: 1M</t>
  </si>
  <si>
    <t>Cable Black 20AWG</t>
  </si>
  <si>
    <t>Color: Black - L: 2M - S: 20AWG</t>
  </si>
  <si>
    <t>Cable Black 24AWG</t>
  </si>
  <si>
    <t>Color: Black - L: 5M - S: 24AWG</t>
  </si>
  <si>
    <t>Cable Blue 20AWG</t>
  </si>
  <si>
    <t>Color: Blue - L: 2M - S: 20AWG</t>
  </si>
  <si>
    <t>Cable Blue 24AWG</t>
  </si>
  <si>
    <t>Color: Blue - L: 5M - S: 24AWG</t>
  </si>
  <si>
    <t>Cable Green 20AWG</t>
  </si>
  <si>
    <t>Color: Green - L: 2M - S: 20AWG</t>
  </si>
  <si>
    <t>Cable Green 24AWG</t>
  </si>
  <si>
    <t>Color: Green - L: 5M - S: 24AWG</t>
  </si>
  <si>
    <t>Cable PET Braid sleeve</t>
  </si>
  <si>
    <t>Color: Black Silver - L: 5M</t>
  </si>
  <si>
    <t>Cable Red 20AWG</t>
  </si>
  <si>
    <t>Color: Red - L: 2M - S: 20AWG</t>
  </si>
  <si>
    <t>Cable Red 24AWG</t>
  </si>
  <si>
    <t>Color: Red - L: 5M - S: 24AWG</t>
  </si>
  <si>
    <t>Cable White 16AWG</t>
  </si>
  <si>
    <t>Color: White - L: 5M - S: 16AWG</t>
  </si>
  <si>
    <t>Cable White 24AWG</t>
  </si>
  <si>
    <t>Color: White - L: 5M - S: 24AWG</t>
  </si>
  <si>
    <t>Cable Red AWG 14</t>
  </si>
  <si>
    <t>Cable Black AWG 14</t>
  </si>
  <si>
    <t>Nema 17 40mm Z motor</t>
  </si>
  <si>
    <t>C: 17HS16 2004S1</t>
  </si>
  <si>
    <t>STEPPERONLINE</t>
  </si>
  <si>
    <t>Nema 17 48 S55 AB motor</t>
  </si>
  <si>
    <t>C: 17HS19-2504S</t>
  </si>
  <si>
    <t>PSU 24V DC 350W meanwell</t>
  </si>
  <si>
    <t>Output Voltage: 24V Power: LRS-350</t>
  </si>
  <si>
    <t>Heater - PTC 24V 300W dbx</t>
  </si>
  <si>
    <t>Color: 24V 300W</t>
  </si>
  <si>
    <t>Tony Tang Store</t>
  </si>
  <si>
    <t>Fan - CPAP Blower Robo</t>
  </si>
  <si>
    <t>Color: 20N704V170</t>
  </si>
  <si>
    <t>VCR Store</t>
  </si>
  <si>
    <t>DHT 22 temp/humid sensor</t>
  </si>
  <si>
    <t>C: 1PC DHT22 AM2302</t>
  </si>
  <si>
    <t>Wxinko ES</t>
  </si>
  <si>
    <t>Cable tie 80 x 2.5mm 150C rated</t>
  </si>
  <si>
    <t>Control Board Super8/Duet 3 6hc</t>
  </si>
  <si>
    <t>Color: Duet 3 6HC</t>
  </si>
  <si>
    <t>XJW TECH</t>
  </si>
  <si>
    <t>Cable Connector JST PH 6-Pin</t>
  </si>
  <si>
    <t>C: Straight pin socket PQ: 10set Pins: 6P</t>
  </si>
  <si>
    <t>ZSDZFYLLK</t>
  </si>
  <si>
    <t>used on extuder stepper</t>
  </si>
  <si>
    <t>Cable Connector JST PH 4-Pin</t>
  </si>
  <si>
    <t>C: Straight pin socket PQ: 10set Pins: 4P</t>
  </si>
  <si>
    <t>DC 5.5mmx2.1mm Power Jack</t>
  </si>
  <si>
    <t>?</t>
  </si>
  <si>
    <t>no supplier yet</t>
  </si>
  <si>
    <t>DIN Rail + terminal block kit UK2.5</t>
  </si>
  <si>
    <t>Din Rail Terminal Block</t>
  </si>
  <si>
    <t>Fastener</t>
  </si>
  <si>
    <t>M3 Nut Hammer</t>
  </si>
  <si>
    <t>Color: 20-M3</t>
  </si>
  <si>
    <t>BULK-MAN</t>
  </si>
  <si>
    <t>M5 Nut Hammer</t>
  </si>
  <si>
    <t>Color: 20-M5</t>
  </si>
  <si>
    <t>05x10 D5 Shaft Collar DIN 705</t>
  </si>
  <si>
    <t>ID: 5x10x6xM3</t>
  </si>
  <si>
    <t>Hui Xing HW</t>
  </si>
  <si>
    <t>05x08x1 Precision Shim</t>
  </si>
  <si>
    <t>M5x8x1mm - 50PCS</t>
  </si>
  <si>
    <t>TINGOO HS</t>
  </si>
  <si>
    <t>06x12x1 Precision Shim</t>
  </si>
  <si>
    <t>ID: M6x12x50PCS OD: 1mm</t>
  </si>
  <si>
    <t>08x12x1 Precision Shim</t>
  </si>
  <si>
    <t>ID: M8x12x50PCS OD: 1mm</t>
  </si>
  <si>
    <t>M3 Nut DIN 934</t>
  </si>
  <si>
    <t>S: 25pcs M3</t>
  </si>
  <si>
    <t>M3 Nut Locknut DIN 985</t>
  </si>
  <si>
    <t>S: 10pcs M3</t>
  </si>
  <si>
    <t>M3 Washer DIN 125</t>
  </si>
  <si>
    <t>ID: M3 50pcs</t>
  </si>
  <si>
    <t>M3x03 Set Screw DIN 913</t>
  </si>
  <si>
    <t>Size: 50pcs M3 L: 3mm</t>
  </si>
  <si>
    <t>M3x05 Set Screw DIN 916</t>
  </si>
  <si>
    <t>Size: 20pcs M3 L: 5mm</t>
  </si>
  <si>
    <t>M3x08 BH ISO 7380</t>
  </si>
  <si>
    <t>S: 25pcs M3 - L: 8mm</t>
  </si>
  <si>
    <t>M3x08 FH DIN 7991</t>
  </si>
  <si>
    <t>M3x08 SH DIN 912 ISO 4762</t>
  </si>
  <si>
    <t>S: 10pcs M3 - L: 8mm</t>
  </si>
  <si>
    <t>M3x10 SH DIN 912 ISO 4762</t>
  </si>
  <si>
    <t>S: 10pcs M3 - L: 10mm</t>
  </si>
  <si>
    <t>M3x12 FH DIN 7991</t>
  </si>
  <si>
    <t>Size: 25pcs M3 L: 12mm</t>
  </si>
  <si>
    <t>M3x12 SH DIN 912 ISO 4762</t>
  </si>
  <si>
    <t>S: 10pcs M3 - L: 12mm</t>
  </si>
  <si>
    <t>M3x20 HEX ISO 4017 DIN 933</t>
  </si>
  <si>
    <t>S: 25pcs M3 - L: 20mm</t>
  </si>
  <si>
    <t>M3x20 SH Din 912</t>
  </si>
  <si>
    <t>S: 10pcs M3 - L: 20mm</t>
  </si>
  <si>
    <t>M4 Nut DIN 934</t>
  </si>
  <si>
    <t>S: 25pcs M4</t>
  </si>
  <si>
    <t>M4 Nut Locknut</t>
  </si>
  <si>
    <t>S: 10pcs M4</t>
  </si>
  <si>
    <t>M4 Washer DIN 125</t>
  </si>
  <si>
    <t>ID: M4 50pcs</t>
  </si>
  <si>
    <t>M4x12 FH DIN 7991</t>
  </si>
  <si>
    <t>Size: 10pcs M4 L: 12mm</t>
  </si>
  <si>
    <t>M4x14 SH DIN 912 ISO 4762</t>
  </si>
  <si>
    <t>S: 10pcs M3 - L: 14mm</t>
  </si>
  <si>
    <t>M4x16 D5 Shoulder Screw</t>
  </si>
  <si>
    <t>S: D5-M4 L: 16</t>
  </si>
  <si>
    <t>M4x20 FH DIN 7991</t>
  </si>
  <si>
    <t>S: 10pcs M4 - L: 20mm</t>
  </si>
  <si>
    <t>M4x25 FH DIN 7991</t>
  </si>
  <si>
    <t>S: 10pcs M4 - L: 25mm</t>
  </si>
  <si>
    <t>M4x35 HEX ISO 4017 DIN 933</t>
  </si>
  <si>
    <t>S: 10pcs M4 - L: 35mm</t>
  </si>
  <si>
    <t>M4x50 FH DIN 7991</t>
  </si>
  <si>
    <t>S: 10pcs M4 - L: 50mm</t>
  </si>
  <si>
    <t>M4x55 D5 Shoulder Screw</t>
  </si>
  <si>
    <t>S: 5PCS 5-M4 - L: 55mm</t>
  </si>
  <si>
    <t>M5 Nut DIN 934</t>
  </si>
  <si>
    <t>S: 25pcs M5</t>
  </si>
  <si>
    <t>M5 Nut Locknut</t>
  </si>
  <si>
    <t>S: 10pcs M5</t>
  </si>
  <si>
    <t>M5 Washer DIN 125</t>
  </si>
  <si>
    <t>ID: M5 50pcs</t>
  </si>
  <si>
    <t>M5x10 BH ISO 7380</t>
  </si>
  <si>
    <t>S: 10pcs M5 - L: 10mm</t>
  </si>
  <si>
    <t>M5x16 BH ISO 7380</t>
  </si>
  <si>
    <t>S: 10pcs M5 - L: 16mm</t>
  </si>
  <si>
    <t>M5x20 BH ISO 7380</t>
  </si>
  <si>
    <t>S: 10pcs M5 - L: 20mm</t>
  </si>
  <si>
    <t>M5x20 HEX ISO 4017 DIN 933</t>
  </si>
  <si>
    <t>M5x30 BH ISO 7380</t>
  </si>
  <si>
    <t>S: 10pcs M5 - L: 30mm</t>
  </si>
  <si>
    <t>M5x30 HEX ISO 4017 DIN 933</t>
  </si>
  <si>
    <t>M5x40 HEX ISO 4017 DIN 933</t>
  </si>
  <si>
    <t>S: 10pcs M5 - L: 40mm</t>
  </si>
  <si>
    <t>M5x55 HEX ISO 4017 DIN 933</t>
  </si>
  <si>
    <t>S: 10pcs M5 - L: 55mm</t>
  </si>
  <si>
    <t>M6x10 BH ISO 7380</t>
  </si>
  <si>
    <t>S: 10pcs M6 - L: 10mm</t>
  </si>
  <si>
    <t>Kinematics</t>
  </si>
  <si>
    <t>POWGE</t>
  </si>
  <si>
    <t>GT2 Gear 20T(5mm)-80T(5mm)-W:6-200</t>
  </si>
  <si>
    <t>BD:20T(5mm)-80T(5mm)-W:6mm-200</t>
  </si>
  <si>
    <t>GT2 Pulley 20T 11mm</t>
  </si>
  <si>
    <t>BD: 5mm BW: 10mm N: 10PCS</t>
  </si>
  <si>
    <t>GT2 Timing Belt Z EPDM 9mm</t>
  </si>
  <si>
    <t>Magnet</t>
  </si>
  <si>
    <t>Buildplate Magnet 15x03</t>
  </si>
  <si>
    <t>15x03</t>
  </si>
  <si>
    <t>Color: 50pcs 15x3mm</t>
  </si>
  <si>
    <t>HW Store</t>
  </si>
  <si>
    <t>Magnet 06x05 SamCo HT</t>
  </si>
  <si>
    <t>Color: 6x5mm (10Pcs)</t>
  </si>
  <si>
    <t>Superb HW Store</t>
  </si>
  <si>
    <t>Magnet 20mm 10kg</t>
  </si>
  <si>
    <t>Color: 6PCS S: A20</t>
  </si>
  <si>
    <t>SZ-Ming</t>
  </si>
  <si>
    <t>Magnet Keeper 20x3</t>
  </si>
  <si>
    <t>Size: 5pcs M4</t>
  </si>
  <si>
    <t>Plumbing</t>
  </si>
  <si>
    <t>LC - Tubing 4x6 mm IDxOD 5M</t>
  </si>
  <si>
    <t>C: 4x6mm - L: 5M</t>
  </si>
  <si>
    <t>ANHI Store</t>
  </si>
  <si>
    <t>LC - Extruder radiator 30x30x9.5</t>
  </si>
  <si>
    <t>Color: 30x30</t>
  </si>
  <si>
    <t>Cynzo</t>
  </si>
  <si>
    <t>LC - 04mm ID Barb 1/4"</t>
  </si>
  <si>
    <t>S: 4mm Barb - TS: 1/4"</t>
  </si>
  <si>
    <t>EES Store</t>
  </si>
  <si>
    <t>LC - Flowmeter</t>
  </si>
  <si>
    <t>Flow Liquid Monitoring LSJ-ZNBJ</t>
  </si>
  <si>
    <t>FREEZEMOD</t>
  </si>
  <si>
    <t>LC - Fan - 120mm</t>
  </si>
  <si>
    <t>Color: P16-b-1fan</t>
  </si>
  <si>
    <t>PADO OS</t>
  </si>
  <si>
    <t>LC - Pump</t>
  </si>
  <si>
    <t>C: 65mm-Black</t>
  </si>
  <si>
    <t>SysCooling</t>
  </si>
  <si>
    <t>LC - Radiator 120mm</t>
  </si>
  <si>
    <t>AS120-T 120mm radiator 22mm</t>
  </si>
  <si>
    <t>LC - M5-4ID Elbow Fitting</t>
  </si>
  <si>
    <t>C: WX-KPC4-M5</t>
  </si>
  <si>
    <t>ZGUA Store</t>
  </si>
  <si>
    <t>Profile</t>
  </si>
  <si>
    <t>15x15x1 Aluminum Tube L: 230mm</t>
  </si>
  <si>
    <t>L: 500mm - S: 15x15x1mm</t>
  </si>
  <si>
    <t>18th Gw</t>
  </si>
  <si>
    <t>20x20x1 Aluminum Tube L: 410mm</t>
  </si>
  <si>
    <t>L: 500mm - S: 20x20x1mm</t>
  </si>
  <si>
    <t>Plate - AL for DIN &amp; SSR</t>
  </si>
  <si>
    <t>180x150x3</t>
  </si>
  <si>
    <t>Color: 200x200mm - S: 3mm 1pc</t>
  </si>
  <si>
    <t>2020 Joining Plate 90 Deg</t>
  </si>
  <si>
    <t>Color: 2020 (4pcs)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</si>
  <si>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</si>
  <si>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</si>
  <si>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</si>
  <si>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</si>
  <si>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</si>
  <si>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</si>
  <si>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</si>
  <si>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</si>
  <si>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</si>
  <si>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</si>
  <si>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</si>
  <si>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</si>
  <si>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</si>
  <si>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2028 T-Slot L-Bracket</t>
  </si>
  <si>
    <t>Color: 10PCS 2028 Silver</t>
  </si>
  <si>
    <t>HTCC Store</t>
  </si>
  <si>
    <t>Buildplate Cast AL 5083 8mm</t>
  </si>
  <si>
    <t>350x350x8</t>
  </si>
  <si>
    <t>Source locally or ask MELLOW</t>
  </si>
  <si>
    <t>Local</t>
  </si>
  <si>
    <t>300x300x3mm - PC Sheet</t>
  </si>
  <si>
    <t>S: 300x300x3mm2</t>
  </si>
  <si>
    <t>Shop110</t>
  </si>
  <si>
    <t>Shaft</t>
  </si>
  <si>
    <t>05x40 Bearing Shaft</t>
  </si>
  <si>
    <t>S: 5x40 - 20PCS</t>
  </si>
  <si>
    <t>HE Material</t>
  </si>
  <si>
    <t>05x50 Bearing Shaft</t>
  </si>
  <si>
    <t>S: 5x50 - 20PCS</t>
  </si>
  <si>
    <t>06x25 Bearing Shaft</t>
  </si>
  <si>
    <t>6x25 - 20PCS</t>
  </si>
  <si>
    <t>06x40 Bearing Shaft</t>
  </si>
  <si>
    <t>6x40 - 20PCS</t>
  </si>
  <si>
    <t>03x25 Bearing Shaft</t>
  </si>
  <si>
    <t>D: 10PCS M3 - L: 25mm</t>
  </si>
  <si>
    <t>08x400 Steel Rod - Door Link</t>
  </si>
  <si>
    <t>L: 400 D: 8mm</t>
  </si>
  <si>
    <t>YUNSHUO</t>
  </si>
  <si>
    <t>Spring</t>
  </si>
  <si>
    <t>07x10 Spring 0.4 WD</t>
  </si>
  <si>
    <t>L: 10mm(10pcs) - WD: 0.4 - OD: 7mm</t>
  </si>
  <si>
    <t>AZ-hw</t>
  </si>
  <si>
    <t>Toolpart</t>
  </si>
  <si>
    <t>Extruder - BIQU H2 V2X</t>
  </si>
  <si>
    <t>BTT H2 V2X Extruder</t>
  </si>
  <si>
    <t>BIGTREETECH</t>
  </si>
  <si>
    <t>Brush 40 x12.5 x 9.5mm</t>
  </si>
  <si>
    <t>Nozzle Cleaning Brush</t>
  </si>
  <si>
    <t>FYSETC</t>
  </si>
  <si>
    <t>V6 Bimetal Heatbreak</t>
  </si>
  <si>
    <t>Color: Bi-Metal Short</t>
  </si>
  <si>
    <t>Lerge</t>
  </si>
  <si>
    <t>Heater Block Copper NF-Crazy</t>
  </si>
  <si>
    <t>NF-Crazy Heater Block</t>
  </si>
  <si>
    <t>NF crazy Screw Kit</t>
  </si>
  <si>
    <t>Color: SET6</t>
  </si>
  <si>
    <t>NF crazy Tubes Kit</t>
  </si>
  <si>
    <t>Color: SET2</t>
  </si>
  <si>
    <t>Nozzle V6 Hardened 0.6</t>
  </si>
  <si>
    <t>Size: 0.6mm</t>
  </si>
  <si>
    <t>Mothend V2</t>
  </si>
  <si>
    <t>PCBWay</t>
  </si>
  <si>
    <t>PCB way</t>
  </si>
  <si>
    <t>CPAP Part Fan Tube 125C+</t>
  </si>
  <si>
    <t>PFA HT CPAP TUBE</t>
  </si>
  <si>
    <t>YouQin5 Store</t>
  </si>
  <si>
    <t>Price exl Taxes</t>
  </si>
  <si>
    <t>*shipping cost may vary</t>
  </si>
  <si>
    <t>Part name</t>
  </si>
  <si>
    <t>Description</t>
  </si>
  <si>
    <t>BOM Quantity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</si>
  <si>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</si>
  <si>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</si>
  <si>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</si>
  <si>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</si>
  <si>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</si>
  <si>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</si>
  <si>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</si>
  <si>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</si>
  <si>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</si>
  <si>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</si>
  <si>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</si>
  <si>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</si>
  <si>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</si>
  <si>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Chris Lombardi</t>
  </si>
  <si>
    <t>Y Length Profile</t>
  </si>
  <si>
    <t>Z Height Profile</t>
  </si>
  <si>
    <t>2820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</si>
  <si>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</si>
  <si>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</si>
  <si>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</si>
  <si>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</si>
  <si>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</si>
  <si>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</si>
  <si>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</si>
  <si>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</si>
  <si>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</si>
  <si>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</si>
  <si>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</si>
  <si>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</si>
  <si>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</si>
  <si>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06x05 Magnet SmCo</t>
  </si>
  <si>
    <t>20x20x1 X Axis AL Tube 410</t>
  </si>
  <si>
    <t>Brush</t>
  </si>
  <si>
    <t>M3 Nut Hammer Nut</t>
  </si>
  <si>
    <t>M3 Nut Lock Nut DIN 985</t>
  </si>
  <si>
    <t>V2 Drawings</t>
  </si>
  <si>
    <t>M3 Washer  DIN 125 ISO 7089</t>
  </si>
  <si>
    <t>M3x20 SH DIN 912 ISO 4762</t>
  </si>
  <si>
    <t>M5 LOCK NUT</t>
  </si>
  <si>
    <t>M5 Nut DIN</t>
  </si>
  <si>
    <t>MGN12H 400</t>
  </si>
  <si>
    <t>Preload - Light</t>
  </si>
  <si>
    <t>MGN9H 400</t>
  </si>
  <si>
    <t>Preload - Medium</t>
  </si>
  <si>
    <t>Nema 17 48 S55</t>
  </si>
  <si>
    <t>V2 AB Brace_1x</t>
  </si>
  <si>
    <t>V2 AB Idler Spacer_4x</t>
  </si>
  <si>
    <t>V2 AB Idler Tension Tower A</t>
  </si>
  <si>
    <t>V2 AB Idler Tension Tower B</t>
  </si>
  <si>
    <t>V2 AB Motor Bearing Buddy_2x</t>
  </si>
  <si>
    <t>V2 AB Motor Bracket</t>
  </si>
  <si>
    <t>V2 FlintZone Dock Bracket_1x</t>
  </si>
  <si>
    <t>V2 FlintZone Dock_1x</t>
  </si>
  <si>
    <t>V2 Idler Bracket Front A_1X</t>
  </si>
  <si>
    <t>V2 Idler Bracket Front B_1X</t>
  </si>
  <si>
    <t>V2 Idler Bracket Rear AB_2X</t>
  </si>
  <si>
    <t>V2 Idler Tension Fork_2x</t>
  </si>
  <si>
    <t>V2 Nozzle Brushing Bracket_1x</t>
  </si>
  <si>
    <t>V2 Nozzle Brushing Bucket_1x</t>
  </si>
  <si>
    <t>V2 Y Carrier A_1x</t>
  </si>
  <si>
    <t>V2 Y Carrier B_1x</t>
  </si>
  <si>
    <t>CPAP Tube HT</t>
  </si>
  <si>
    <t>Extruder radiator 30x30x9.5</t>
  </si>
  <si>
    <t>Fan 24V  - CPAP  cooler 4010</t>
  </si>
  <si>
    <t>need to ADD  CONNECTOR FOR CPAP FAN  PH4R+ crimps</t>
  </si>
  <si>
    <t xml:space="preserve">M3 Nut DIN 934 </t>
  </si>
  <si>
    <t>M3 Washer DIN 125 ISO 7089</t>
  </si>
  <si>
    <t>M3x03  Set Screw  DIN 913</t>
  </si>
  <si>
    <t>M3x10 SH DIN 912</t>
  </si>
  <si>
    <t>M3x12 SH DIN 912</t>
  </si>
  <si>
    <t xml:space="preserve">M3x20 HEX DIN 933 </t>
  </si>
  <si>
    <t>M3x25 Bearing shaft</t>
  </si>
  <si>
    <t xml:space="preserve">Ø7x10 Spring 0.4 WD </t>
  </si>
  <si>
    <t xml:space="preserve">V2 CPAP  Fan Buddy_1x </t>
  </si>
  <si>
    <t>tbd</t>
  </si>
  <si>
    <t>V2 Extruder cable buddy_1x</t>
  </si>
  <si>
    <t>V2 FlintZone Probe_1x</t>
  </si>
  <si>
    <t>V2 FlintZone_1x</t>
  </si>
  <si>
    <t>V2 Part Fan CPAP Chimney_1x</t>
  </si>
  <si>
    <t>V2 Part Fan Duct_1x</t>
  </si>
  <si>
    <t>V2 Toolhead Cover_1x</t>
  </si>
  <si>
    <t>V2 Tool Carrier_1x</t>
  </si>
  <si>
    <t>V2 Tool Plate _1x</t>
  </si>
  <si>
    <t>MOTHEND HOTEND BOM</t>
  </si>
  <si>
    <t>Heater Cartridge</t>
  </si>
  <si>
    <t>M5-6OD Elbow Fitting</t>
  </si>
  <si>
    <t>Mothend Ball plug Ø4.5</t>
  </si>
  <si>
    <t>PT 1000 - 1.3M</t>
  </si>
  <si>
    <t>05x16x05 625-2ZZ Bearing</t>
  </si>
  <si>
    <t>Buildplate Sheet Magnet</t>
  </si>
  <si>
    <t>15x3 SmCo</t>
  </si>
  <si>
    <t xml:space="preserve">GT2 EPDM 10mm +135℃ </t>
  </si>
  <si>
    <t>GT2 Gears 20T(5mm)-80T(5mm) - W: 6-200</t>
  </si>
  <si>
    <t>Heater Pad - 300x300 750w</t>
  </si>
  <si>
    <t>M3 Nut Lock Nut</t>
  </si>
  <si>
    <t>M3 Washer DIN 433 ISO 7092</t>
  </si>
  <si>
    <t>M4 D5 L55 Shoulder Screw</t>
  </si>
  <si>
    <t>M4 LOCK NUT</t>
  </si>
  <si>
    <t>M4 Ø10 Ball tapped</t>
  </si>
  <si>
    <t>M5x20 HEX DIN 933 ISO 4017</t>
  </si>
  <si>
    <t>MGN12H 350 Linear Rail</t>
  </si>
  <si>
    <t>Nema 17 40mm</t>
  </si>
  <si>
    <t>V2 Gearbox Cover A_1x</t>
  </si>
  <si>
    <t>V2 Gearbox Cover B_1x</t>
  </si>
  <si>
    <t>V2 Gearbox Cover C_1x</t>
  </si>
  <si>
    <t>V2 Z AB Belt Clamp_2x</t>
  </si>
  <si>
    <t>V2 Z C Belt Clamp_1x</t>
  </si>
  <si>
    <t>V2 Z Carrier Front A_1x</t>
  </si>
  <si>
    <t>V2 Z Carrier Front B_1x</t>
  </si>
  <si>
    <t>V2 Z Carrier Rear_1x</t>
  </si>
  <si>
    <t>V2 Z Gearbox  Bracket A_1x</t>
  </si>
  <si>
    <t>V2 Z Gearbox  Bracket B_1x</t>
  </si>
  <si>
    <t>V2 Z Gearbox  Bracket C_1x</t>
  </si>
  <si>
    <t>V2 Z Idler Pulley Fork_3x</t>
  </si>
  <si>
    <t>V2 Z Idler Tower A_1x</t>
  </si>
  <si>
    <t>V2 Z Idler Tower B_1x</t>
  </si>
  <si>
    <t>V2 Z Idler Tower C_1x</t>
  </si>
  <si>
    <t>no print surface  on BOM</t>
  </si>
  <si>
    <t xml:space="preserve">05x16x5 Bearing 625ZZ 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</si>
  <si>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</si>
  <si>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</si>
  <si>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</si>
  <si>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</si>
  <si>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</si>
  <si>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</si>
  <si>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Buffer - Mellow LLL Plus Filament Buffer</t>
  </si>
  <si>
    <t xml:space="preserve">M3 Washer DIN 125 </t>
  </si>
  <si>
    <t xml:space="preserve">M3x05 Set Screw DIN 913 </t>
  </si>
  <si>
    <t>M4 NUT DIN 934</t>
  </si>
  <si>
    <t>M4 WASHER DIN 125</t>
  </si>
  <si>
    <t xml:space="preserve">M4x16 D5 Shoulder Screw </t>
  </si>
  <si>
    <t>M5 Lock Nut</t>
  </si>
  <si>
    <t>M5x40 HEX DIN 931</t>
  </si>
  <si>
    <t>M5x55 HEX DIN 931 ISO 4014</t>
  </si>
  <si>
    <t>V2 AB Motor Pocket Cover_1x</t>
  </si>
  <si>
    <t>Printed</t>
  </si>
  <si>
    <t>V2 Base Plate_1x</t>
  </si>
  <si>
    <t>MDF Base Plate 12 mm</t>
  </si>
  <si>
    <t>V2 Cable Gland Clamp_2x</t>
  </si>
  <si>
    <t>V2 Cable Gland Nut_1x</t>
  </si>
  <si>
    <t>V2 Cable Gland Tube_1x</t>
  </si>
  <si>
    <t>V2 Chamber Heater Buddy_1x</t>
  </si>
  <si>
    <t>TBD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</si>
  <si>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</si>
  <si>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</si>
  <si>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</si>
  <si>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</si>
  <si>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</si>
  <si>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</si>
  <si>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</si>
  <si>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</si>
  <si>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</si>
  <si>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</si>
  <si>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V2 Front Door Bracket B_1x</t>
  </si>
  <si>
    <t>V2 Front Door Handle A_1x</t>
  </si>
  <si>
    <t>V2 Front Door Handle B_1x</t>
  </si>
  <si>
    <t>V2 GX20 Bracket_1x</t>
  </si>
  <si>
    <t>V2 GX20 Cover_1x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</si>
  <si>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</si>
  <si>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</si>
  <si>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</si>
  <si>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</si>
  <si>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</si>
  <si>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</si>
  <si>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</si>
  <si>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</si>
  <si>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ACM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</si>
  <si>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</si>
  <si>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</si>
  <si>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</si>
  <si>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</si>
  <si>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</si>
  <si>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</si>
  <si>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</si>
  <si>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</si>
  <si>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Spacer_6x</t>
  </si>
  <si>
    <t>V2 Panel Top</t>
  </si>
  <si>
    <t>V2 PTFE Gland</t>
  </si>
  <si>
    <t>V2 PTFE Gland Nut</t>
  </si>
  <si>
    <t>V2 Window Frame Inner_2x</t>
  </si>
  <si>
    <t>V2 Window Frame Outer_1x</t>
  </si>
  <si>
    <t xml:space="preserve">05x08x1 Precision Shim </t>
  </si>
  <si>
    <t>HW</t>
  </si>
  <si>
    <t>6</t>
  </si>
  <si>
    <t xml:space="preserve">07x10 Spring 0.4 WD </t>
  </si>
  <si>
    <t>DBX Drawer Slides 11435A14</t>
  </si>
  <si>
    <t>DHT 22/BME 280 temp/humid sensor</t>
  </si>
  <si>
    <t>Electronics</t>
  </si>
  <si>
    <t>Loadcell amplifier HX711</t>
  </si>
  <si>
    <t>M4 NUT</t>
  </si>
  <si>
    <t>M4 WASHER  DIN 125 iso 7089</t>
  </si>
  <si>
    <t>M4x35 HEX DIN 933 ISO 4017</t>
  </si>
  <si>
    <t xml:space="preserve">M5 Nut DIN 934 </t>
  </si>
  <si>
    <t xml:space="preserve">M5x20 BH ISO 7380 </t>
  </si>
  <si>
    <t>PTC 300W Heater w/fan</t>
  </si>
  <si>
    <t>Fan?</t>
  </si>
  <si>
    <t>V2 Carousel Bearing Plate_1x</t>
  </si>
  <si>
    <t>V2 Carousel Inner ring_1x</t>
  </si>
  <si>
    <t>V2 Carousel Loadcell Spacer</t>
  </si>
  <si>
    <t xml:space="preserve">V2 Carousel Outer Ring_1x </t>
  </si>
  <si>
    <t>V2 Carousel Spool adapter 54mm</t>
  </si>
  <si>
    <t>V2 Carousel unspool_ring_1x</t>
  </si>
  <si>
    <t>V2 dbx Aligning Spacer_2</t>
  </si>
  <si>
    <t>V2 dbx Draw Brackets_4x</t>
  </si>
  <si>
    <t>V2 dbx Draw Front Panel</t>
  </si>
  <si>
    <t>V2 dbx draw handle_1x</t>
  </si>
  <si>
    <t xml:space="preserve">V2 dbx insulation FB_2x </t>
  </si>
  <si>
    <t>Front/Back</t>
  </si>
  <si>
    <t>V2 dbx insulation side_2x</t>
  </si>
  <si>
    <t>Side</t>
  </si>
  <si>
    <t>V2 dbx insulation TB_2x</t>
  </si>
  <si>
    <t>Top/Bottom</t>
  </si>
  <si>
    <t>V2 dbx Panel FB_2x</t>
  </si>
  <si>
    <t>V2 dbx Panel Side_2x</t>
  </si>
  <si>
    <t>Left/Right</t>
  </si>
  <si>
    <t>V2 dbx Panel TB_2x</t>
  </si>
  <si>
    <t>V2 dbx PTC heater buddy_1x</t>
  </si>
  <si>
    <t>V2 desiccant Buddy_1x</t>
  </si>
  <si>
    <t>V2 desiccant container_1x</t>
  </si>
  <si>
    <t>V2 desiccant Knob_1x</t>
  </si>
  <si>
    <t>V2 desiccant Lid_1x</t>
  </si>
  <si>
    <t>V2 Esp 32 dev board Holder_1x</t>
  </si>
  <si>
    <t>V2 HX 711 board Holder_1x</t>
  </si>
  <si>
    <t>NEED TO ADD dc CONNECTOR LEAD FOR POWER CONNECTION TO esp 32</t>
  </si>
  <si>
    <t>LC - 1/4" Barb - 4mm</t>
  </si>
  <si>
    <t>LC - Pump P67D 12VDC</t>
  </si>
  <si>
    <t>LC - Radiator Fan - 120mm</t>
  </si>
  <si>
    <t>LC - Tubing 4x6mm IDxOD</t>
  </si>
  <si>
    <t>M3x08 SH DIN 912</t>
  </si>
  <si>
    <t>V2 LC Flowmeter Buddy_1x</t>
  </si>
  <si>
    <t>V2 Pump Bracket A_1x</t>
  </si>
  <si>
    <t>V2 Pump bracket B_1x</t>
  </si>
  <si>
    <t>V2 Radiator Bracket_2x</t>
  </si>
  <si>
    <t>Cable 2:1 Heat Shrink Tube </t>
  </si>
  <si>
    <t>3mm</t>
  </si>
  <si>
    <t>4mm</t>
  </si>
  <si>
    <t>8mm</t>
  </si>
  <si>
    <t>Cable Black</t>
  </si>
  <si>
    <t>AWG 20</t>
  </si>
  <si>
    <t>AWG 24</t>
  </si>
  <si>
    <t>Cable Blue</t>
  </si>
  <si>
    <t>JST PH Connector</t>
  </si>
  <si>
    <t>Cable Green</t>
  </si>
  <si>
    <t xml:space="preserve">Cable PET Braid sleeve </t>
  </si>
  <si>
    <t>Cable Loom</t>
  </si>
  <si>
    <t xml:space="preserve">Cable Red </t>
  </si>
  <si>
    <t>Cable White</t>
  </si>
  <si>
    <t>AWG 16</t>
  </si>
  <si>
    <t>AWG 14</t>
  </si>
  <si>
    <t>Chamber Heater??</t>
  </si>
  <si>
    <t>Motherboard</t>
  </si>
  <si>
    <t>DIN Rail + terminal block kit  UK2.5</t>
  </si>
  <si>
    <t>Power Main</t>
  </si>
  <si>
    <t>Power IEC + switch AC 15A </t>
  </si>
  <si>
    <t>Power Drybox</t>
  </si>
  <si>
    <t>PSU 12V DC  50W meanwell</t>
  </si>
  <si>
    <t>Power 12V</t>
  </si>
  <si>
    <t>Power 24V</t>
  </si>
  <si>
    <t>Power PWM Heaters</t>
  </si>
  <si>
    <t>V2 Duet MB Buddy_1x</t>
  </si>
  <si>
    <t>Bracket</t>
  </si>
  <si>
    <t>V2 MB BackPack_1x</t>
  </si>
  <si>
    <t>Cover</t>
  </si>
  <si>
    <t>V2 Plate_2x - Aluminium  for DIN/SSR</t>
  </si>
  <si>
    <t>180x150x3mm</t>
  </si>
  <si>
    <t>V2 PSU Buddy_1x</t>
  </si>
  <si>
    <t xml:space="preserve">grommets for  hole 14mm </t>
  </si>
  <si>
    <t xml:space="preserve">need to find from one of the current suppliers </t>
  </si>
  <si>
    <t>https://www.aliexpress.com/item/1005004478303545.html?</t>
  </si>
  <si>
    <t xml:space="preserve">earth stud hardware to add </t>
  </si>
  <si>
    <t>System</t>
  </si>
  <si>
    <t>Meters</t>
  </si>
  <si>
    <t>Weight</t>
  </si>
  <si>
    <t>Items</t>
  </si>
  <si>
    <t>weight Tot</t>
  </si>
  <si>
    <t>Cost/part</t>
  </si>
  <si>
    <t>Time estimate</t>
  </si>
  <si>
    <t>Material</t>
  </si>
  <si>
    <t>Cost/Kg</t>
  </si>
  <si>
    <t>Density</t>
  </si>
  <si>
    <t>Comment</t>
  </si>
  <si>
    <t>V2 AB Gantry</t>
  </si>
  <si>
    <t>Add your price</t>
  </si>
  <si>
    <t>PC PBT CF</t>
  </si>
  <si>
    <t>PPS CF</t>
  </si>
  <si>
    <t>PPA CF</t>
  </si>
  <si>
    <t>Print Settings</t>
  </si>
  <si>
    <t>Shell in mm</t>
  </si>
  <si>
    <t>Layer height</t>
  </si>
  <si>
    <t>Bottom Layers</t>
  </si>
  <si>
    <t>Top Layers</t>
  </si>
  <si>
    <t>Nozzle Size</t>
  </si>
  <si>
    <t>Perimiters</t>
  </si>
  <si>
    <t>Infill %</t>
  </si>
  <si>
    <t>Infill Type</t>
  </si>
  <si>
    <t>Grid or Gyroid</t>
  </si>
  <si>
    <t>V2 Drybox</t>
  </si>
  <si>
    <t>V2 Enclosure</t>
  </si>
  <si>
    <t>V2 Frame</t>
  </si>
  <si>
    <t>V2 Plumbing</t>
  </si>
  <si>
    <t>V2 Radiator Bracket_1x</t>
  </si>
  <si>
    <t>V2 Toolhead</t>
  </si>
  <si>
    <t>V2 Tools</t>
  </si>
  <si>
    <t>V2 Blind Joint Drilling Jig_1x</t>
  </si>
  <si>
    <t>V2 Z System</t>
  </si>
  <si>
    <t>Connections for the heated chamber and Bed</t>
  </si>
  <si>
    <t>Pin #</t>
  </si>
  <si>
    <t>Voltage</t>
  </si>
  <si>
    <t>Wire Size Type</t>
  </si>
  <si>
    <t xml:space="preserve">Device </t>
  </si>
  <si>
    <t>4Pin</t>
  </si>
  <si>
    <t>Live 230 AC</t>
  </si>
  <si>
    <t>0.75 150C  rated</t>
  </si>
  <si>
    <t xml:space="preserve">Heated Bed </t>
  </si>
  <si>
    <t xml:space="preserve">Neutral </t>
  </si>
  <si>
    <t>Heated Bead</t>
  </si>
  <si>
    <t>Earth</t>
  </si>
  <si>
    <t>Earth on Bed</t>
  </si>
  <si>
    <t>N/C</t>
  </si>
  <si>
    <t>10 Pin</t>
  </si>
  <si>
    <t>use supplied</t>
  </si>
  <si>
    <t xml:space="preserve">Thermistor Heated Bed </t>
  </si>
  <si>
    <t>20 awg</t>
  </si>
  <si>
    <t>Anvil probe</t>
  </si>
  <si>
    <t xml:space="preserve">Anvil probe </t>
  </si>
  <si>
    <t>used supplied</t>
  </si>
  <si>
    <t xml:space="preserve">Chamber  Thermistor </t>
  </si>
  <si>
    <t>chamber heater fan if required +</t>
  </si>
  <si>
    <t>chamber heater fan if required -</t>
  </si>
  <si>
    <t xml:space="preserve">LEDS Chamber + </t>
  </si>
  <si>
    <t>LEDS Chamber  -</t>
  </si>
  <si>
    <t xml:space="preserve">Wire </t>
  </si>
  <si>
    <t xml:space="preserve">Chamber Heater </t>
  </si>
  <si>
    <t>Things still to do</t>
  </si>
  <si>
    <t>owner</t>
  </si>
  <si>
    <t>status</t>
  </si>
  <si>
    <t>options</t>
  </si>
  <si>
    <t>Find HT magnets for door ( might have to make a holder for SMCO's instead of pot magnets)</t>
  </si>
  <si>
    <t>mark/Roy</t>
  </si>
  <si>
    <t>going to use Nynodinum for now</t>
  </si>
  <si>
    <t>20mm neodynium POT magnet in the oven at 115C for 2 hours it seems ok,</t>
  </si>
  <si>
    <t>Cpap fan bracket redesign</t>
  </si>
  <si>
    <t>Mark/Roy</t>
  </si>
  <si>
    <t xml:space="preserve">done requires testing </t>
  </si>
  <si>
    <t>Cpap duct redesign</t>
  </si>
  <si>
    <t>Roy</t>
  </si>
  <si>
    <t>WIP</t>
  </si>
  <si>
    <t>cpap fan modeled</t>
  </si>
  <si>
    <t>Test new Chamber Heater &amp; Fan</t>
  </si>
  <si>
    <t>Mark to Find HT Fan for chamber heater or use external motor as per Roys previous design.</t>
  </si>
  <si>
    <t>Mark</t>
  </si>
  <si>
    <t>testing ROBO fan</t>
  </si>
  <si>
    <t>Electrical BOM to be completed</t>
  </si>
  <si>
    <t>completed</t>
  </si>
  <si>
    <t>missing chamber heater</t>
  </si>
  <si>
    <t>make a list of basic macros</t>
  </si>
  <si>
    <t>WIP need to confirm a few</t>
  </si>
  <si>
    <t>make a basic config which boards ?</t>
  </si>
  <si>
    <t>done on going tweeking</t>
  </si>
  <si>
    <t>Do electrical drawings load cell, Mains, others</t>
  </si>
  <si>
    <t>done untill controll borad confirmed</t>
  </si>
  <si>
    <t>Work out gland sealing for cpap tube, water pipes , cable loom</t>
  </si>
  <si>
    <t>WIP, 2 options in folder</t>
  </si>
  <si>
    <t>toolhead cable entrance</t>
  </si>
  <si>
    <t>WIP/ needs testing / new idea in folder</t>
  </si>
  <si>
    <t>need brain storming session</t>
  </si>
  <si>
    <t>Swivel design-test</t>
  </si>
  <si>
    <t>Roy /mark</t>
  </si>
  <si>
    <t>In Testing</t>
  </si>
  <si>
    <t>need 2 x 10K resistors for the load cell and the cpap fan</t>
  </si>
  <si>
    <t>Dont need with new cpap fan</t>
  </si>
  <si>
    <t>need to add to one of the BOM electrical ?</t>
  </si>
  <si>
    <t>workout a way to get esp32 programmed easierly</t>
  </si>
  <si>
    <t>Chris</t>
  </si>
  <si>
    <t>finally finish the Hardware BOM when all above done</t>
  </si>
  <si>
    <t>Function</t>
  </si>
  <si>
    <t>Macro</t>
  </si>
  <si>
    <t>Bed mesh compensation</t>
  </si>
  <si>
    <t>bed_mesh</t>
  </si>
  <si>
    <t>G29</t>
  </si>
  <si>
    <t xml:space="preserve">filament change  </t>
  </si>
  <si>
    <t>filament_change</t>
  </si>
  <si>
    <t>required if  filament needd changing while printing</t>
  </si>
  <si>
    <t>does the setup for tool</t>
  </si>
  <si>
    <t>tool_hd_BiQu_H2V25_Crazy  water cooled 0.6Noz.g</t>
  </si>
  <si>
    <t xml:space="preserve">makes all the required changes  for differant tools , just run the file once  when changed </t>
  </si>
  <si>
    <t>Homing startup</t>
  </si>
  <si>
    <t>home_startup</t>
  </si>
  <si>
    <t xml:space="preserve">Initial  setup at machine turn on, Home X,Y, ask if you want to home Z  </t>
  </si>
  <si>
    <t>Nozzle brush</t>
  </si>
  <si>
    <t>nozzle_brush</t>
  </si>
  <si>
    <t>Will brush the Nozzle</t>
  </si>
  <si>
    <t>Nozzle purge</t>
  </si>
  <si>
    <t>nozzle_purge</t>
  </si>
  <si>
    <t>Will park over the purge bin and purge filament</t>
  </si>
  <si>
    <t xml:space="preserve">do you need a seperate purge there is one in filament change and load.g </t>
  </si>
  <si>
    <t>Nozzle wipe</t>
  </si>
  <si>
    <t>nozzle_wipe</t>
  </si>
  <si>
    <t>Clean tne nozzle by wiping over silicon wafer</t>
  </si>
  <si>
    <t>Z homing high</t>
  </si>
  <si>
    <t>z_home_max</t>
  </si>
  <si>
    <t>Move bed to the Bottom of the Chamber</t>
  </si>
  <si>
    <t>Z offset calibration</t>
  </si>
  <si>
    <t>z_offset</t>
  </si>
  <si>
    <t>Measure the differance between the nozzel tip and the Anvil</t>
  </si>
  <si>
    <t>Z probe get</t>
  </si>
  <si>
    <t>z_probe_get</t>
  </si>
  <si>
    <t>Pick up the flint zone probe</t>
  </si>
  <si>
    <t>Z probe leave</t>
  </si>
  <si>
    <t>z_probe_leave</t>
  </si>
  <si>
    <t>Drop off the flint zone probe</t>
  </si>
  <si>
    <t>G32</t>
  </si>
  <si>
    <t>bed.g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</si>
  <si>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</si>
  <si>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</si>
  <si>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</si>
  <si>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</si>
  <si>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</si>
  <si>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</si>
  <si>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</si>
  <si>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</si>
  <si>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</si>
  <si>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dwc-settings.json</t>
  </si>
  <si>
    <t>settings for DWC</t>
  </si>
  <si>
    <t>end.g</t>
  </si>
  <si>
    <t xml:space="preserve">Runs  at the end of a print from the "machine end gcode" </t>
  </si>
  <si>
    <t xml:space="preserve">This is not standard RRF  need to update </t>
  </si>
  <si>
    <t>filaments.csv</t>
  </si>
  <si>
    <t xml:space="preserve">somthing todo with upload/unload filaments </t>
  </si>
  <si>
    <t>M600</t>
  </si>
  <si>
    <t>filament-change.g</t>
  </si>
  <si>
    <t xml:space="preserve">Change filament while printing </t>
  </si>
  <si>
    <t>filament change in macros too</t>
  </si>
  <si>
    <t>global.g</t>
  </si>
  <si>
    <t xml:space="preserve">Need for scales </t>
  </si>
  <si>
    <t>M28</t>
  </si>
  <si>
    <t>homeall.g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</si>
  <si>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</si>
  <si>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</si>
  <si>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</si>
  <si>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</si>
  <si>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</si>
  <si>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</si>
  <si>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</si>
  <si>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mesh.g</t>
  </si>
  <si>
    <t xml:space="preserve">Bed mesh </t>
  </si>
  <si>
    <t>mesh here and in macro</t>
  </si>
  <si>
    <t>pause.g</t>
  </si>
  <si>
    <t xml:space="preserve">Pause comand  while printing and park  nozzle over bucket </t>
  </si>
  <si>
    <t>resume.g</t>
  </si>
  <si>
    <t xml:space="preserve">Continue printing </t>
  </si>
  <si>
    <t>stop.g</t>
  </si>
  <si>
    <t>This macro is run when a print has "100%"  completed</t>
  </si>
  <si>
    <t>tool.g</t>
  </si>
  <si>
    <t xml:space="preserve">Define tool perameters set by the tool_hd_x .g  file </t>
  </si>
  <si>
    <t>Printer code</t>
  </si>
  <si>
    <t>Machine Gcode</t>
  </si>
  <si>
    <t>Machine start gcode</t>
  </si>
  <si>
    <t xml:space="preserve">txt file </t>
  </si>
  <si>
    <t>Machine end  gcode</t>
  </si>
  <si>
    <t>Before layer change gcode</t>
  </si>
  <si>
    <t>Change filament gcode</t>
  </si>
  <si>
    <t>Pause gcode</t>
  </si>
  <si>
    <t>mark</t>
  </si>
  <si>
    <t xml:space="preserve">Chris </t>
  </si>
  <si>
    <t xml:space="preserve">Also need  Btn Cmd  json file for scales </t>
  </si>
  <si>
    <t xml:space="preserve">need program for ESP 32  </t>
  </si>
  <si>
    <t>Filaments</t>
  </si>
  <si>
    <t>PLA</t>
  </si>
  <si>
    <t>ABS</t>
  </si>
  <si>
    <t>PETG</t>
  </si>
  <si>
    <t>PET-CF</t>
  </si>
  <si>
    <t>PPS-CF</t>
  </si>
  <si>
    <t>PC-CF</t>
  </si>
  <si>
    <t>PC PBT LCF</t>
  </si>
  <si>
    <t xml:space="preserve">txt file  </t>
  </si>
  <si>
    <t>PPA-CF</t>
  </si>
  <si>
    <t>PA6</t>
  </si>
  <si>
    <t>TPU</t>
  </si>
  <si>
    <t>Quantity M</t>
  </si>
  <si>
    <t xml:space="preserve">EPDM foam </t>
  </si>
  <si>
    <t>5M</t>
  </si>
  <si>
    <t>Door seal / Dry Box</t>
  </si>
  <si>
    <t xml:space="preserve">local hardware store </t>
  </si>
  <si>
    <t>EPDM profile</t>
  </si>
  <si>
    <t xml:space="preserve">Square </t>
  </si>
  <si>
    <t>Engineers square</t>
  </si>
  <si>
    <t>Allen keys 1.27,2,3,4,mm 2.5mm ball ended</t>
  </si>
  <si>
    <t xml:space="preserve">steel Rule or  Equiverlant </t>
  </si>
  <si>
    <t xml:space="preserve">G or F clamp </t>
  </si>
  <si>
    <t xml:space="preserve">gust for putting the frame together </t>
  </si>
  <si>
    <t>Spanner  AF 7mm,</t>
  </si>
  <si>
    <t>Drill bits mm  5,4,3</t>
  </si>
  <si>
    <t xml:space="preserve">solder iron and solder </t>
  </si>
  <si>
    <t xml:space="preserve">crimp tool for  control board connection </t>
  </si>
  <si>
    <t xml:space="preserve">Taps M6 </t>
  </si>
  <si>
    <t xml:space="preserve">calipers </t>
  </si>
  <si>
    <t xml:space="preserve">Good choice Shahe </t>
  </si>
  <si>
    <t>W: Red 9mm-EPDM L: 10M</t>
  </si>
  <si>
    <t>GT2 Timing Pulley 16T 11mm</t>
  </si>
  <si>
    <t>BD: 5mm BW: 10mm PCS: 2</t>
  </si>
  <si>
    <t>GT2 Timing Pulley 16T 7mm</t>
  </si>
  <si>
    <t>BD: 5mm BW: 6mm PCS: 3</t>
  </si>
  <si>
    <t>Power (W): LRS-75-12</t>
  </si>
  <si>
    <t>PLT1M-C76</t>
  </si>
  <si>
    <t>GT2 Pulley 16T 11mm</t>
  </si>
  <si>
    <t>GT2 Pulley 16T 7mm</t>
  </si>
  <si>
    <t>GT2 Timing Belt AB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</si>
</sst>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]hh:mm;@" x16r2:formatCode16="[$-en-150,1]hh:mm;@"/>
    <numFmt numFmtId="170" formatCode="[h]:mm:ss;@"/>
  </numFmts>
  <fonts count="43" x14ac:knownFonts="1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theme="1"/>
      <name val="Calibri"/>
      <family val="2"/>
      <scheme val="major"/>
    </font>
    <font>
      <i/>
      <sz val="11"/>
      <color rgb="FF95B3D7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b/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2"/>
      <color rgb="FF0070C0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rgb="FFFF0000"/>
      <name val="Calibri"/>
      <family val="2"/>
      <scheme val="minor"/>
    </font>
    <font>
      <b/>
      <u/>
      <sz val="12"/>
      <color rgb="FF0000FF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</fills>
  <borders count="2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1">
    <xf numFmtId="0" fontId="0" fillId="0" borderId="0"/>
    <xf numFmtId="0" fontId="15" fillId="0" borderId="0" applyNumberFormat="0" applyFill="0" applyBorder="0" applyAlignment="0" applyProtection="0"/>
    <xf numFmtId="0" fontId="12" fillId="0" borderId="0"/>
    <xf numFmtId="0" fontId="11" fillId="0" borderId="0"/>
    <xf numFmtId="0" fontId="10" fillId="0" borderId="0"/>
    <xf numFmtId="0" fontId="9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6" fillId="0" borderId="0"/>
  </cellStyleXfs>
  <cellXfs count="288">
    <xf numFmtId="0" fontId="0" fillId="0" borderId="0" xfId="0"/>
    <xf numFmtId="0" fontId="14" fillId="0" borderId="0" xfId="0" applyFont="1"/>
    <xf numFmtId="0" fontId="12" fillId="0" borderId="0" xfId="2"/>
    <xf numFmtId="0" fontId="21" fillId="0" borderId="10" xfId="5" applyFont="1" applyBorder="1"/>
    <xf numFmtId="0" fontId="0" fillId="0" borderId="0" xfId="0" applyAlignment="1">
      <alignment wrapText="1"/>
    </xf>
    <xf numFmtId="0" fontId="24" fillId="0" borderId="0" xfId="0" applyFont="1"/>
    <xf numFmtId="0" fontId="22" fillId="0" borderId="0" xfId="0" applyFont="1"/>
    <xf numFmtId="0" fontId="0" fillId="2" borderId="0" xfId="0" applyFill="1"/>
    <xf numFmtId="0" fontId="26" fillId="0" borderId="0" xfId="0" applyFont="1" applyAlignment="1">
      <alignment wrapText="1"/>
    </xf>
    <xf numFmtId="0" fontId="15" fillId="0" borderId="0" xfId="1" applyAlignment="1">
      <alignment wrapText="1"/>
    </xf>
    <xf numFmtId="49" fontId="12" fillId="0" borderId="0" xfId="2" applyNumberFormat="1" applyAlignment="1">
      <alignment wrapText="1"/>
    </xf>
    <xf numFmtId="0" fontId="5" fillId="0" borderId="0" xfId="8" applyFont="1"/>
    <xf numFmtId="0" fontId="0" fillId="0" borderId="0" xfId="0" applyAlignment="1">
      <alignment vertical="top"/>
    </xf>
    <xf numFmtId="0" fontId="14" fillId="0" borderId="0" xfId="0" applyFont="1" applyAlignment="1">
      <alignment vertical="top"/>
    </xf>
    <xf numFmtId="0" fontId="16" fillId="0" borderId="0" xfId="0" applyFont="1" applyAlignment="1">
      <alignment vertical="top"/>
    </xf>
    <xf numFmtId="1" fontId="12" fillId="0" borderId="0" xfId="2" applyNumberFormat="1"/>
    <xf numFmtId="166" fontId="0" fillId="0" borderId="0" xfId="0" applyNumberFormat="1" applyAlignment="1">
      <alignment vertical="top"/>
    </xf>
    <xf numFmtId="0" fontId="14" fillId="0" borderId="4" xfId="0" applyFont="1" applyBorder="1" applyAlignment="1">
      <alignment vertical="top"/>
    </xf>
    <xf numFmtId="0" fontId="0" fillId="0" borderId="4" xfId="0" applyBorder="1"/>
    <xf numFmtId="49" fontId="12" fillId="0" borderId="1" xfId="2" applyNumberFormat="1" applyBorder="1" applyAlignment="1">
      <alignment wrapText="1"/>
    </xf>
    <xf numFmtId="0" fontId="14" fillId="0" borderId="4" xfId="0" applyFont="1" applyBorder="1"/>
    <xf numFmtId="0" fontId="31" fillId="0" borderId="1" xfId="2" applyFont="1" applyBorder="1"/>
    <xf numFmtId="0" fontId="32" fillId="0" borderId="2" xfId="2" applyFont="1" applyBorder="1" applyAlignment="1">
      <alignment horizontal="center"/>
    </xf>
    <xf numFmtId="49" fontId="12" fillId="0" borderId="4" xfId="2" applyNumberFormat="1" applyBorder="1" applyAlignment="1">
      <alignment wrapText="1"/>
    </xf>
    <xf numFmtId="0" fontId="8" fillId="0" borderId="4" xfId="7" applyBorder="1"/>
    <xf numFmtId="0" fontId="12" fillId="0" borderId="4" xfId="2" applyBorder="1"/>
    <xf numFmtId="0" fontId="14" fillId="0" borderId="4" xfId="7" applyFont="1" applyBorder="1"/>
    <xf numFmtId="0" fontId="0" fillId="0" borderId="4" xfId="7" applyFont="1" applyBorder="1"/>
    <xf numFmtId="0" fontId="0" fillId="0" borderId="0" xfId="2" applyFont="1"/>
    <xf numFmtId="1" fontId="18" fillId="0" borderId="0" xfId="1" applyNumberFormat="1" applyFont="1" applyFill="1" applyBorder="1" applyAlignment="1">
      <alignment horizontal="center" vertical="top"/>
    </xf>
    <xf numFmtId="0" fontId="0" fillId="0" borderId="4" xfId="2" applyFont="1" applyBorder="1"/>
    <xf numFmtId="0" fontId="23" fillId="0" borderId="4" xfId="0" applyFont="1" applyBorder="1"/>
    <xf numFmtId="0" fontId="4" fillId="0" borderId="0" xfId="0" applyFont="1" applyAlignment="1">
      <alignment vertical="top"/>
    </xf>
    <xf numFmtId="0" fontId="0" fillId="0" borderId="4" xfId="0" applyBorder="1" applyAlignment="1">
      <alignment vertical="top"/>
    </xf>
    <xf numFmtId="0" fontId="19" fillId="0" borderId="8" xfId="0" applyFont="1" applyBorder="1" applyAlignment="1">
      <alignment vertical="top"/>
    </xf>
    <xf numFmtId="0" fontId="19" fillId="0" borderId="9" xfId="0" applyFont="1" applyBorder="1" applyAlignment="1">
      <alignment vertical="top"/>
    </xf>
    <xf numFmtId="166" fontId="19" fillId="0" borderId="9" xfId="0" applyNumberFormat="1" applyFont="1" applyBorder="1" applyAlignment="1">
      <alignment vertical="top"/>
    </xf>
    <xf numFmtId="167" fontId="19" fillId="0" borderId="9" xfId="0" applyNumberFormat="1" applyFont="1" applyBorder="1" applyAlignment="1">
      <alignment vertical="top"/>
    </xf>
    <xf numFmtId="0" fontId="14" fillId="0" borderId="0" xfId="2" applyFont="1"/>
    <xf numFmtId="0" fontId="0" fillId="0" borderId="5" xfId="0" applyBorder="1"/>
    <xf numFmtId="0" fontId="22" fillId="0" borderId="4" xfId="0" applyFont="1" applyBorder="1" applyAlignment="1">
      <alignment wrapText="1"/>
    </xf>
    <xf numFmtId="0" fontId="27" fillId="0" borderId="5" xfId="0" applyFont="1" applyBorder="1"/>
    <xf numFmtId="0" fontId="22" fillId="0" borderId="0" xfId="0" applyFont="1" applyAlignment="1">
      <alignment wrapText="1"/>
    </xf>
    <xf numFmtId="0" fontId="14" fillId="0" borderId="11" xfId="0" applyFont="1" applyBorder="1"/>
    <xf numFmtId="0" fontId="14" fillId="0" borderId="6" xfId="0" applyFont="1" applyBorder="1"/>
    <xf numFmtId="0" fontId="14" fillId="0" borderId="0" xfId="9" applyFont="1" applyAlignment="1">
      <alignment vertical="top"/>
    </xf>
    <xf numFmtId="0" fontId="32" fillId="0" borderId="3" xfId="2" applyFont="1" applyBorder="1" applyAlignment="1">
      <alignment horizontal="center"/>
    </xf>
    <xf numFmtId="1" fontId="12" fillId="0" borderId="5" xfId="2" applyNumberFormat="1" applyBorder="1"/>
    <xf numFmtId="1" fontId="12" fillId="0" borderId="7" xfId="2" applyNumberFormat="1" applyBorder="1"/>
    <xf numFmtId="0" fontId="0" fillId="0" borderId="6" xfId="0" applyBorder="1"/>
    <xf numFmtId="0" fontId="12" fillId="0" borderId="3" xfId="2" applyBorder="1"/>
    <xf numFmtId="0" fontId="28" fillId="0" borderId="4" xfId="1" applyFont="1" applyBorder="1"/>
    <xf numFmtId="0" fontId="12" fillId="0" borderId="6" xfId="2" applyBorder="1"/>
    <xf numFmtId="0" fontId="12" fillId="0" borderId="1" xfId="2" applyBorder="1"/>
    <xf numFmtId="0" fontId="13" fillId="0" borderId="4" xfId="0" applyFont="1" applyBorder="1"/>
    <xf numFmtId="0" fontId="21" fillId="0" borderId="5" xfId="8" applyFont="1" applyBorder="1"/>
    <xf numFmtId="0" fontId="12" fillId="0" borderId="5" xfId="2" applyBorder="1"/>
    <xf numFmtId="1" fontId="12" fillId="3" borderId="0" xfId="2" applyNumberFormat="1" applyFill="1"/>
    <xf numFmtId="0" fontId="35" fillId="0" borderId="0" xfId="0" applyFont="1"/>
    <xf numFmtId="0" fontId="23" fillId="0" borderId="0" xfId="0" applyFont="1" applyAlignment="1">
      <alignment wrapText="1"/>
    </xf>
    <xf numFmtId="0" fontId="0" fillId="0" borderId="0" xfId="7" applyFont="1" applyAlignment="1">
      <alignment vertical="top"/>
    </xf>
    <xf numFmtId="0" fontId="12" fillId="0" borderId="11" xfId="2" applyBorder="1"/>
    <xf numFmtId="1" fontId="12" fillId="0" borderId="6" xfId="2" applyNumberFormat="1" applyBorder="1"/>
    <xf numFmtId="0" fontId="12" fillId="0" borderId="7" xfId="2" applyBorder="1"/>
    <xf numFmtId="0" fontId="13" fillId="0" borderId="0" xfId="0" applyFont="1"/>
    <xf numFmtId="0" fontId="0" fillId="0" borderId="0" xfId="9" applyFont="1" applyAlignment="1">
      <alignment vertical="top"/>
    </xf>
    <xf numFmtId="49" fontId="12" fillId="0" borderId="2" xfId="2" applyNumberFormat="1" applyBorder="1" applyAlignment="1">
      <alignment wrapText="1"/>
    </xf>
    <xf numFmtId="0" fontId="8" fillId="0" borderId="0" xfId="7"/>
    <xf numFmtId="0" fontId="14" fillId="3" borderId="0" xfId="0" applyFont="1" applyFill="1"/>
    <xf numFmtId="0" fontId="14" fillId="0" borderId="0" xfId="7" applyFont="1"/>
    <xf numFmtId="0" fontId="0" fillId="0" borderId="0" xfId="7" applyFont="1"/>
    <xf numFmtId="0" fontId="12" fillId="0" borderId="2" xfId="2" applyBorder="1"/>
    <xf numFmtId="0" fontId="0" fillId="0" borderId="5" xfId="0" applyBorder="1" applyAlignment="1">
      <alignment vertical="top"/>
    </xf>
    <xf numFmtId="1" fontId="0" fillId="0" borderId="0" xfId="0" applyNumberFormat="1" applyAlignment="1">
      <alignment vertical="top"/>
    </xf>
    <xf numFmtId="1" fontId="0" fillId="0" borderId="5" xfId="0" applyNumberFormat="1" applyBorder="1" applyAlignment="1">
      <alignment vertical="top"/>
    </xf>
    <xf numFmtId="0" fontId="17" fillId="0" borderId="0" xfId="0" applyFont="1" applyAlignment="1">
      <alignment vertical="top"/>
    </xf>
    <xf numFmtId="0" fontId="22" fillId="0" borderId="0" xfId="0" applyFont="1" applyAlignment="1">
      <alignment vertical="top"/>
    </xf>
    <xf numFmtId="0" fontId="22" fillId="0" borderId="5" xfId="0" applyFont="1" applyBorder="1" applyAlignment="1">
      <alignment vertical="top"/>
    </xf>
    <xf numFmtId="164" fontId="19" fillId="0" borderId="6" xfId="0" applyNumberFormat="1" applyFont="1" applyBorder="1" applyAlignment="1">
      <alignment vertical="top"/>
    </xf>
    <xf numFmtId="164" fontId="37" fillId="0" borderId="6" xfId="0" applyNumberFormat="1" applyFont="1" applyBorder="1" applyAlignment="1">
      <alignment vertical="top"/>
    </xf>
    <xf numFmtId="164" fontId="19" fillId="0" borderId="7" xfId="0" applyNumberFormat="1" applyFont="1" applyBorder="1" applyAlignment="1">
      <alignment vertical="top"/>
    </xf>
    <xf numFmtId="0" fontId="19" fillId="0" borderId="12" xfId="0" applyFont="1" applyBorder="1" applyAlignment="1">
      <alignment horizontal="left" vertical="top"/>
    </xf>
    <xf numFmtId="0" fontId="0" fillId="0" borderId="0" xfId="0" applyAlignment="1">
      <alignment horizontal="left" vertical="top"/>
    </xf>
    <xf numFmtId="0" fontId="16" fillId="0" borderId="9" xfId="0" applyFont="1" applyBorder="1" applyAlignment="1">
      <alignment horizontal="left" vertical="top"/>
    </xf>
    <xf numFmtId="1" fontId="22" fillId="0" borderId="0" xfId="1" applyNumberFormat="1" applyFont="1" applyFill="1" applyBorder="1" applyAlignment="1">
      <alignment horizontal="center" vertical="top"/>
    </xf>
    <xf numFmtId="0" fontId="22" fillId="0" borderId="5" xfId="0" applyFont="1" applyBorder="1"/>
    <xf numFmtId="0" fontId="22" fillId="0" borderId="11" xfId="0" applyFont="1" applyBorder="1" applyAlignment="1">
      <alignment wrapText="1"/>
    </xf>
    <xf numFmtId="0" fontId="22" fillId="0" borderId="6" xfId="0" applyFont="1" applyBorder="1" applyAlignment="1">
      <alignment wrapText="1"/>
    </xf>
    <xf numFmtId="0" fontId="22" fillId="0" borderId="6" xfId="0" applyFont="1" applyBorder="1"/>
    <xf numFmtId="0" fontId="22" fillId="0" borderId="7" xfId="0" applyFont="1" applyBorder="1"/>
    <xf numFmtId="0" fontId="12" fillId="0" borderId="13" xfId="2" applyBorder="1"/>
    <xf numFmtId="0" fontId="21" fillId="0" borderId="14" xfId="8" applyFont="1" applyBorder="1"/>
    <xf numFmtId="0" fontId="12" fillId="0" borderId="14" xfId="2" applyBorder="1"/>
    <xf numFmtId="0" fontId="29" fillId="0" borderId="14" xfId="1" applyFont="1" applyBorder="1"/>
    <xf numFmtId="0" fontId="29" fillId="0" borderId="0" xfId="1" applyFont="1" applyBorder="1"/>
    <xf numFmtId="0" fontId="14" fillId="0" borderId="0" xfId="8" applyFont="1"/>
    <xf numFmtId="49" fontId="12" fillId="0" borderId="14" xfId="2" applyNumberFormat="1" applyBorder="1"/>
    <xf numFmtId="49" fontId="0" fillId="0" borderId="14" xfId="2" applyNumberFormat="1" applyFont="1" applyBorder="1"/>
    <xf numFmtId="49" fontId="12" fillId="0" borderId="15" xfId="2" applyNumberFormat="1" applyBorder="1"/>
    <xf numFmtId="49" fontId="0" fillId="0" borderId="8" xfId="2" applyNumberFormat="1" applyFont="1" applyBorder="1" applyAlignment="1">
      <alignment wrapText="1"/>
    </xf>
    <xf numFmtId="0" fontId="29" fillId="0" borderId="14" xfId="1" applyFont="1" applyFill="1" applyBorder="1" applyAlignment="1">
      <alignment horizontal="center"/>
    </xf>
    <xf numFmtId="0" fontId="29" fillId="0" borderId="14" xfId="1" applyFont="1" applyBorder="1" applyAlignment="1">
      <alignment horizontal="center"/>
    </xf>
    <xf numFmtId="0" fontId="25" fillId="0" borderId="0" xfId="0" applyFont="1" applyAlignment="1">
      <alignment wrapText="1"/>
    </xf>
    <xf numFmtId="1" fontId="36" fillId="0" borderId="0" xfId="1" applyNumberFormat="1" applyFont="1" applyFill="1" applyBorder="1" applyAlignment="1">
      <alignment horizontal="center" vertical="top"/>
    </xf>
    <xf numFmtId="0" fontId="38" fillId="0" borderId="0" xfId="2" applyFont="1"/>
    <xf numFmtId="0" fontId="12" fillId="0" borderId="17" xfId="2" applyBorder="1"/>
    <xf numFmtId="49" fontId="12" fillId="0" borderId="18" xfId="2" applyNumberFormat="1" applyBorder="1" applyAlignment="1">
      <alignment wrapText="1"/>
    </xf>
    <xf numFmtId="0" fontId="12" fillId="0" borderId="19" xfId="2" applyBorder="1"/>
    <xf numFmtId="0" fontId="13" fillId="0" borderId="20" xfId="0" applyFont="1" applyBorder="1"/>
    <xf numFmtId="0" fontId="21" fillId="0" borderId="21" xfId="8" applyFont="1" applyBorder="1"/>
    <xf numFmtId="0" fontId="28" fillId="0" borderId="20" xfId="1" applyFont="1" applyBorder="1"/>
    <xf numFmtId="0" fontId="12" fillId="0" borderId="20" xfId="2" applyBorder="1"/>
    <xf numFmtId="0" fontId="12" fillId="0" borderId="21" xfId="2" applyBorder="1"/>
    <xf numFmtId="0" fontId="29" fillId="0" borderId="21" xfId="1" applyFont="1" applyBorder="1"/>
    <xf numFmtId="0" fontId="12" fillId="0" borderId="22" xfId="2" applyBorder="1"/>
    <xf numFmtId="1" fontId="12" fillId="0" borderId="16" xfId="2" applyNumberFormat="1" applyBorder="1"/>
    <xf numFmtId="0" fontId="12" fillId="0" borderId="23" xfId="2" applyBorder="1"/>
    <xf numFmtId="0" fontId="14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5" fontId="0" fillId="0" borderId="0" xfId="0" applyNumberFormat="1"/>
    <xf numFmtId="0" fontId="14" fillId="3" borderId="0" xfId="2" applyFont="1" applyFill="1"/>
    <xf numFmtId="169" fontId="14" fillId="0" borderId="0" xfId="0" applyNumberFormat="1" applyFont="1"/>
    <xf numFmtId="1" fontId="0" fillId="0" borderId="0" xfId="0" applyNumberFormat="1" applyAlignment="1">
      <alignment horizontal="right"/>
    </xf>
    <xf numFmtId="1" fontId="14" fillId="0" borderId="0" xfId="2" applyNumberFormat="1" applyFont="1"/>
    <xf numFmtId="1" fontId="14" fillId="0" borderId="0" xfId="0" applyNumberFormat="1" applyFont="1"/>
    <xf numFmtId="1" fontId="14" fillId="3" borderId="0" xfId="2" applyNumberFormat="1" applyFont="1" applyFill="1"/>
    <xf numFmtId="1" fontId="14" fillId="0" borderId="0" xfId="9" applyNumberFormat="1" applyFont="1" applyAlignment="1">
      <alignment vertical="top"/>
    </xf>
    <xf numFmtId="1" fontId="14" fillId="0" borderId="0" xfId="7" applyNumberFormat="1" applyFont="1"/>
    <xf numFmtId="170" fontId="0" fillId="0" borderId="0" xfId="0" applyNumberFormat="1"/>
    <xf numFmtId="1" fontId="0" fillId="0" borderId="0" xfId="0" applyNumberFormat="1"/>
    <xf numFmtId="9" fontId="0" fillId="0" borderId="0" xfId="0" applyNumberFormat="1"/>
    <xf numFmtId="0" fontId="40" fillId="0" borderId="0" xfId="0" applyFont="1"/>
    <xf numFmtId="0" fontId="0" fillId="5" borderId="0" xfId="0" applyFill="1"/>
    <xf numFmtId="0" fontId="0" fillId="5" borderId="0" xfId="0" applyFill="1" applyAlignment="1">
      <alignment wrapText="1"/>
    </xf>
    <xf numFmtId="0" fontId="14" fillId="2" borderId="0" xfId="0" applyFont="1" applyFill="1" applyAlignment="1">
      <alignment wrapText="1"/>
    </xf>
    <xf numFmtId="0" fontId="14" fillId="5" borderId="0" xfId="0" applyFont="1" applyFill="1"/>
    <xf numFmtId="0" fontId="12" fillId="3" borderId="0" xfId="2" applyFill="1"/>
    <xf numFmtId="0" fontId="0" fillId="3" borderId="0" xfId="0" applyFill="1"/>
    <xf numFmtId="0" fontId="22" fillId="3" borderId="0" xfId="0" applyFont="1" applyFill="1" applyAlignment="1">
      <alignment wrapText="1"/>
    </xf>
    <xf numFmtId="0" fontId="12" fillId="0" borderId="0" xfId="2" applyAlignment="1">
      <alignment wrapText="1"/>
    </xf>
    <xf numFmtId="49" fontId="3" fillId="0" borderId="9" xfId="2" applyNumberFormat="1" applyFont="1" applyBorder="1" applyAlignment="1">
      <alignment wrapText="1"/>
    </xf>
    <xf numFmtId="49" fontId="3" fillId="0" borderId="9" xfId="2" applyNumberFormat="1" applyFont="1" applyBorder="1" applyAlignment="1">
      <alignment horizontal="left" wrapText="1"/>
    </xf>
    <xf numFmtId="49" fontId="3" fillId="0" borderId="2" xfId="2" applyNumberFormat="1" applyFont="1" applyBorder="1" applyAlignment="1">
      <alignment wrapText="1"/>
    </xf>
    <xf numFmtId="0" fontId="3" fillId="0" borderId="0" xfId="9" applyFont="1" applyAlignment="1">
      <alignment vertical="top"/>
    </xf>
    <xf numFmtId="0" fontId="3" fillId="0" borderId="0" xfId="7" applyFont="1" applyAlignment="1">
      <alignment vertical="top"/>
    </xf>
    <xf numFmtId="0" fontId="3" fillId="0" borderId="0" xfId="6" applyFont="1" applyAlignment="1">
      <alignment vertical="top"/>
    </xf>
    <xf numFmtId="0" fontId="3" fillId="0" borderId="0" xfId="2" applyFont="1"/>
    <xf numFmtId="0" fontId="3" fillId="0" borderId="0" xfId="2" applyFont="1" applyAlignment="1">
      <alignment horizontal="left"/>
    </xf>
    <xf numFmtId="0" fontId="3" fillId="0" borderId="0" xfId="5" applyFont="1" applyAlignment="1">
      <alignment vertical="top"/>
    </xf>
    <xf numFmtId="1" fontId="3" fillId="0" borderId="0" xfId="2" applyNumberFormat="1" applyFont="1"/>
    <xf numFmtId="0" fontId="3" fillId="0" borderId="4" xfId="6" applyFont="1" applyBorder="1" applyAlignment="1">
      <alignment vertical="top"/>
    </xf>
    <xf numFmtId="0" fontId="3" fillId="0" borderId="0" xfId="0" applyFont="1" applyAlignment="1">
      <alignment vertical="top"/>
    </xf>
    <xf numFmtId="0" fontId="3" fillId="0" borderId="0" xfId="8" applyFont="1" applyAlignment="1">
      <alignment horizontal="right"/>
    </xf>
    <xf numFmtId="0" fontId="3" fillId="0" borderId="0" xfId="8" applyFont="1"/>
    <xf numFmtId="0" fontId="3" fillId="0" borderId="14" xfId="8" applyFont="1" applyBorder="1"/>
    <xf numFmtId="0" fontId="3" fillId="0" borderId="6" xfId="8" applyFont="1" applyBorder="1" applyAlignment="1">
      <alignment horizontal="right"/>
    </xf>
    <xf numFmtId="49" fontId="3" fillId="0" borderId="18" xfId="2" applyNumberFormat="1" applyFont="1" applyBorder="1" applyAlignment="1">
      <alignment wrapText="1"/>
    </xf>
    <xf numFmtId="0" fontId="3" fillId="0" borderId="21" xfId="8" applyFont="1" applyBorder="1"/>
    <xf numFmtId="0" fontId="3" fillId="0" borderId="16" xfId="2" applyFont="1" applyBorder="1"/>
    <xf numFmtId="0" fontId="3" fillId="0" borderId="5" xfId="8" applyFont="1" applyBorder="1"/>
    <xf numFmtId="0" fontId="3" fillId="3" borderId="0" xfId="2" applyFont="1" applyFill="1"/>
    <xf numFmtId="0" fontId="3" fillId="0" borderId="0" xfId="7" applyFont="1"/>
    <xf numFmtId="49" fontId="3" fillId="0" borderId="0" xfId="2" applyNumberFormat="1" applyFont="1" applyAlignment="1">
      <alignment wrapText="1"/>
    </xf>
    <xf numFmtId="49" fontId="3" fillId="0" borderId="5" xfId="2" applyNumberFormat="1" applyFont="1" applyBorder="1" applyAlignment="1">
      <alignment wrapText="1"/>
    </xf>
    <xf numFmtId="0" fontId="3" fillId="0" borderId="0" xfId="2" applyFont="1" applyAlignment="1">
      <alignment horizontal="right"/>
    </xf>
    <xf numFmtId="0" fontId="3" fillId="0" borderId="6" xfId="2" applyFont="1" applyBorder="1"/>
    <xf numFmtId="0" fontId="3" fillId="0" borderId="4" xfId="2" applyFont="1" applyBorder="1"/>
    <xf numFmtId="0" fontId="41" fillId="0" borderId="0" xfId="2" applyFont="1" applyAlignment="1">
      <alignment wrapText="1"/>
    </xf>
    <xf numFmtId="49" fontId="0" fillId="0" borderId="0" xfId="0" applyNumberFormat="1" applyAlignment="1">
      <alignment vertical="top"/>
    </xf>
    <xf numFmtId="49" fontId="16" fillId="0" borderId="0" xfId="0" applyNumberFormat="1" applyFont="1" applyAlignment="1">
      <alignment vertical="top"/>
    </xf>
    <xf numFmtId="0" fontId="12" fillId="0" borderId="16" xfId="2" applyBorder="1"/>
    <xf numFmtId="49" fontId="0" fillId="0" borderId="0" xfId="0" applyNumberFormat="1" applyAlignment="1">
      <alignment vertical="top" wrapText="1"/>
    </xf>
    <xf numFmtId="1" fontId="42" fillId="0" borderId="5" xfId="1" applyNumberFormat="1" applyFont="1" applyFill="1" applyBorder="1" applyAlignment="1">
      <alignment horizontal="left" vertical="top"/>
    </xf>
    <xf numFmtId="0" fontId="15" fillId="0" borderId="0" xfId="1"/>
    <xf numFmtId="0" fontId="0" fillId="2" borderId="0" xfId="0" applyFill="1" applyAlignment="1">
      <alignment wrapText="1"/>
    </xf>
    <xf numFmtId="0" fontId="25" fillId="0" borderId="1" xfId="0" applyFont="1" applyBorder="1" applyAlignment="1">
      <alignment horizontal="center"/>
    </xf>
    <xf numFmtId="0" fontId="25" fillId="0" borderId="2" xfId="0" applyFont="1" applyBorder="1" applyAlignment="1">
      <alignment horizontal="center"/>
    </xf>
    <xf numFmtId="0" fontId="25" fillId="0" borderId="3" xfId="0" applyFont="1" applyBorder="1" applyAlignment="1">
      <alignment horizontal="center"/>
    </xf>
    <xf numFmtId="0" fontId="18" fillId="0" borderId="4" xfId="0" applyFont="1" applyFill="1" applyBorder="1" applyAlignment="1">
      <alignment vertical="top"/>
    </xf>
    <xf numFmtId="0" fontId="18" fillId="0" borderId="0" xfId="0" applyFont="1" applyFill="1" applyAlignment="1">
      <alignment vertical="top"/>
    </xf>
    <xf numFmtId="0" fontId="18" fillId="0" borderId="5" xfId="0" applyFont="1" applyFill="1" applyBorder="1" applyAlignment="1">
      <alignment vertical="top"/>
    </xf>
    <xf numFmtId="49" fontId="18" fillId="0" borderId="0" xfId="0" applyNumberFormat="1" applyFont="1" applyFill="1" applyAlignment="1">
      <alignment vertical="top"/>
    </xf>
    <xf numFmtId="0" fontId="14" fillId="0" borderId="4" xfId="0" applyFont="1" applyFill="1" applyBorder="1" applyAlignment="1">
      <alignment vertical="top"/>
    </xf>
    <xf numFmtId="0" fontId="0" fillId="0" borderId="0" xfId="0" applyFill="1" applyAlignment="1">
      <alignment vertical="top"/>
    </xf>
    <xf numFmtId="0" fontId="0" fillId="0" borderId="5" xfId="0" applyFill="1" applyBorder="1" applyAlignment="1">
      <alignment vertical="top"/>
    </xf>
    <xf numFmtId="49" fontId="0" fillId="0" borderId="0" xfId="0" applyNumberFormat="1" applyFill="1" applyAlignment="1">
      <alignment vertical="top"/>
    </xf>
    <xf numFmtId="0" fontId="0" fillId="0" borderId="0" xfId="0" applyBorder="1" applyAlignment="1">
      <alignment vertical="top"/>
    </xf>
    <xf numFmtId="0" fontId="0" fillId="0" borderId="0" xfId="2" applyFont="1" applyBorder="1"/>
    <xf numFmtId="0" fontId="3" fillId="0" borderId="0" xfId="6" applyFont="1" applyBorder="1" applyAlignment="1">
      <alignment vertical="top"/>
    </xf>
    <xf numFmtId="49" fontId="2" fillId="0" borderId="5" xfId="2" applyNumberFormat="1" applyFont="1" applyBorder="1" applyAlignment="1">
      <alignment vertical="top"/>
    </xf>
    <xf numFmtId="0" fontId="3" fillId="0" borderId="0" xfId="2" applyFont="1" applyBorder="1" applyAlignment="1">
      <alignment vertical="top"/>
    </xf>
    <xf numFmtId="0" fontId="0" fillId="0" borderId="0" xfId="7" applyFont="1" applyBorder="1" applyAlignment="1">
      <alignment horizontal="left" vertical="top"/>
    </xf>
    <xf numFmtId="0" fontId="0" fillId="0" borderId="0" xfId="7" applyFont="1" applyBorder="1" applyAlignment="1">
      <alignment vertical="top"/>
    </xf>
    <xf numFmtId="3" fontId="0" fillId="0" borderId="0" xfId="0" applyNumberFormat="1" applyBorder="1" applyAlignment="1">
      <alignment vertical="top"/>
    </xf>
    <xf numFmtId="165" fontId="0" fillId="0" borderId="0" xfId="0" applyNumberFormat="1" applyBorder="1" applyAlignment="1">
      <alignment vertical="top"/>
    </xf>
    <xf numFmtId="0" fontId="3" fillId="0" borderId="24" xfId="0" applyFont="1" applyBorder="1"/>
    <xf numFmtId="49" fontId="17" fillId="0" borderId="5" xfId="0" applyNumberFormat="1" applyFont="1" applyBorder="1" applyAlignment="1">
      <alignment vertical="top"/>
    </xf>
    <xf numFmtId="49" fontId="23" fillId="0" borderId="5" xfId="0" applyNumberFormat="1" applyFont="1" applyBorder="1" applyAlignment="1">
      <alignment vertical="top"/>
    </xf>
    <xf numFmtId="49" fontId="3" fillId="0" borderId="5" xfId="0" applyNumberFormat="1" applyFont="1" applyBorder="1" applyAlignment="1">
      <alignment vertical="top"/>
    </xf>
    <xf numFmtId="0" fontId="3" fillId="0" borderId="5" xfId="2" applyFont="1" applyBorder="1"/>
    <xf numFmtId="0" fontId="3" fillId="0" borderId="5" xfId="2" applyFont="1" applyBorder="1" applyAlignment="1">
      <alignment wrapText="1"/>
    </xf>
    <xf numFmtId="49" fontId="34" fillId="0" borderId="5" xfId="0" applyNumberFormat="1" applyFont="1" applyBorder="1" applyAlignment="1">
      <alignment vertical="top"/>
    </xf>
    <xf numFmtId="0" fontId="34" fillId="4" borderId="5" xfId="0" applyFont="1" applyFill="1" applyBorder="1" applyAlignment="1">
      <alignment wrapText="1"/>
    </xf>
    <xf numFmtId="0" fontId="17" fillId="0" borderId="5" xfId="0" applyFont="1" applyBorder="1"/>
    <xf numFmtId="0" fontId="34" fillId="0" borderId="5" xfId="0" applyFont="1" applyBorder="1"/>
    <xf numFmtId="49" fontId="3" fillId="0" borderId="5" xfId="0" applyNumberFormat="1" applyFont="1" applyBorder="1"/>
    <xf numFmtId="49" fontId="36" fillId="0" borderId="5" xfId="0" applyNumberFormat="1" applyFont="1" applyBorder="1" applyAlignment="1">
      <alignment vertical="top"/>
    </xf>
    <xf numFmtId="49" fontId="3" fillId="0" borderId="5" xfId="0" applyNumberFormat="1" applyFont="1" applyFill="1" applyBorder="1" applyAlignment="1">
      <alignment vertical="top"/>
    </xf>
    <xf numFmtId="49" fontId="36" fillId="0" borderId="5" xfId="0" applyNumberFormat="1" applyFont="1" applyFill="1" applyBorder="1" applyAlignment="1">
      <alignment vertical="top"/>
    </xf>
    <xf numFmtId="49" fontId="23" fillId="0" borderId="5" xfId="0" applyNumberFormat="1" applyFont="1" applyBorder="1"/>
    <xf numFmtId="49" fontId="34" fillId="0" borderId="5" xfId="0" applyNumberFormat="1" applyFont="1" applyBorder="1"/>
    <xf numFmtId="0" fontId="3" fillId="0" borderId="24" xfId="2" applyFont="1" applyBorder="1"/>
    <xf numFmtId="0" fontId="14" fillId="0" borderId="0" xfId="0" applyFont="1" applyBorder="1" applyAlignment="1">
      <alignment vertical="top"/>
    </xf>
    <xf numFmtId="0" fontId="14" fillId="0" borderId="0" xfId="0" applyFont="1" applyBorder="1" applyAlignment="1">
      <alignment horizontal="left" vertical="top"/>
    </xf>
    <xf numFmtId="1" fontId="0" fillId="0" borderId="0" xfId="0" applyNumberFormat="1" applyBorder="1" applyAlignment="1">
      <alignment vertical="top"/>
    </xf>
    <xf numFmtId="0" fontId="30" fillId="0" borderId="5" xfId="1" applyFont="1" applyFill="1" applyBorder="1" applyAlignment="1">
      <alignment vertical="top"/>
    </xf>
    <xf numFmtId="0" fontId="20" fillId="0" borderId="0" xfId="0" applyFont="1" applyBorder="1" applyAlignment="1">
      <alignment vertical="top"/>
    </xf>
    <xf numFmtId="0" fontId="20" fillId="0" borderId="0" xfId="0" applyFont="1" applyBorder="1" applyAlignment="1">
      <alignment horizontal="left" vertical="top"/>
    </xf>
    <xf numFmtId="0" fontId="0" fillId="0" borderId="0" xfId="0" applyBorder="1" applyAlignment="1">
      <alignment horizontal="left" vertical="top"/>
    </xf>
    <xf numFmtId="0" fontId="3" fillId="0" borderId="0" xfId="9" applyFont="1" applyBorder="1" applyAlignment="1">
      <alignment vertical="top"/>
    </xf>
    <xf numFmtId="0" fontId="7" fillId="0" borderId="0" xfId="9" applyBorder="1" applyAlignment="1">
      <alignment vertical="top"/>
    </xf>
    <xf numFmtId="0" fontId="12" fillId="0" borderId="0" xfId="2" applyBorder="1" applyAlignment="1">
      <alignment horizontal="left" vertical="top"/>
    </xf>
    <xf numFmtId="0" fontId="12" fillId="0" borderId="0" xfId="2" applyBorder="1" applyAlignment="1">
      <alignment vertical="top"/>
    </xf>
    <xf numFmtId="0" fontId="3" fillId="0" borderId="0" xfId="7" applyFont="1" applyBorder="1" applyAlignment="1">
      <alignment vertical="top"/>
    </xf>
    <xf numFmtId="0" fontId="8" fillId="0" borderId="0" xfId="7" applyBorder="1" applyAlignment="1">
      <alignment vertical="top"/>
    </xf>
    <xf numFmtId="0" fontId="22" fillId="0" borderId="0" xfId="0" applyFont="1" applyBorder="1" applyAlignment="1">
      <alignment wrapText="1"/>
    </xf>
    <xf numFmtId="0" fontId="22" fillId="0" borderId="0" xfId="0" applyFont="1" applyBorder="1" applyAlignment="1">
      <alignment horizontal="left"/>
    </xf>
    <xf numFmtId="0" fontId="12" fillId="0" borderId="0" xfId="2" applyBorder="1" applyAlignment="1">
      <alignment horizontal="left"/>
    </xf>
    <xf numFmtId="0" fontId="3" fillId="0" borderId="0" xfId="2" applyFont="1" applyBorder="1"/>
    <xf numFmtId="0" fontId="3" fillId="0" borderId="0" xfId="2" applyFont="1" applyBorder="1" applyAlignment="1">
      <alignment horizontal="left"/>
    </xf>
    <xf numFmtId="1" fontId="12" fillId="0" borderId="0" xfId="2" applyNumberFormat="1" applyBorder="1"/>
    <xf numFmtId="0" fontId="3" fillId="0" borderId="0" xfId="2" applyFont="1" applyBorder="1" applyAlignment="1">
      <alignment wrapText="1"/>
    </xf>
    <xf numFmtId="0" fontId="12" fillId="0" borderId="0" xfId="2" applyBorder="1"/>
    <xf numFmtId="0" fontId="3" fillId="0" borderId="0" xfId="5" applyFont="1" applyBorder="1" applyAlignment="1">
      <alignment vertical="top"/>
    </xf>
    <xf numFmtId="0" fontId="3" fillId="0" borderId="0" xfId="5" applyFont="1" applyBorder="1" applyAlignment="1">
      <alignment horizontal="left" vertical="top"/>
    </xf>
    <xf numFmtId="0" fontId="9" fillId="0" borderId="0" xfId="5" applyBorder="1" applyAlignment="1">
      <alignment vertical="top"/>
    </xf>
    <xf numFmtId="0" fontId="9" fillId="0" borderId="0" xfId="5" applyBorder="1" applyAlignment="1">
      <alignment horizontal="left" vertical="top"/>
    </xf>
    <xf numFmtId="0" fontId="14" fillId="0" borderId="0" xfId="7" applyFont="1" applyBorder="1" applyAlignment="1">
      <alignment horizontal="left" vertical="top"/>
    </xf>
    <xf numFmtId="0" fontId="0" fillId="0" borderId="0" xfId="0" applyBorder="1"/>
    <xf numFmtId="0" fontId="8" fillId="0" borderId="0" xfId="7" applyBorder="1" applyAlignment="1">
      <alignment horizontal="left" vertical="top"/>
    </xf>
    <xf numFmtId="0" fontId="23" fillId="0" borderId="0" xfId="0" applyFont="1" applyBorder="1" applyAlignment="1">
      <alignment wrapText="1"/>
    </xf>
    <xf numFmtId="0" fontId="23" fillId="0" borderId="0" xfId="0" applyFont="1" applyBorder="1"/>
    <xf numFmtId="1" fontId="3" fillId="0" borderId="0" xfId="2" applyNumberFormat="1" applyFont="1" applyBorder="1"/>
    <xf numFmtId="0" fontId="14" fillId="0" borderId="0" xfId="0" applyFont="1" applyBorder="1"/>
    <xf numFmtId="0" fontId="0" fillId="0" borderId="0" xfId="0" applyBorder="1" applyAlignment="1">
      <alignment horizontal="left"/>
    </xf>
    <xf numFmtId="0" fontId="30" fillId="0" borderId="5" xfId="1" applyFont="1" applyBorder="1"/>
    <xf numFmtId="0" fontId="29" fillId="0" borderId="5" xfId="1" applyFont="1" applyFill="1" applyBorder="1" applyAlignment="1">
      <alignment vertical="top"/>
    </xf>
    <xf numFmtId="0" fontId="30" fillId="0" borderId="5" xfId="1" applyFont="1" applyFill="1" applyBorder="1"/>
    <xf numFmtId="0" fontId="18" fillId="0" borderId="0" xfId="0" applyFont="1" applyBorder="1" applyAlignment="1">
      <alignment vertical="top"/>
    </xf>
    <xf numFmtId="0" fontId="18" fillId="0" borderId="0" xfId="0" applyFont="1" applyBorder="1" applyAlignment="1">
      <alignment horizontal="left" vertical="top"/>
    </xf>
    <xf numFmtId="0" fontId="14" fillId="0" borderId="0" xfId="0" applyFont="1" applyFill="1" applyBorder="1" applyAlignment="1">
      <alignment vertical="top"/>
    </xf>
    <xf numFmtId="0" fontId="0" fillId="0" borderId="0" xfId="7" applyFont="1" applyFill="1" applyBorder="1" applyAlignment="1">
      <alignment horizontal="left" vertical="top"/>
    </xf>
    <xf numFmtId="1" fontId="0" fillId="0" borderId="0" xfId="0" applyNumberFormat="1" applyFill="1" applyBorder="1" applyAlignment="1">
      <alignment vertical="top"/>
    </xf>
    <xf numFmtId="3" fontId="0" fillId="0" borderId="0" xfId="0" applyNumberFormat="1" applyFill="1" applyBorder="1" applyAlignment="1">
      <alignment vertical="top"/>
    </xf>
    <xf numFmtId="165" fontId="0" fillId="0" borderId="0" xfId="0" applyNumberFormat="1" applyFill="1" applyBorder="1" applyAlignment="1">
      <alignment vertical="top"/>
    </xf>
    <xf numFmtId="0" fontId="18" fillId="0" borderId="0" xfId="2" applyFont="1" applyFill="1" applyBorder="1" applyAlignment="1">
      <alignment vertical="top"/>
    </xf>
    <xf numFmtId="0" fontId="18" fillId="0" borderId="0" xfId="7" applyFont="1" applyFill="1" applyBorder="1" applyAlignment="1">
      <alignment horizontal="left" vertical="top"/>
    </xf>
    <xf numFmtId="1" fontId="18" fillId="0" borderId="0" xfId="0" applyNumberFormat="1" applyFont="1" applyFill="1" applyBorder="1" applyAlignment="1">
      <alignment vertical="top"/>
    </xf>
    <xf numFmtId="3" fontId="18" fillId="0" borderId="0" xfId="0" applyNumberFormat="1" applyFont="1" applyFill="1" applyBorder="1" applyAlignment="1">
      <alignment vertical="top"/>
    </xf>
    <xf numFmtId="165" fontId="18" fillId="0" borderId="0" xfId="0" applyNumberFormat="1" applyFont="1" applyFill="1" applyBorder="1" applyAlignment="1">
      <alignment vertical="top"/>
    </xf>
    <xf numFmtId="0" fontId="12" fillId="0" borderId="0" xfId="2" applyFill="1" applyBorder="1" applyAlignment="1">
      <alignment vertical="top"/>
    </xf>
    <xf numFmtId="0" fontId="12" fillId="0" borderId="0" xfId="2" applyFill="1" applyBorder="1" applyAlignment="1">
      <alignment horizontal="left" vertical="top"/>
    </xf>
    <xf numFmtId="0" fontId="23" fillId="0" borderId="0" xfId="0" applyFont="1" applyBorder="1" applyAlignment="1">
      <alignment vertical="top"/>
    </xf>
    <xf numFmtId="0" fontId="14" fillId="0" borderId="0" xfId="6" applyFont="1" applyBorder="1" applyAlignment="1">
      <alignment vertical="top"/>
    </xf>
    <xf numFmtId="0" fontId="0" fillId="0" borderId="0" xfId="6" applyFont="1" applyBorder="1" applyAlignment="1">
      <alignment horizontal="left" vertical="top"/>
    </xf>
    <xf numFmtId="0" fontId="8" fillId="0" borderId="0" xfId="6" applyBorder="1" applyAlignment="1">
      <alignment vertical="top"/>
    </xf>
    <xf numFmtId="0" fontId="8" fillId="0" borderId="0" xfId="6" applyBorder="1" applyAlignment="1">
      <alignment horizontal="left" vertical="top"/>
    </xf>
    <xf numFmtId="0" fontId="22" fillId="0" borderId="0" xfId="7" applyFont="1" applyBorder="1" applyAlignment="1">
      <alignment vertical="top"/>
    </xf>
    <xf numFmtId="0" fontId="3" fillId="0" borderId="0" xfId="4" applyFont="1" applyBorder="1" applyAlignment="1">
      <alignment vertical="top"/>
    </xf>
    <xf numFmtId="0" fontId="10" fillId="0" borderId="0" xfId="4" applyBorder="1" applyAlignment="1">
      <alignment horizontal="left" vertical="top"/>
    </xf>
    <xf numFmtId="0" fontId="10" fillId="0" borderId="0" xfId="4" applyBorder="1" applyAlignment="1">
      <alignment vertical="top"/>
    </xf>
    <xf numFmtId="0" fontId="23" fillId="0" borderId="0" xfId="7" applyFont="1" applyBorder="1" applyAlignment="1">
      <alignment vertical="top"/>
    </xf>
    <xf numFmtId="0" fontId="8" fillId="0" borderId="0" xfId="8" applyBorder="1" applyAlignment="1">
      <alignment horizontal="left" vertical="top"/>
    </xf>
    <xf numFmtId="0" fontId="14" fillId="0" borderId="0" xfId="9" applyFont="1" applyBorder="1" applyAlignment="1">
      <alignment vertical="top"/>
    </xf>
    <xf numFmtId="168" fontId="0" fillId="0" borderId="0" xfId="0" applyNumberFormat="1" applyBorder="1" applyAlignment="1">
      <alignment vertical="top"/>
    </xf>
    <xf numFmtId="0" fontId="39" fillId="0" borderId="5" xfId="1" applyFont="1" applyBorder="1"/>
    <xf numFmtId="0" fontId="14" fillId="0" borderId="0" xfId="0" applyFont="1" applyBorder="1" applyAlignment="1">
      <alignment horizontal="left"/>
    </xf>
    <xf numFmtId="0" fontId="14" fillId="0" borderId="0" xfId="7" applyFont="1" applyBorder="1"/>
    <xf numFmtId="0" fontId="0" fillId="0" borderId="0" xfId="7" applyFont="1" applyBorder="1"/>
    <xf numFmtId="0" fontId="22" fillId="0" borderId="11" xfId="0" applyFont="1" applyBorder="1" applyAlignment="1">
      <alignment vertical="top"/>
    </xf>
    <xf numFmtId="0" fontId="23" fillId="0" borderId="6" xfId="7" applyFont="1" applyBorder="1" applyAlignment="1">
      <alignment vertical="top"/>
    </xf>
    <xf numFmtId="0" fontId="22" fillId="0" borderId="6" xfId="0" applyFont="1" applyBorder="1" applyAlignment="1">
      <alignment horizontal="left" vertical="top"/>
    </xf>
    <xf numFmtId="0" fontId="22" fillId="0" borderId="6" xfId="0" applyFont="1" applyBorder="1" applyAlignment="1">
      <alignment vertical="top"/>
    </xf>
    <xf numFmtId="3" fontId="22" fillId="0" borderId="6" xfId="0" applyNumberFormat="1" applyFont="1" applyBorder="1" applyAlignment="1">
      <alignment vertical="top"/>
    </xf>
    <xf numFmtId="165" fontId="22" fillId="0" borderId="6" xfId="0" applyNumberFormat="1" applyFont="1" applyBorder="1" applyAlignment="1">
      <alignment vertical="top"/>
    </xf>
    <xf numFmtId="0" fontId="30" fillId="0" borderId="7" xfId="1" applyFont="1" applyBorder="1"/>
    <xf numFmtId="0" fontId="19" fillId="0" borderId="24" xfId="0" applyFont="1" applyBorder="1" applyAlignment="1">
      <alignment horizontal="left" vertical="top"/>
    </xf>
    <xf numFmtId="0" fontId="1" fillId="0" borderId="0" xfId="2" applyFont="1"/>
  </cellXfs>
  <cellStyles count="11">
    <cellStyle name="Hyperlink" xfId="1" builtinId="8"/>
    <cellStyle name="Normal" xfId="0" builtinId="0"/>
    <cellStyle name="Normal 10" xfId="10" xr:uid="{CF8359E4-5FF1-4D32-B3AA-B6BC6191B6C0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91"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" formatCode="#,##0"/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numFmt numFmtId="170" formatCode="[h]:mm:ss;@"/>
    </dxf>
    <dxf>
      <numFmt numFmtId="169" formatCode="[$]hh:mm;@" x16r2:formatCode16="[$-en-150,1]hh:mm;@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numFmt numFmtId="30" formatCode="@"/>
      <fill>
        <patternFill patternType="none">
          <fgColor rgb="FF000000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vertical/>
      </border>
    </dxf>
    <dxf>
      <border outline="0">
        <top style="medium">
          <color rgb="FF000000"/>
        </top>
        <bottom style="medium">
          <color rgb="FF000000"/>
        </bottom>
      </border>
    </dxf>
    <dxf>
      <numFmt numFmtId="30" formatCode="@"/>
      <fill>
        <patternFill patternType="none">
          <fgColor rgb="FF000000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</dxfs>
  <tableStyles count="0" defaultTableStyle="TableStyleMedium2" defaultPivotStyle="PivotStyleLight16"/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customschemas.google.com/relationships/workbookmetadata" Target="metadata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6</xdr:row>
      <xdr:rowOff>47625</xdr:rowOff>
    </xdr:from>
    <xdr:to>
      <xdr:col>5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323850</xdr:colOff>
      <xdr:row>2</xdr:row>
      <xdr:rowOff>57150</xdr:rowOff>
    </xdr:from>
    <xdr:to>
      <xdr:col>4</xdr:col>
      <xdr:colOff>2000250</xdr:colOff>
      <xdr:row>9</xdr:row>
      <xdr:rowOff>76200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020050" y="438150"/>
          <a:ext cx="1676400" cy="13716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M150" tableId="20">
      <sortRules>
        <sortRule colId="0" id="{E596F2F7-CDFF-486E-86F5-053FDD2A2A5C}">
          <sortCondition ref="A1:A150"/>
        </sortRule>
      </sortRules>
    </nsvFilter>
  </namedSheetView>
  <namedSheetView name="View2" id="{691FBDBE-F5E7-40EF-BEDE-449439764C7B}">
    <nsvFilter filterId="{00000000-000C-0000-FFFF-FFFF00000000}" ref="A1:M150" tableId="20">
      <sortRules>
        <sortRule colId="0" id="{E596F2F7-CDFF-486E-86F5-053FDD2A2A5C}">
          <sortCondition ref="A1:A150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M150" totalsRowShown="0" dataDxfId="89" headerRowBorderDxfId="90" tableBorderDxfId="88" headerRowCellStyle="Normal 2">
  <autoFilter ref="A1:M150" xr:uid="{00000000-000C-0000-FFFF-FFFF00000000}"/>
  <sortState xmlns:xlrd2="http://schemas.microsoft.com/office/spreadsheetml/2017/richdata2" ref="A2:L150">
    <sortCondition ref="A1:A150"/>
  </sortState>
  <tableColumns count="13">
    <tableColumn id="3" xr3:uid="{E596F2F7-CDFF-486E-86F5-053FDD2A2A5C}" name="Type" dataDxfId="7"/>
    <tableColumn id="4" xr3:uid="{21BB2F02-45DC-4E39-9123-FC046A8DFC11}" name="Part" dataDxfId="6"/>
    <tableColumn id="1" xr3:uid="{277C1F1F-DAAE-4C91-9EDC-C8D501677DE9}" name="Cut length" dataDxfId="5" dataCellStyle="Normal 7"/>
    <tableColumn id="7" xr3:uid="{47852F97-FC81-4943-BFF5-71D7E867A237}" name="Qty Required" dataDxfId="4"/>
    <tableColumn id="5" xr3:uid="{5C2A44A8-DE4F-4B5A-930C-443716E7E898}" name="Pack Order Qty" dataDxfId="3"/>
    <tableColumn id="8" xr3:uid="{07FAA242-B582-4790-9720-A5DC124D6B2D}" name="Pack Price $USD" dataDxfId="2"/>
    <tableColumn id="10" xr3:uid="{B3F33643-2531-4917-B84D-BE4983A99A8C}" name="*Cost Price $USD" dataDxfId="1">
      <calculatedColumnFormula>E2*F2</calculatedColumnFormula>
    </tableColumn>
    <tableColumn id="2" xr3:uid="{2B3304EF-95F3-4EA3-9A24-E520BCF247B0}" name="Order Link" dataDxfId="0" dataCellStyle="Hyperlink"/>
    <tableColumn id="12" xr3:uid="{53A14610-D497-4DD1-8CFF-F20E191D3317}" name="Supplier" dataDxfId="87"/>
    <tableColumn id="11" xr3:uid="{A7F10A10-A127-43E0-B65C-9F538B8DD15E}" name="Qty in a Pack" dataDxfId="86" dataCellStyle="Hyperlink"/>
    <tableColumn id="13" xr3:uid="{DE4564AA-6825-49A5-B67A-A550AFECDCA7}" name="DIN" dataDxfId="85"/>
    <tableColumn id="14" xr3:uid="{63E8BC06-DC55-407C-B167-F3CA5B6EBA86}" name="ISO" dataDxfId="84"/>
    <tableColumn id="6" xr3:uid="{20868F13-EF4A-4C62-958A-6FEB2EB595D7}" name="Column1" dataDxfId="83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1:E19" totalsRowShown="0" headerRowDxfId="82" dataDxfId="81" tableBorderDxfId="80" headerRowCellStyle="Normal 2">
  <autoFilter ref="B1:E19" xr:uid="{9FCF4A79-156B-41FF-A555-9328C94776F1}"/>
  <sortState xmlns:xlrd2="http://schemas.microsoft.com/office/spreadsheetml/2017/richdata2" ref="B2:E19">
    <sortCondition ref="B1:B19"/>
  </sortState>
  <tableColumns count="4">
    <tableColumn id="1" xr3:uid="{12342F44-8220-45C2-AC30-328741D516AB}" name="Part name" dataDxfId="79"/>
    <tableColumn id="3" xr3:uid="{2385B826-F8C8-4362-89A6-95A38D685D6B}" name="Description" dataDxfId="78"/>
    <tableColumn id="4" xr3:uid="{0FBBE615-D864-4E30-B741-3BE35C30458E}" name="Cut length" dataDxfId="77" dataCellStyle="Normal 8"/>
    <tableColumn id="2" xr3:uid="{59176566-F320-409F-9AA9-17486015A49A}" name="BOM Quantity" dataDxfId="76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4" totalsRowShown="0" headerRowDxfId="75" tableBorderDxfId="74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C5533925-B810-4F05-9221-5D5DC08A3846}" name="Part name" totalsRowDxfId="73" dataCellStyle="Normal 2" totalsRowCellStyle="Normal 2"/>
    <tableColumn id="7" xr3:uid="{13C33B91-92BB-4F0B-8B89-D7D5416E5479}" name="Description" totalsRowDxfId="72" dataCellStyle="Normal 2" totalsRowCellStyle="Normal 2"/>
    <tableColumn id="2" xr3:uid="{684CEE11-8A68-45FD-871F-FFCFA808FEBD}" name="BOM Quantity" dataDxfId="71" totalsRowDxfId="70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26" totalsRowShown="0" headerRowDxfId="69" tableBorderDxfId="68" headerRowCellStyle="Normal 2" dataCellStyle="Normal 2">
  <autoFilter ref="B1:D26" xr:uid="{BAD2131D-41B2-42EA-A67B-FBB781AD12E7}"/>
  <sortState xmlns:xlrd2="http://schemas.microsoft.com/office/spreadsheetml/2017/richdata2" ref="B2:D26">
    <sortCondition ref="B1:B26"/>
  </sortState>
  <tableColumns count="3">
    <tableColumn id="1" xr3:uid="{0F292740-142C-4538-B6E0-04426284E315}" name="Part name" totalsRowDxfId="67" dataCellStyle="Normal 2" totalsRowCellStyle="Normal 2"/>
    <tableColumn id="7" xr3:uid="{150C9F57-34E9-40EB-9D7E-4F2F4DC1A13F}" name="Description" totalsRowDxfId="66" totalsRowCellStyle="Normal 2"/>
    <tableColumn id="2" xr3:uid="{A7D6434D-4498-49EB-9D73-D244744029D3}" name="BOM Quantity" dataDxfId="65" totalsRowDxfId="64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29:D39" totalsRowShown="0" headerRowDxfId="63" tableBorderDxfId="62" headerRowCellStyle="Normal 2" dataCellStyle="Normal 2">
  <autoFilter ref="B29:D39" xr:uid="{DA456747-D398-4471-8B86-AB700DA339AD}"/>
  <sortState xmlns:xlrd2="http://schemas.microsoft.com/office/spreadsheetml/2017/richdata2" ref="B30:D39">
    <sortCondition ref="B29:B39"/>
  </sortState>
  <tableColumns count="3">
    <tableColumn id="1" xr3:uid="{B397B237-34CC-4F05-A03A-172D9B10CC01}" name="Part name" totalsRowDxfId="61" dataCellStyle="Normal 2" totalsRowCellStyle="Normal 2"/>
    <tableColumn id="7" xr3:uid="{A1AF3E5A-9878-43E6-8325-6EA13891B687}" name="Description" totalsRowDxfId="60" totalsRowCellStyle="Normal 2"/>
    <tableColumn id="2" xr3:uid="{1585E650-1008-4DC9-8D1C-8F6E78001D58}" name="BOM Quantity" dataDxfId="59" totalsRowDxfId="58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45" totalsRowShown="0" headerRowDxfId="57" tableBorderDxfId="56" headerRowCellStyle="Normal 2" dataCellStyle="Normal 2">
  <autoFilter ref="B1:D45" xr:uid="{BAD2131D-41B2-42EA-A67B-FBB781AD12E7}"/>
  <sortState xmlns:xlrd2="http://schemas.microsoft.com/office/spreadsheetml/2017/richdata2" ref="B2:D45">
    <sortCondition ref="B1:B45"/>
  </sortState>
  <tableColumns count="3">
    <tableColumn id="1" xr3:uid="{1CE47076-A60D-4220-8B3D-C6D4BAFB1164}" name="Part name" totalsRowDxfId="55" dataCellStyle="Normal 2" totalsRowCellStyle="Normal 2"/>
    <tableColumn id="7" xr3:uid="{D41EBA7C-1A32-4553-871C-D0C5C96C9E90}" name="Description" totalsRowDxfId="54" dataCellStyle="Normal 2" totalsRowCellStyle="Normal 2"/>
    <tableColumn id="2" xr3:uid="{1A8F0BE6-05F1-4339-9CFB-0F9B7B4E13D4}" name="BOM Quantity" dataDxfId="53" totalsRowDxfId="52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74" totalsRowShown="0" headerRowDxfId="51" tableBorderDxfId="50" headerRowCellStyle="Normal 2" dataCellStyle="Normal 2">
  <autoFilter ref="B1:D74" xr:uid="{BAD2131D-41B2-42EA-A67B-FBB781AD12E7}"/>
  <sortState xmlns:xlrd2="http://schemas.microsoft.com/office/spreadsheetml/2017/richdata2" ref="B2:D74">
    <sortCondition ref="B1:B74"/>
  </sortState>
  <tableColumns count="3">
    <tableColumn id="1" xr3:uid="{FEDEBDB4-D2A0-4044-865C-6B89D3CC7592}" name="Part name" totalsRowDxfId="49" dataCellStyle="Normal 2" totalsRowCellStyle="Normal 2"/>
    <tableColumn id="7" xr3:uid="{4C265877-F081-4975-80F2-6B962EBD7F5B}" name="Description" totalsRowDxfId="48" dataCellStyle="Normal 2" totalsRowCellStyle="Normal 2"/>
    <tableColumn id="2" xr3:uid="{C58356B1-645B-4209-9365-0DE732AD7AAF}" name="BOM Quantity" dataDxfId="47" totalsRowDxfId="46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44" totalsRowShown="0" headerRowDxfId="45" tableBorderDxfId="44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3C370705-9D71-4B07-907E-72DEACEAFBA2}" name="Part name" totalsRowDxfId="43" dataCellStyle="Normal 2" totalsRowCellStyle="Normal 2"/>
    <tableColumn id="7" xr3:uid="{D11DB86B-2519-40CE-A3B1-2DFF1E8D8BAF}" name="Description" totalsRowDxfId="42" dataCellStyle="Normal 2" totalsRowCellStyle="Normal 2"/>
    <tableColumn id="2" xr3:uid="{030B0BC7-E7B6-43C0-9200-DE84B404D5FA}" name="BOM Quantity" dataDxfId="41" totalsRowDxfId="40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8" totalsRowShown="0" headerRowDxfId="39" tableBorderDxfId="38" headerRowCellStyle="Normal 2" dataCellStyle="Normal 2">
  <autoFilter ref="B1:D18" xr:uid="{BAD2131D-41B2-42EA-A67B-FBB781AD12E7}"/>
  <sortState xmlns:xlrd2="http://schemas.microsoft.com/office/spreadsheetml/2017/richdata2" ref="B2:D18">
    <sortCondition ref="B1:B18"/>
  </sortState>
  <tableColumns count="3">
    <tableColumn id="1" xr3:uid="{D7153C23-8479-4254-BF69-2A4089CB71C0}" name="Part name" totalsRowDxfId="37" dataCellStyle="Normal 2" totalsRowCellStyle="Normal 2"/>
    <tableColumn id="7" xr3:uid="{5CF4E952-095C-46AE-A57F-99A26E57C478}" name="Description" totalsRowDxfId="36" dataCellStyle="Normal 2" totalsRowCellStyle="Normal 2"/>
    <tableColumn id="2" xr3:uid="{8AE4D1C0-7F70-4D1E-B6EC-42038CE642DF}" name="BOM Quantity" dataDxfId="35" totalsRowDxfId="34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46" totalsRowShown="0" headerRowDxfId="33" tableBorderDxfId="32" headerRowCellStyle="Normal 2" dataCellStyle="Normal 2">
  <autoFilter ref="B1:D46" xr:uid="{BAD2131D-41B2-42EA-A67B-FBB781AD12E7}"/>
  <sortState xmlns:xlrd2="http://schemas.microsoft.com/office/spreadsheetml/2017/richdata2" ref="B2:D46">
    <sortCondition ref="B1:B46"/>
  </sortState>
  <tableColumns count="3">
    <tableColumn id="1" xr3:uid="{E0A0C165-2589-4FA7-A356-93EEE88B2095}" name="Part name" totalsRowDxfId="31" dataCellStyle="Normal 2" totalsRowCellStyle="Normal 2"/>
    <tableColumn id="7" xr3:uid="{49376C16-406D-4D5F-8B92-3BFE5FB962B9}" name="Description" totalsRowDxfId="30" dataCellStyle="Normal 2" totalsRowCellStyle="Normal 2"/>
    <tableColumn id="2" xr3:uid="{6252F354-5A67-4DD7-A1AA-3DADB5EF6BF7}" name="BOM Quantity" dataDxfId="29" totalsRowDxfId="28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H92" totalsRowCount="1" headerRowDxfId="27">
  <autoFilter ref="A1:H91" xr:uid="{02B4D57F-6E20-42C2-A7CF-65378FC03170}"/>
  <sortState xmlns:xlrd2="http://schemas.microsoft.com/office/spreadsheetml/2017/richdata2" ref="A2:H91">
    <sortCondition ref="A1:A91"/>
  </sortState>
  <tableColumns count="8">
    <tableColumn id="1" xr3:uid="{C89F3025-C91C-4D89-A5CC-8772042DE324}" name="System" dataDxfId="26" totalsRowDxfId="25"/>
    <tableColumn id="2" xr3:uid="{FCE9DC81-99C5-4DE1-AE60-3B3DE0EE8421}" name="Part" dataDxfId="24" totalsRowDxfId="23"/>
    <tableColumn id="3" xr3:uid="{6512942A-B4C3-4998-AA54-D3A429CF1394}" name="Meters"/>
    <tableColumn id="6" xr3:uid="{672D19F0-1E84-4954-AA80-1A756FF64B85}" name="Weight" dataDxfId="22"/>
    <tableColumn id="11" xr3:uid="{B345B84F-64A2-4E92-BB95-3C9B14E2A5EA}" name="Items" totalsRowFunction="sum" dataDxfId="21" totalsRowDxfId="20" dataCellStyle="Normal 7"/>
    <tableColumn id="4" xr3:uid="{8A449E36-4741-4576-8011-21C1B3D5DB29}" name="weight Tot" totalsRowFunction="custom" dataDxfId="19" totalsRowDxfId="18" dataCellStyle="Normal 7">
      <calculatedColumnFormula>SUM(Table6[[#This Row],[Weight]]*Table6[[#This Row],[Items]])</calculatedColumnFormula>
      <totalsRowFormula>SUBTOTAL(109,Table6[weight Tot])&amp;"g"</totalsRowFormula>
    </tableColumn>
    <tableColumn id="9" xr3:uid="{DF7CF065-4550-4DB7-B341-EF87320D0C8E}" name="Cost/part" totalsRowFunction="sum" dataDxfId="17" totalsRowDxfId="16">
      <calculatedColumnFormula>$K$2/1000*Table6[[#This Row],[Weight]]*Table6[[#This Row],[Items]]</calculatedColumnFormula>
    </tableColumn>
    <tableColumn id="10" xr3:uid="{84F519DD-FB90-4299-8700-857D723260B1}" name="Time estimate" totalsRowFunction="sum" dataDxfId="15" totalsRowDxfId="14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D3A9734-505A-4671-9A99-A5AD0241BC9E}" name="Table1" displayName="Table1" ref="B2:E26" totalsRowShown="0">
  <autoFilter ref="B2:E26" xr:uid="{CD3A9734-505A-4671-9A99-A5AD0241BC9E}"/>
  <tableColumns count="4">
    <tableColumn id="1" xr3:uid="{8F04C4EB-A680-469A-88ED-4273832B70AF}" name="Pin #" dataDxfId="13"/>
    <tableColumn id="2" xr3:uid="{B8C131DA-A4D9-4F02-8FF8-BEC8A246B232}" name="Voltage" dataDxfId="12"/>
    <tableColumn id="3" xr3:uid="{2BE108EC-DC74-4753-9C2F-DD3CBA203E0E}" name="Wire Size Type" dataDxfId="11"/>
    <tableColumn id="4" xr3:uid="{E530F612-D9CA-42AF-B8BF-BDE36218865A}" name="Device " dataDxfId="10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D13" totalsRowShown="0">
  <autoFilter ref="A1:D13" xr:uid="{08A74962-DE02-40B7-84D1-EBA03C7907E7}"/>
  <sortState xmlns:xlrd2="http://schemas.microsoft.com/office/spreadsheetml/2017/richdata2" ref="A2:C13">
    <sortCondition ref="A1:A13"/>
  </sortState>
  <tableColumns count="4">
    <tableColumn id="1" xr3:uid="{E1FF070C-6993-4332-802B-B4D29E1606E7}" name="Function"/>
    <tableColumn id="2" xr3:uid="{54776E09-074A-46D8-A8AF-0675792CABF2}" name="Macro" dataDxfId="9"/>
    <tableColumn id="3" xr3:uid="{8FBB1689-4854-43C5-AC93-F6E571CF242D}" name="Description"/>
    <tableColumn id="4" xr3:uid="{8BF21A82-1921-4BE2-9EDE-151E7264E122}" name="Column1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9:D39" totalsRowShown="0">
  <autoFilter ref="A19:D39" xr:uid="{22CC0901-A1E8-42BF-83D2-CD8909D9E84D}"/>
  <sortState xmlns:xlrd2="http://schemas.microsoft.com/office/spreadsheetml/2017/richdata2" ref="A20:C39">
    <sortCondition ref="B19:B39"/>
  </sortState>
  <tableColumns count="4">
    <tableColumn id="1" xr3:uid="{72FB4F94-B23A-4D8C-9115-4A4A22828CD8}" name="Function"/>
    <tableColumn id="2" xr3:uid="{72E39D2F-151A-44B2-BA84-B7F34C14C282}" name="System" dataDxfId="8"/>
    <tableColumn id="3" xr3:uid="{5B376876-1002-41A2-9B1B-97FBB74534E9}" name="Description"/>
    <tableColumn id="4" xr3:uid="{B8821D9B-B31B-482C-A94B-3E00C4020734}" name="Column1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41:C47" totalsRowShown="0">
  <autoFilter ref="A41:C47" xr:uid="{65AAB1FE-3FF5-4932-83DF-59F4C29F97F6}"/>
  <tableColumns count="3">
    <tableColumn id="1" xr3:uid="{E54889A3-633F-4685-B8E1-B4DB7E01A94A}" name="Printer code"/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52:C62" totalsRowShown="0">
  <autoFilter ref="A52:C62" xr:uid="{255B9BA2-9874-4909-AB93-96FB850EFBDB}"/>
  <tableColumns count="3">
    <tableColumn id="1" xr3:uid="{D1A0D768-AEE9-4B9C-AC96-95895F8F742C}" name="Printer code"/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4dxXCIr" TargetMode="External"/><Relationship Id="rId21" Type="http://schemas.openxmlformats.org/officeDocument/2006/relationships/hyperlink" Target="https://s.click.aliexpress.com/e/_c3WYOqRb" TargetMode="External"/><Relationship Id="rId42" Type="http://schemas.openxmlformats.org/officeDocument/2006/relationships/hyperlink" Target="https://s.click.aliexpress.com/e/_c3TqIw33" TargetMode="External"/><Relationship Id="rId63" Type="http://schemas.openxmlformats.org/officeDocument/2006/relationships/hyperlink" Target="https://s.click.aliexpress.com/e/_c3DnGI3T" TargetMode="External"/><Relationship Id="rId84" Type="http://schemas.openxmlformats.org/officeDocument/2006/relationships/hyperlink" Target="https://s.click.aliexpress.com/e/_c3jfSpKV" TargetMode="External"/><Relationship Id="rId138" Type="http://schemas.openxmlformats.org/officeDocument/2006/relationships/hyperlink" Target="https://s.click.aliexpress.com/e/_c38RQspz" TargetMode="External"/><Relationship Id="rId107" Type="http://schemas.openxmlformats.org/officeDocument/2006/relationships/hyperlink" Target="https://s.click.aliexpress.com/e/_c3Rt5HhD" TargetMode="External"/><Relationship Id="rId11" Type="http://schemas.openxmlformats.org/officeDocument/2006/relationships/hyperlink" Target="https://s.click.aliexpress.com/e/_c3NPtXxJ" TargetMode="External"/><Relationship Id="rId32" Type="http://schemas.openxmlformats.org/officeDocument/2006/relationships/hyperlink" Target="https://s.click.aliexpress.com/e/_c2wfnsB3" TargetMode="External"/><Relationship Id="rId53" Type="http://schemas.openxmlformats.org/officeDocument/2006/relationships/hyperlink" Target="https://s.click.aliexpress.com/e/_c4WLi6cd" TargetMode="External"/><Relationship Id="rId74" Type="http://schemas.openxmlformats.org/officeDocument/2006/relationships/hyperlink" Target="https://s.click.aliexpress.com/e/_c3jfSpKV" TargetMode="External"/><Relationship Id="rId128" Type="http://schemas.openxmlformats.org/officeDocument/2006/relationships/hyperlink" Target="https://www.digikey.co.nz/en/products/detail/optifuse/PMA-DB-04-Q1S/13146953" TargetMode="External"/><Relationship Id="rId149" Type="http://schemas.openxmlformats.org/officeDocument/2006/relationships/hyperlink" Target="https://s.click.aliexpress.com/e/_c3BBmwdR" TargetMode="External"/><Relationship Id="rId5" Type="http://schemas.openxmlformats.org/officeDocument/2006/relationships/hyperlink" Target="https://s.click.aliexpress.com/e/_c3a6JZfX" TargetMode="External"/><Relationship Id="rId95" Type="http://schemas.openxmlformats.org/officeDocument/2006/relationships/hyperlink" Target="https://s.click.aliexpress.com/e/_c4EuleVP" TargetMode="External"/><Relationship Id="rId22" Type="http://schemas.openxmlformats.org/officeDocument/2006/relationships/hyperlink" Target="https://s.click.aliexpress.com/e/_c3WYOqRb" TargetMode="External"/><Relationship Id="rId27" Type="http://schemas.openxmlformats.org/officeDocument/2006/relationships/hyperlink" Target="https://s.click.aliexpress.com/e/_c2yfvwDX" TargetMode="External"/><Relationship Id="rId43" Type="http://schemas.openxmlformats.org/officeDocument/2006/relationships/hyperlink" Target="https://s.click.aliexpress.com/e/_c3Fj3Z4D" TargetMode="External"/><Relationship Id="rId48" Type="http://schemas.openxmlformats.org/officeDocument/2006/relationships/hyperlink" Target="https://s.click.aliexpress.com/e/_c4rtJlUD" TargetMode="External"/><Relationship Id="rId64" Type="http://schemas.openxmlformats.org/officeDocument/2006/relationships/hyperlink" Target="https://s.click.aliexpress.com/e/_c3cl4lSV" TargetMode="External"/><Relationship Id="rId69" Type="http://schemas.openxmlformats.org/officeDocument/2006/relationships/hyperlink" Target="https://s.click.aliexpress.com/e/_c3jfSpKV" TargetMode="External"/><Relationship Id="rId113" Type="http://schemas.openxmlformats.org/officeDocument/2006/relationships/hyperlink" Target="https://s.click.aliexpress.com/e/_c3p4OtLd" TargetMode="External"/><Relationship Id="rId118" Type="http://schemas.openxmlformats.org/officeDocument/2006/relationships/hyperlink" Target="https://s.click.aliexpress.com/e/_c4dxXCIr" TargetMode="External"/><Relationship Id="rId134" Type="http://schemas.openxmlformats.org/officeDocument/2006/relationships/hyperlink" Target="https://s.click.aliexpress.com/e/_c2uZPf8t" TargetMode="External"/><Relationship Id="rId139" Type="http://schemas.openxmlformats.org/officeDocument/2006/relationships/hyperlink" Target="https://s.click.aliexpress.com/e/_c38RQspz" TargetMode="External"/><Relationship Id="rId80" Type="http://schemas.openxmlformats.org/officeDocument/2006/relationships/hyperlink" Target="https://s.click.aliexpress.com/e/_c3w69LJf" TargetMode="External"/><Relationship Id="rId85" Type="http://schemas.openxmlformats.org/officeDocument/2006/relationships/hyperlink" Target="https://s.click.aliexpress.com/e/_c3gsXE2t" TargetMode="External"/><Relationship Id="rId150" Type="http://schemas.openxmlformats.org/officeDocument/2006/relationships/hyperlink" Target="https://s.click.aliexpress.com/e/_c2wfnsB3" TargetMode="External"/><Relationship Id="rId12" Type="http://schemas.openxmlformats.org/officeDocument/2006/relationships/hyperlink" Target="https://s.click.aliexpress.com/e/_c2wVuKPT" TargetMode="External"/><Relationship Id="rId17" Type="http://schemas.openxmlformats.org/officeDocument/2006/relationships/hyperlink" Target="https://s.click.aliexpress.com/e/_c3suoWc5" TargetMode="External"/><Relationship Id="rId33" Type="http://schemas.openxmlformats.org/officeDocument/2006/relationships/hyperlink" Target="https://s.click.aliexpress.com/e/_c4EuleVP" TargetMode="External"/><Relationship Id="rId38" Type="http://schemas.openxmlformats.org/officeDocument/2006/relationships/hyperlink" Target="https://www.aliexpress.com/item/1005008848776055.html" TargetMode="External"/><Relationship Id="rId59" Type="http://schemas.openxmlformats.org/officeDocument/2006/relationships/hyperlink" Target="https://s.click.aliexpress.com/e/_c4kcgpWl" TargetMode="External"/><Relationship Id="rId103" Type="http://schemas.openxmlformats.org/officeDocument/2006/relationships/hyperlink" Target="https://s.click.aliexpress.com/e/_c31WIyQR" TargetMode="External"/><Relationship Id="rId108" Type="http://schemas.openxmlformats.org/officeDocument/2006/relationships/hyperlink" Target="https://s.click.aliexpress.com/e/_c3gux3Hv" TargetMode="External"/><Relationship Id="rId124" Type="http://schemas.openxmlformats.org/officeDocument/2006/relationships/hyperlink" Target="https://s.click.aliexpress.com/e/_c4dxXCIr" TargetMode="External"/><Relationship Id="rId129" Type="http://schemas.openxmlformats.org/officeDocument/2006/relationships/hyperlink" Target="https://www.digikey.co.nz/en/products/detail/schurter-inc/8020-5078/6588337" TargetMode="External"/><Relationship Id="rId54" Type="http://schemas.openxmlformats.org/officeDocument/2006/relationships/hyperlink" Target="https://s.click.aliexpress.com/e/_c2zAwdsp" TargetMode="External"/><Relationship Id="rId70" Type="http://schemas.openxmlformats.org/officeDocument/2006/relationships/hyperlink" Target="https://s.click.aliexpress.com/e/_c3jfSpKV" TargetMode="External"/><Relationship Id="rId75" Type="http://schemas.openxmlformats.org/officeDocument/2006/relationships/hyperlink" Target="https://s.click.aliexpress.com/e/_c4050O4H" TargetMode="External"/><Relationship Id="rId91" Type="http://schemas.openxmlformats.org/officeDocument/2006/relationships/hyperlink" Target="https://s.click.aliexpress.com/e/_c3wmkaMH" TargetMode="External"/><Relationship Id="rId96" Type="http://schemas.openxmlformats.org/officeDocument/2006/relationships/hyperlink" Target="https://s.click.aliexpress.com/e/_c4tOygL7" TargetMode="External"/><Relationship Id="rId140" Type="http://schemas.openxmlformats.org/officeDocument/2006/relationships/hyperlink" Target="https://s.click.aliexpress.com/e/_c38RQspz" TargetMode="External"/><Relationship Id="rId145" Type="http://schemas.openxmlformats.org/officeDocument/2006/relationships/hyperlink" Target="https://s.click.aliexpress.com/e/_c3gyR3k7" TargetMode="Externa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www.aliexpress.com/item/1005010042779749.html" TargetMode="External"/><Relationship Id="rId23" Type="http://schemas.openxmlformats.org/officeDocument/2006/relationships/hyperlink" Target="https://s.click.aliexpress.com/e/_c3DzwoAD" TargetMode="External"/><Relationship Id="rId28" Type="http://schemas.openxmlformats.org/officeDocument/2006/relationships/hyperlink" Target="https://s.click.aliexpress.com/e/_c2yfvwDX" TargetMode="External"/><Relationship Id="rId49" Type="http://schemas.openxmlformats.org/officeDocument/2006/relationships/hyperlink" Target="https://s.click.aliexpress.com/e/_c4rtJlUD" TargetMode="External"/><Relationship Id="rId114" Type="http://schemas.openxmlformats.org/officeDocument/2006/relationships/hyperlink" Target="https://s.click.aliexpress.com/e/_c3p4OtLd" TargetMode="External"/><Relationship Id="rId119" Type="http://schemas.openxmlformats.org/officeDocument/2006/relationships/hyperlink" Target="https://s.click.aliexpress.com/e/_c4dxXCIr" TargetMode="External"/><Relationship Id="rId44" Type="http://schemas.openxmlformats.org/officeDocument/2006/relationships/hyperlink" Target="https://s.click.aliexpress.com/e/_c3SWMl29" TargetMode="External"/><Relationship Id="rId60" Type="http://schemas.openxmlformats.org/officeDocument/2006/relationships/hyperlink" Target="https://s.click.aliexpress.com/e/_c30wfREH" TargetMode="External"/><Relationship Id="rId65" Type="http://schemas.openxmlformats.org/officeDocument/2006/relationships/hyperlink" Target="https://s.click.aliexpress.com/e/_c3DnGI3T" TargetMode="External"/><Relationship Id="rId81" Type="http://schemas.openxmlformats.org/officeDocument/2006/relationships/hyperlink" Target="https://s.click.aliexpress.com/e/_c3GrYLJR" TargetMode="External"/><Relationship Id="rId86" Type="http://schemas.openxmlformats.org/officeDocument/2006/relationships/hyperlink" Target="https://s.click.aliexpress.com/e/_c3cl4lSV" TargetMode="External"/><Relationship Id="rId130" Type="http://schemas.openxmlformats.org/officeDocument/2006/relationships/hyperlink" Target="https://s.click.aliexpress.com/e/_c2zl7Px5" TargetMode="External"/><Relationship Id="rId135" Type="http://schemas.openxmlformats.org/officeDocument/2006/relationships/hyperlink" Target="https://s.click.aliexpress.com/e/_c381BjXN" TargetMode="External"/><Relationship Id="rId151" Type="http://schemas.openxmlformats.org/officeDocument/2006/relationships/hyperlink" Target="https://s.click.aliexpress.com/e/_c3YBJ7iN" TargetMode="External"/><Relationship Id="rId13" Type="http://schemas.openxmlformats.org/officeDocument/2006/relationships/hyperlink" Target="https://s.click.aliexpress.com/e/_c4LSWWWD" TargetMode="External"/><Relationship Id="rId18" Type="http://schemas.openxmlformats.org/officeDocument/2006/relationships/hyperlink" Target="https://www.aliexpress.com/item/1005003339030118.html" TargetMode="External"/><Relationship Id="rId39" Type="http://schemas.openxmlformats.org/officeDocument/2006/relationships/hyperlink" Target="https://s.click.aliexpress.com/e/_c4tOygL7" TargetMode="External"/><Relationship Id="rId109" Type="http://schemas.openxmlformats.org/officeDocument/2006/relationships/hyperlink" Target="https://s.click.aliexpress.com/e/_c3mx73QL" TargetMode="External"/><Relationship Id="rId34" Type="http://schemas.openxmlformats.org/officeDocument/2006/relationships/hyperlink" Target="https://s.click.aliexpress.com/e/_c2uyw02v" TargetMode="External"/><Relationship Id="rId50" Type="http://schemas.openxmlformats.org/officeDocument/2006/relationships/hyperlink" Target="https://s.click.aliexpress.com/e/_c4rtJlUD" TargetMode="External"/><Relationship Id="rId55" Type="http://schemas.openxmlformats.org/officeDocument/2006/relationships/hyperlink" Target="https://s.click.aliexpress.com/e/_c3WyUNHL" TargetMode="External"/><Relationship Id="rId76" Type="http://schemas.openxmlformats.org/officeDocument/2006/relationships/hyperlink" Target="https://s.click.aliexpress.com/e/_c2zvHf0p" TargetMode="External"/><Relationship Id="rId97" Type="http://schemas.openxmlformats.org/officeDocument/2006/relationships/hyperlink" Target="https://s.click.aliexpress.com/e/_c3dOeMYH" TargetMode="External"/><Relationship Id="rId104" Type="http://schemas.openxmlformats.org/officeDocument/2006/relationships/hyperlink" Target="https://s.click.aliexpress.com/e/_c3uKfoUb" TargetMode="External"/><Relationship Id="rId120" Type="http://schemas.openxmlformats.org/officeDocument/2006/relationships/hyperlink" Target="https://s.click.aliexpress.com/e/_c4dxXCIr" TargetMode="External"/><Relationship Id="rId125" Type="http://schemas.openxmlformats.org/officeDocument/2006/relationships/hyperlink" Target="https://www.aliexpress.com/item/1005007376443518.html" TargetMode="External"/><Relationship Id="rId141" Type="http://schemas.openxmlformats.org/officeDocument/2006/relationships/hyperlink" Target="https://s.click.aliexpress.com/e/_c3ISQAPh" TargetMode="External"/><Relationship Id="rId146" Type="http://schemas.openxmlformats.org/officeDocument/2006/relationships/hyperlink" Target="https://www.digikey.co.nz/en/products/detail/panduit-corp/PLT1M-C76/451169" TargetMode="External"/><Relationship Id="rId7" Type="http://schemas.openxmlformats.org/officeDocument/2006/relationships/hyperlink" Target="https://s.click.aliexpress.com/e/_c39y0zzF" TargetMode="External"/><Relationship Id="rId71" Type="http://schemas.openxmlformats.org/officeDocument/2006/relationships/hyperlink" Target="https://www.aliexpress.com/item/1005008848776055.html" TargetMode="External"/><Relationship Id="rId92" Type="http://schemas.openxmlformats.org/officeDocument/2006/relationships/hyperlink" Target="https://s.click.aliexpress.com/e/_c4kcgpWl" TargetMode="Externa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7g5ZPJ" TargetMode="External"/><Relationship Id="rId24" Type="http://schemas.openxmlformats.org/officeDocument/2006/relationships/hyperlink" Target="https://s.click.aliexpress.com/e/_c4CALJIH" TargetMode="External"/><Relationship Id="rId40" Type="http://schemas.openxmlformats.org/officeDocument/2006/relationships/hyperlink" Target="https://s.click.aliexpress.com/e/_c3cdEeg9" TargetMode="External"/><Relationship Id="rId45" Type="http://schemas.openxmlformats.org/officeDocument/2006/relationships/hyperlink" Target="https://s.click.aliexpress.com/e/_c4rtJlUD" TargetMode="External"/><Relationship Id="rId66" Type="http://schemas.openxmlformats.org/officeDocument/2006/relationships/hyperlink" Target="https://s.click.aliexpress.com/e/_c3gsXE2t" TargetMode="External"/><Relationship Id="rId87" Type="http://schemas.openxmlformats.org/officeDocument/2006/relationships/hyperlink" Target="https://s.click.aliexpress.com/e/_c3cl4lSV" TargetMode="External"/><Relationship Id="rId110" Type="http://schemas.openxmlformats.org/officeDocument/2006/relationships/hyperlink" Target="https://s.click.aliexpress.com/e/_c3fEINlt" TargetMode="External"/><Relationship Id="rId115" Type="http://schemas.openxmlformats.org/officeDocument/2006/relationships/hyperlink" Target="https://s.click.aliexpress.com/e/_c4dxXCIr" TargetMode="External"/><Relationship Id="rId131" Type="http://schemas.openxmlformats.org/officeDocument/2006/relationships/hyperlink" Target="https://www.aliexpress.com/item/1005007567533885.html" TargetMode="External"/><Relationship Id="rId136" Type="http://schemas.openxmlformats.org/officeDocument/2006/relationships/hyperlink" Target="https://s.click.aliexpress.com/e/_c4nPpAD9" TargetMode="External"/><Relationship Id="rId61" Type="http://schemas.openxmlformats.org/officeDocument/2006/relationships/hyperlink" Target="https://s.click.aliexpress.com/e/_c44XY1Gx" TargetMode="External"/><Relationship Id="rId82" Type="http://schemas.openxmlformats.org/officeDocument/2006/relationships/hyperlink" Target="https://s.click.aliexpress.com/e/_c3gsXE2t" TargetMode="External"/><Relationship Id="rId152" Type="http://schemas.openxmlformats.org/officeDocument/2006/relationships/printerSettings" Target="../printerSettings/printerSettings1.bin"/><Relationship Id="rId19" Type="http://schemas.openxmlformats.org/officeDocument/2006/relationships/hyperlink" Target="https://s.click.aliexpress.com/e/_c4NTrrnn" TargetMode="External"/><Relationship Id="rId14" Type="http://schemas.openxmlformats.org/officeDocument/2006/relationships/hyperlink" Target="https://s.click.aliexpress.com/e/_c3pEjVRB" TargetMode="External"/><Relationship Id="rId30" Type="http://schemas.openxmlformats.org/officeDocument/2006/relationships/hyperlink" Target="https://s.click.aliexpress.com/e/_c3cRHpi9" TargetMode="External"/><Relationship Id="rId35" Type="http://schemas.openxmlformats.org/officeDocument/2006/relationships/hyperlink" Target="https://s.click.aliexpress.com/e/_c3seEKjb" TargetMode="External"/><Relationship Id="rId56" Type="http://schemas.openxmlformats.org/officeDocument/2006/relationships/hyperlink" Target="https://s.click.aliexpress.com/e/_c3WyUNHL" TargetMode="External"/><Relationship Id="rId77" Type="http://schemas.openxmlformats.org/officeDocument/2006/relationships/hyperlink" Target="https://s.click.aliexpress.com/e/_c4lkbEC5" TargetMode="External"/><Relationship Id="rId100" Type="http://schemas.openxmlformats.org/officeDocument/2006/relationships/hyperlink" Target="https://s.click.aliexpress.com/e/_c2v1mREz" TargetMode="External"/><Relationship Id="rId105" Type="http://schemas.openxmlformats.org/officeDocument/2006/relationships/hyperlink" Target="https://s.click.aliexpress.com/e/_c3KpXEQR" TargetMode="External"/><Relationship Id="rId126" Type="http://schemas.openxmlformats.org/officeDocument/2006/relationships/hyperlink" Target="https://s.click.aliexpress.com/e/_c3Ou6gqJ" TargetMode="External"/><Relationship Id="rId147" Type="http://schemas.openxmlformats.org/officeDocument/2006/relationships/hyperlink" Target="https://s.click.aliexpress.com/e/_c3YBJ7iN" TargetMode="External"/><Relationship Id="rId8" Type="http://schemas.openxmlformats.org/officeDocument/2006/relationships/hyperlink" Target="https://s.click.aliexpress.com/e/_c4sg0aCl" TargetMode="External"/><Relationship Id="rId51" Type="http://schemas.openxmlformats.org/officeDocument/2006/relationships/hyperlink" Target="https://s.click.aliexpress.com/e/_c4E1qB2Z" TargetMode="External"/><Relationship Id="rId72" Type="http://schemas.openxmlformats.org/officeDocument/2006/relationships/hyperlink" Target="https://www.aliexpress.com/item/1005008848776055.html" TargetMode="External"/><Relationship Id="rId93" Type="http://schemas.openxmlformats.org/officeDocument/2006/relationships/hyperlink" Target="https://s.click.aliexpress.com/e/_c3wmkaMH" TargetMode="External"/><Relationship Id="rId98" Type="http://schemas.openxmlformats.org/officeDocument/2006/relationships/hyperlink" Target="https://www.pcbway.com/" TargetMode="External"/><Relationship Id="rId121" Type="http://schemas.openxmlformats.org/officeDocument/2006/relationships/hyperlink" Target="https://s.click.aliexpress.com/e/_c4dxXCIr" TargetMode="External"/><Relationship Id="rId142" Type="http://schemas.openxmlformats.org/officeDocument/2006/relationships/hyperlink" Target="https://s.click.aliexpress.com/e/_c3ISQAPh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4050O4H" TargetMode="External"/><Relationship Id="rId46" Type="http://schemas.openxmlformats.org/officeDocument/2006/relationships/hyperlink" Target="https://s.click.aliexpress.com/e/_c4rtJlUD" TargetMode="External"/><Relationship Id="rId67" Type="http://schemas.openxmlformats.org/officeDocument/2006/relationships/hyperlink" Target="https://s.click.aliexpress.com/e/_c3jfSpKV" TargetMode="External"/><Relationship Id="rId116" Type="http://schemas.openxmlformats.org/officeDocument/2006/relationships/hyperlink" Target="https://s.click.aliexpress.com/e/_c4dxXCIr" TargetMode="External"/><Relationship Id="rId137" Type="http://schemas.openxmlformats.org/officeDocument/2006/relationships/hyperlink" Target="https://s.click.aliexpress.com/e/_c38RQspz" TargetMode="Externa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3mGH8Fj" TargetMode="External"/><Relationship Id="rId62" Type="http://schemas.openxmlformats.org/officeDocument/2006/relationships/hyperlink" Target="https://s.click.aliexpress.com/e/_c37g5ZPJ" TargetMode="External"/><Relationship Id="rId83" Type="http://schemas.openxmlformats.org/officeDocument/2006/relationships/hyperlink" Target="https://s.click.aliexpress.com/e/_c3gsXE2t" TargetMode="External"/><Relationship Id="rId88" Type="http://schemas.openxmlformats.org/officeDocument/2006/relationships/hyperlink" Target="https://s.click.aliexpress.com/e/_c3cl4lSV" TargetMode="External"/><Relationship Id="rId111" Type="http://schemas.openxmlformats.org/officeDocument/2006/relationships/hyperlink" Target="https://s.click.aliexpress.com/e/_c3ISQAPh" TargetMode="External"/><Relationship Id="rId132" Type="http://schemas.openxmlformats.org/officeDocument/2006/relationships/hyperlink" Target="https://s.click.aliexpress.com/e/_c4SPo8x7" TargetMode="External"/><Relationship Id="rId153" Type="http://schemas.openxmlformats.org/officeDocument/2006/relationships/table" Target="../tables/table1.xml"/><Relationship Id="rId15" Type="http://schemas.openxmlformats.org/officeDocument/2006/relationships/hyperlink" Target="https://s.click.aliexpress.com/e/_c4PHjpil" TargetMode="External"/><Relationship Id="rId36" Type="http://schemas.openxmlformats.org/officeDocument/2006/relationships/hyperlink" Target="https://s.click.aliexpress.com/e/_c3wmkaMH" TargetMode="External"/><Relationship Id="rId57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106" Type="http://schemas.openxmlformats.org/officeDocument/2006/relationships/hyperlink" Target="https://www.aliexpress.com/item/1005004714550250.html" TargetMode="External"/><Relationship Id="rId127" Type="http://schemas.openxmlformats.org/officeDocument/2006/relationships/hyperlink" Target="https://www.digikey.co.nz/en/products/detail/te-connectivity-corcom-filters/1-1609112-2/2292077" TargetMode="External"/><Relationship Id="rId10" Type="http://schemas.openxmlformats.org/officeDocument/2006/relationships/hyperlink" Target="https://s.click.aliexpress.com/e/_c42ABeod" TargetMode="External"/><Relationship Id="rId31" Type="http://schemas.openxmlformats.org/officeDocument/2006/relationships/hyperlink" Target="https://s.click.aliexpress.com/e/_c3mGH8Fj" TargetMode="External"/><Relationship Id="rId52" Type="http://schemas.openxmlformats.org/officeDocument/2006/relationships/hyperlink" Target="https://s.click.aliexpress.com/e/_c2wZSX8N" TargetMode="External"/><Relationship Id="rId73" Type="http://schemas.openxmlformats.org/officeDocument/2006/relationships/hyperlink" Target="https://www.aliexpress.com/item/1005008848776055.html" TargetMode="External"/><Relationship Id="rId78" Type="http://schemas.openxmlformats.org/officeDocument/2006/relationships/hyperlink" Target="https://s.click.aliexpress.com/e/_c3bbKMFL" TargetMode="External"/><Relationship Id="rId94" Type="http://schemas.openxmlformats.org/officeDocument/2006/relationships/hyperlink" Target="https://s.click.aliexpress.com/e/_c3h7Zh5j" TargetMode="External"/><Relationship Id="rId99" Type="http://schemas.openxmlformats.org/officeDocument/2006/relationships/hyperlink" Target="https://s.click.aliexpress.com/e/_c4UAsjvZ" TargetMode="External"/><Relationship Id="rId101" Type="http://schemas.openxmlformats.org/officeDocument/2006/relationships/hyperlink" Target="https://s.click.aliexpress.com/e/_c2v1mREz" TargetMode="External"/><Relationship Id="rId122" Type="http://schemas.openxmlformats.org/officeDocument/2006/relationships/hyperlink" Target="https://s.click.aliexpress.com/e/_c4dxXCIr" TargetMode="External"/><Relationship Id="rId143" Type="http://schemas.openxmlformats.org/officeDocument/2006/relationships/hyperlink" Target="https://s.click.aliexpress.com/e/_c3DVJucF" TargetMode="External"/><Relationship Id="rId148" Type="http://schemas.openxmlformats.org/officeDocument/2006/relationships/hyperlink" Target="https://s.click.aliexpress.com/e/_c4nPpAD9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www.aliexpress.com/item/4001085251691.html" TargetMode="External"/><Relationship Id="rId26" Type="http://schemas.openxmlformats.org/officeDocument/2006/relationships/hyperlink" Target="https://s.click.aliexpress.com/e/_c42ABeod" TargetMode="External"/><Relationship Id="rId47" Type="http://schemas.openxmlformats.org/officeDocument/2006/relationships/hyperlink" Target="https://s.click.aliexpress.com/e/_c4rtJlUD" TargetMode="External"/><Relationship Id="rId68" Type="http://schemas.openxmlformats.org/officeDocument/2006/relationships/hyperlink" Target="https://s.click.aliexpress.com/e/_c3jfSpKV" TargetMode="External"/><Relationship Id="rId89" Type="http://schemas.openxmlformats.org/officeDocument/2006/relationships/hyperlink" Target="https://s.click.aliexpress.com/e/_c3cl4lSV" TargetMode="External"/><Relationship Id="rId112" Type="http://schemas.openxmlformats.org/officeDocument/2006/relationships/hyperlink" Target="https://s.click.aliexpress.com/e/_c3p4OtLd" TargetMode="External"/><Relationship Id="rId133" Type="http://schemas.openxmlformats.org/officeDocument/2006/relationships/hyperlink" Target="https://s.click.aliexpress.com/e/_c43Ypp7z" TargetMode="External"/><Relationship Id="rId154" Type="http://schemas.microsoft.com/office/2019/04/relationships/namedSheetView" Target="../namedSheetViews/namedSheetView1.xml"/><Relationship Id="rId16" Type="http://schemas.openxmlformats.org/officeDocument/2006/relationships/hyperlink" Target="https://s.click.aliexpress.com/e/_c2QW6ybb" TargetMode="External"/><Relationship Id="rId37" Type="http://schemas.openxmlformats.org/officeDocument/2006/relationships/hyperlink" Target="https://s.click.aliexpress.com/e/_c3DnGI3T" TargetMode="External"/><Relationship Id="rId58" Type="http://schemas.openxmlformats.org/officeDocument/2006/relationships/hyperlink" Target="https://www.digikey.co.nz/en/products/detail/sparkfun-electronics/13879/6202732" TargetMode="External"/><Relationship Id="rId79" Type="http://schemas.openxmlformats.org/officeDocument/2006/relationships/hyperlink" Target="https://s.click.aliexpress.com/e/_c3LzJrff" TargetMode="External"/><Relationship Id="rId102" Type="http://schemas.openxmlformats.org/officeDocument/2006/relationships/hyperlink" Target="https://s.click.aliexpress.com/e/_c42QxBlt" TargetMode="External"/><Relationship Id="rId123" Type="http://schemas.openxmlformats.org/officeDocument/2006/relationships/hyperlink" Target="https://s.click.aliexpress.com/e/_c4dxXCIr" TargetMode="External"/><Relationship Id="rId144" Type="http://schemas.openxmlformats.org/officeDocument/2006/relationships/hyperlink" Target="https://s.click.aliexpress.com/e/_c4TkoBx1" TargetMode="External"/><Relationship Id="rId90" Type="http://schemas.openxmlformats.org/officeDocument/2006/relationships/hyperlink" Target="https://s.click.aliexpress.com/e/_c4kcgpWl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2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5" Type="http://schemas.openxmlformats.org/officeDocument/2006/relationships/hyperlink" Target="https://www.youtube.com/@PRO3DESIGN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DRAWING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AB%20PARTS" TargetMode="External"/><Relationship Id="rId5" Type="http://schemas.openxmlformats.org/officeDocument/2006/relationships/hyperlink" Target="https://www.youtube.com/@PRO3DESIGN" TargetMode="External"/><Relationship Id="rId10" Type="http://schemas.openxmlformats.org/officeDocument/2006/relationships/table" Target="../tables/table3.xml"/><Relationship Id="rId4" Type="http://schemas.openxmlformats.org/officeDocument/2006/relationships/hyperlink" Target="https://github.com/RoyBerntsenDesign/Project-Valkyrie/tree/main/V2%20BETA/PART%20FILES/AB%20PARTS" TargetMode="External"/><Relationship Id="rId9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5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6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9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7.xml"/><Relationship Id="rId5" Type="http://schemas.openxmlformats.org/officeDocument/2006/relationships/printerSettings" Target="../printerSettings/printerSettings8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0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drawing" Target="../drawings/drawing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printerSettings" Target="../printerSettings/printerSettings9.bin"/><Relationship Id="rId5" Type="http://schemas.openxmlformats.org/officeDocument/2006/relationships/hyperlink" Target="https://www.aliexpress.com/item/1005004478303545.html" TargetMode="External"/><Relationship Id="rId4" Type="http://schemas.openxmlformats.org/officeDocument/2006/relationships/hyperlink" Target="https://www.youtube.com/@PRO3DESIGN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Relationship Id="rId4" Type="http://schemas.openxmlformats.org/officeDocument/2006/relationships/table" Target="../tables/table16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FFC000"/>
    <pageSetUpPr fitToPage="1"/>
  </sheetPr>
  <dimension ref="A1:M152"/>
  <sheetViews>
    <sheetView zoomScale="85" zoomScaleNormal="85" workbookViewId="0"/>
  </sheetViews>
  <sheetFormatPr defaultColWidth="8.7109375" defaultRowHeight="15" x14ac:dyDescent="0.25"/>
  <cols>
    <col min="1" max="1" width="11.5703125" style="12" customWidth="1"/>
    <col min="2" max="2" width="36.7109375" style="12" bestFit="1" customWidth="1"/>
    <col min="3" max="3" width="10" style="82" bestFit="1" customWidth="1"/>
    <col min="4" max="4" width="9.42578125" style="12" customWidth="1"/>
    <col min="5" max="5" width="14.42578125" style="12" customWidth="1"/>
    <col min="6" max="6" width="16.42578125" style="16" customWidth="1"/>
    <col min="7" max="7" width="10" style="12" customWidth="1"/>
    <col min="8" max="8" width="35" customWidth="1"/>
    <col min="9" max="9" width="16.140625" style="12" customWidth="1"/>
    <col min="10" max="10" width="6.140625" style="12" customWidth="1"/>
    <col min="11" max="11" width="7" style="32" customWidth="1"/>
    <col min="12" max="12" width="6.7109375" style="12" customWidth="1"/>
    <col min="13" max="13" width="36.5703125" style="12" customWidth="1"/>
    <col min="14" max="14" width="11.140625" style="12" bestFit="1" customWidth="1"/>
    <col min="15" max="16384" width="8.7109375" style="12"/>
  </cols>
  <sheetData>
    <row r="1" spans="1:13" s="2" customFormat="1" ht="44.25" customHeight="1" thickBot="1" x14ac:dyDescent="0.3">
      <c r="A1" s="99" t="s">
        <v>0</v>
      </c>
      <c r="B1" s="140" t="s">
        <v>1</v>
      </c>
      <c r="C1" s="141" t="s">
        <v>2</v>
      </c>
      <c r="D1" s="140" t="s">
        <v>3</v>
      </c>
      <c r="E1" s="140" t="s">
        <v>4</v>
      </c>
      <c r="F1" s="140" t="s">
        <v>5</v>
      </c>
      <c r="G1" s="140" t="s">
        <v>6</v>
      </c>
      <c r="H1" s="211" t="s">
        <v>7</v>
      </c>
      <c r="I1" s="195" t="s">
        <v>8</v>
      </c>
      <c r="J1" s="142" t="s">
        <v>9</v>
      </c>
      <c r="K1" s="71" t="s">
        <v>10</v>
      </c>
      <c r="L1" s="50" t="s">
        <v>11</v>
      </c>
      <c r="M1" s="170" t="s">
        <v>12</v>
      </c>
    </row>
    <row r="2" spans="1:13" x14ac:dyDescent="0.25">
      <c r="A2" s="17" t="s">
        <v>14</v>
      </c>
      <c r="B2" s="212" t="s">
        <v>15</v>
      </c>
      <c r="C2" s="213"/>
      <c r="D2" s="214">
        <v>31</v>
      </c>
      <c r="E2" s="193">
        <v>4</v>
      </c>
      <c r="F2" s="194">
        <v>4.95</v>
      </c>
      <c r="G2" s="194">
        <f t="shared" ref="G2:G33" si="0">E2*F2</f>
        <v>19.8</v>
      </c>
      <c r="H2" s="215" t="s">
        <v>16</v>
      </c>
      <c r="I2" s="196" t="s">
        <v>17</v>
      </c>
      <c r="J2" s="29">
        <v>10</v>
      </c>
      <c r="K2" s="12"/>
      <c r="L2" s="72"/>
      <c r="M2" s="168"/>
    </row>
    <row r="3" spans="1:13" x14ac:dyDescent="0.25">
      <c r="A3" s="17" t="s">
        <v>14</v>
      </c>
      <c r="B3" s="216" t="s">
        <v>18</v>
      </c>
      <c r="C3" s="217"/>
      <c r="D3" s="214">
        <v>24</v>
      </c>
      <c r="E3" s="193">
        <v>3</v>
      </c>
      <c r="F3" s="194">
        <v>7.84</v>
      </c>
      <c r="G3" s="194">
        <f t="shared" si="0"/>
        <v>23.52</v>
      </c>
      <c r="H3" s="215" t="s">
        <v>19</v>
      </c>
      <c r="I3" s="196" t="s">
        <v>17</v>
      </c>
      <c r="J3" s="29">
        <v>10</v>
      </c>
      <c r="K3" s="12"/>
      <c r="L3" s="72"/>
      <c r="M3" s="168"/>
    </row>
    <row r="4" spans="1:13" x14ac:dyDescent="0.25">
      <c r="A4" s="17" t="s">
        <v>14</v>
      </c>
      <c r="B4" s="212" t="s">
        <v>20</v>
      </c>
      <c r="C4" s="218"/>
      <c r="D4" s="186">
        <v>2</v>
      </c>
      <c r="E4" s="193">
        <v>1</v>
      </c>
      <c r="F4" s="194">
        <v>4.7300000000000004</v>
      </c>
      <c r="G4" s="194">
        <f t="shared" si="0"/>
        <v>4.7300000000000004</v>
      </c>
      <c r="H4" s="215" t="s">
        <v>21</v>
      </c>
      <c r="I4" s="196" t="s">
        <v>17</v>
      </c>
      <c r="J4" s="29">
        <v>10</v>
      </c>
      <c r="K4" s="73"/>
      <c r="L4" s="74"/>
      <c r="M4" s="168"/>
    </row>
    <row r="5" spans="1:13" x14ac:dyDescent="0.25">
      <c r="A5" s="17" t="s">
        <v>14</v>
      </c>
      <c r="B5" s="219" t="s">
        <v>22</v>
      </c>
      <c r="C5" s="191"/>
      <c r="D5" s="220">
        <v>3</v>
      </c>
      <c r="E5" s="193">
        <v>3</v>
      </c>
      <c r="F5" s="194">
        <v>42</v>
      </c>
      <c r="G5" s="194">
        <f t="shared" si="0"/>
        <v>126</v>
      </c>
      <c r="H5" s="215" t="s">
        <v>23</v>
      </c>
      <c r="I5" s="197" t="s">
        <v>24</v>
      </c>
      <c r="J5" s="29">
        <v>1</v>
      </c>
      <c r="K5" s="12"/>
      <c r="L5" s="72"/>
      <c r="M5" s="168"/>
    </row>
    <row r="6" spans="1:13" x14ac:dyDescent="0.25">
      <c r="A6" s="17" t="s">
        <v>14</v>
      </c>
      <c r="B6" s="190" t="s">
        <v>25</v>
      </c>
      <c r="C6" s="221"/>
      <c r="D6" s="222">
        <v>2</v>
      </c>
      <c r="E6" s="193">
        <v>2</v>
      </c>
      <c r="F6" s="194">
        <v>38</v>
      </c>
      <c r="G6" s="194">
        <f t="shared" si="0"/>
        <v>76</v>
      </c>
      <c r="H6" s="215" t="s">
        <v>26</v>
      </c>
      <c r="I6" s="197" t="s">
        <v>24</v>
      </c>
      <c r="J6" s="29">
        <v>1</v>
      </c>
      <c r="K6" s="12"/>
      <c r="L6" s="72"/>
      <c r="M6" s="168"/>
    </row>
    <row r="7" spans="1:13" x14ac:dyDescent="0.25">
      <c r="A7" s="17" t="s">
        <v>14</v>
      </c>
      <c r="B7" s="190" t="s">
        <v>27</v>
      </c>
      <c r="C7" s="221"/>
      <c r="D7" s="222">
        <v>1</v>
      </c>
      <c r="E7" s="193">
        <v>1</v>
      </c>
      <c r="F7" s="194">
        <v>36</v>
      </c>
      <c r="G7" s="194">
        <f t="shared" si="0"/>
        <v>36</v>
      </c>
      <c r="H7" s="215" t="s">
        <v>28</v>
      </c>
      <c r="I7" s="197" t="s">
        <v>24</v>
      </c>
      <c r="J7" s="29">
        <v>1</v>
      </c>
      <c r="K7" s="12"/>
      <c r="L7" s="72"/>
      <c r="M7" s="168"/>
    </row>
    <row r="8" spans="1:13" x14ac:dyDescent="0.25">
      <c r="A8" s="17" t="s">
        <v>14</v>
      </c>
      <c r="B8" s="223" t="s">
        <v>29</v>
      </c>
      <c r="C8" s="191"/>
      <c r="D8" s="224">
        <v>1</v>
      </c>
      <c r="E8" s="193">
        <v>1</v>
      </c>
      <c r="F8" s="194">
        <v>4.0999999999999996</v>
      </c>
      <c r="G8" s="194">
        <f t="shared" si="0"/>
        <v>4.0999999999999996</v>
      </c>
      <c r="H8" s="215" t="s">
        <v>30</v>
      </c>
      <c r="I8" s="196" t="s">
        <v>31</v>
      </c>
      <c r="J8" s="29">
        <v>10</v>
      </c>
      <c r="K8" s="12"/>
      <c r="L8" s="72"/>
      <c r="M8" s="168"/>
    </row>
    <row r="9" spans="1:13" x14ac:dyDescent="0.25">
      <c r="A9" s="17" t="s">
        <v>14</v>
      </c>
      <c r="B9" s="219" t="s">
        <v>32</v>
      </c>
      <c r="C9" s="191"/>
      <c r="D9" s="224">
        <v>3</v>
      </c>
      <c r="E9" s="193">
        <v>1</v>
      </c>
      <c r="F9" s="194">
        <v>5.4</v>
      </c>
      <c r="G9" s="194">
        <f t="shared" si="0"/>
        <v>5.4</v>
      </c>
      <c r="H9" s="215" t="s">
        <v>33</v>
      </c>
      <c r="I9" s="198" t="s">
        <v>34</v>
      </c>
      <c r="J9" s="29">
        <v>20</v>
      </c>
      <c r="K9" s="12"/>
      <c r="L9" s="72"/>
      <c r="M9" s="168"/>
    </row>
    <row r="10" spans="1:13" x14ac:dyDescent="0.25">
      <c r="A10" s="17" t="s">
        <v>14</v>
      </c>
      <c r="B10" s="212" t="s">
        <v>35</v>
      </c>
      <c r="C10" s="218"/>
      <c r="D10" s="186">
        <v>2</v>
      </c>
      <c r="E10" s="193">
        <v>1</v>
      </c>
      <c r="F10" s="194">
        <v>18.27</v>
      </c>
      <c r="G10" s="194">
        <f t="shared" si="0"/>
        <v>18.27</v>
      </c>
      <c r="H10" s="215" t="s">
        <v>36</v>
      </c>
      <c r="I10" s="198" t="s">
        <v>37</v>
      </c>
      <c r="J10" s="29">
        <v>2</v>
      </c>
      <c r="K10" s="73"/>
      <c r="L10" s="74"/>
      <c r="M10" s="168"/>
    </row>
    <row r="11" spans="1:13" x14ac:dyDescent="0.25">
      <c r="A11" s="33" t="s">
        <v>38</v>
      </c>
      <c r="B11" s="225" t="s">
        <v>39</v>
      </c>
      <c r="C11" s="226"/>
      <c r="D11" s="192">
        <v>1</v>
      </c>
      <c r="E11" s="193">
        <v>1</v>
      </c>
      <c r="F11" s="194">
        <v>5</v>
      </c>
      <c r="G11" s="194">
        <f t="shared" si="0"/>
        <v>5</v>
      </c>
      <c r="H11" s="215" t="s">
        <v>40</v>
      </c>
      <c r="I11" s="199" t="s">
        <v>41</v>
      </c>
      <c r="J11" s="29">
        <v>5</v>
      </c>
      <c r="K11" s="12"/>
      <c r="L11" s="72"/>
      <c r="M11" s="168"/>
    </row>
    <row r="12" spans="1:13" x14ac:dyDescent="0.25">
      <c r="A12" s="33" t="s">
        <v>38</v>
      </c>
      <c r="B12" s="225" t="s">
        <v>42</v>
      </c>
      <c r="C12" s="226"/>
      <c r="D12" s="192">
        <v>2</v>
      </c>
      <c r="E12" s="193">
        <v>2</v>
      </c>
      <c r="F12" s="194">
        <v>5</v>
      </c>
      <c r="G12" s="194">
        <f t="shared" si="0"/>
        <v>10</v>
      </c>
      <c r="H12" s="215" t="s">
        <v>40</v>
      </c>
      <c r="I12" s="199" t="s">
        <v>41</v>
      </c>
      <c r="J12" s="29">
        <v>1</v>
      </c>
      <c r="K12" s="12"/>
      <c r="L12" s="72"/>
      <c r="M12" s="168"/>
    </row>
    <row r="13" spans="1:13" x14ac:dyDescent="0.25">
      <c r="A13" s="33" t="s">
        <v>38</v>
      </c>
      <c r="B13" s="225" t="s">
        <v>43</v>
      </c>
      <c r="C13" s="226"/>
      <c r="D13" s="192">
        <v>1</v>
      </c>
      <c r="E13" s="193">
        <v>1</v>
      </c>
      <c r="F13" s="194">
        <v>5</v>
      </c>
      <c r="G13" s="194">
        <f t="shared" si="0"/>
        <v>5</v>
      </c>
      <c r="H13" s="215" t="s">
        <v>44</v>
      </c>
      <c r="I13" s="199" t="s">
        <v>41</v>
      </c>
      <c r="J13" s="29">
        <v>5</v>
      </c>
      <c r="K13" s="12"/>
      <c r="L13" s="72"/>
      <c r="M13" s="168"/>
    </row>
    <row r="14" spans="1:13" x14ac:dyDescent="0.25">
      <c r="A14" s="33" t="s">
        <v>38</v>
      </c>
      <c r="B14" s="188" t="s">
        <v>45</v>
      </c>
      <c r="C14" s="227"/>
      <c r="D14" s="228">
        <v>1</v>
      </c>
      <c r="E14" s="193">
        <v>1</v>
      </c>
      <c r="F14" s="194">
        <v>6.35</v>
      </c>
      <c r="G14" s="194">
        <f t="shared" si="0"/>
        <v>6.35</v>
      </c>
      <c r="H14" s="215" t="s">
        <v>46</v>
      </c>
      <c r="I14" s="199" t="s">
        <v>47</v>
      </c>
      <c r="J14" s="29">
        <v>1</v>
      </c>
      <c r="K14" s="12"/>
      <c r="L14" s="72"/>
      <c r="M14" s="168"/>
    </row>
    <row r="15" spans="1:13" x14ac:dyDescent="0.25">
      <c r="A15" s="33" t="s">
        <v>38</v>
      </c>
      <c r="B15" s="228" t="s">
        <v>48</v>
      </c>
      <c r="C15" s="229"/>
      <c r="D15" s="230">
        <v>2</v>
      </c>
      <c r="E15" s="193">
        <v>1</v>
      </c>
      <c r="F15" s="228">
        <v>2.3199999999999998</v>
      </c>
      <c r="G15" s="194">
        <f t="shared" si="0"/>
        <v>2.3199999999999998</v>
      </c>
      <c r="H15" s="215" t="s">
        <v>49</v>
      </c>
      <c r="I15" s="199" t="s">
        <v>50</v>
      </c>
      <c r="J15" s="29">
        <v>1</v>
      </c>
      <c r="K15" s="12"/>
      <c r="L15" s="72"/>
      <c r="M15" s="168"/>
    </row>
    <row r="16" spans="1:13" x14ac:dyDescent="0.25">
      <c r="A16" s="33" t="s">
        <v>38</v>
      </c>
      <c r="B16" s="228" t="s">
        <v>51</v>
      </c>
      <c r="C16" s="229"/>
      <c r="D16" s="230">
        <v>1</v>
      </c>
      <c r="E16" s="193">
        <v>1</v>
      </c>
      <c r="F16" s="231">
        <v>4.82</v>
      </c>
      <c r="G16" s="194">
        <f t="shared" si="0"/>
        <v>4.82</v>
      </c>
      <c r="H16" s="215" t="s">
        <v>52</v>
      </c>
      <c r="I16" s="200" t="s">
        <v>50</v>
      </c>
      <c r="J16" s="29">
        <v>1</v>
      </c>
      <c r="K16" s="12"/>
      <c r="L16" s="72"/>
      <c r="M16" s="168"/>
    </row>
    <row r="17" spans="1:13" x14ac:dyDescent="0.25">
      <c r="A17" s="33" t="s">
        <v>38</v>
      </c>
      <c r="B17" s="232" t="s">
        <v>53</v>
      </c>
      <c r="C17" s="229"/>
      <c r="D17" s="230">
        <v>1</v>
      </c>
      <c r="E17" s="193">
        <v>1</v>
      </c>
      <c r="F17" s="231">
        <v>12.01</v>
      </c>
      <c r="G17" s="194">
        <f t="shared" si="0"/>
        <v>12.01</v>
      </c>
      <c r="H17" s="215" t="s">
        <v>54</v>
      </c>
      <c r="I17" s="200" t="s">
        <v>50</v>
      </c>
      <c r="J17" s="29">
        <v>1</v>
      </c>
      <c r="K17" s="12"/>
      <c r="L17" s="72"/>
      <c r="M17" s="168"/>
    </row>
    <row r="18" spans="1:13" x14ac:dyDescent="0.25">
      <c r="A18" s="33" t="s">
        <v>38</v>
      </c>
      <c r="B18" s="233" t="s">
        <v>55</v>
      </c>
      <c r="C18" s="234"/>
      <c r="D18" s="233">
        <v>1</v>
      </c>
      <c r="E18" s="193">
        <v>1</v>
      </c>
      <c r="F18" s="194">
        <v>3.95</v>
      </c>
      <c r="G18" s="194">
        <f t="shared" si="0"/>
        <v>3.95</v>
      </c>
      <c r="H18" s="215" t="s">
        <v>56</v>
      </c>
      <c r="I18" s="198" t="s">
        <v>50</v>
      </c>
      <c r="J18" s="29">
        <v>1</v>
      </c>
      <c r="K18" s="12"/>
      <c r="L18" s="72"/>
      <c r="M18" s="168"/>
    </row>
    <row r="19" spans="1:13" x14ac:dyDescent="0.25">
      <c r="A19" s="33" t="s">
        <v>38</v>
      </c>
      <c r="B19" s="235" t="s">
        <v>57</v>
      </c>
      <c r="C19" s="191"/>
      <c r="D19" s="233">
        <v>1</v>
      </c>
      <c r="E19" s="193">
        <v>1</v>
      </c>
      <c r="F19" s="194">
        <v>11.5</v>
      </c>
      <c r="G19" s="194">
        <f t="shared" si="0"/>
        <v>11.5</v>
      </c>
      <c r="H19" s="215" t="s">
        <v>58</v>
      </c>
      <c r="I19" s="198" t="s">
        <v>50</v>
      </c>
      <c r="J19" s="29">
        <v>1</v>
      </c>
      <c r="K19" s="12"/>
      <c r="L19" s="72"/>
      <c r="M19" s="168"/>
    </row>
    <row r="20" spans="1:13" x14ac:dyDescent="0.25">
      <c r="A20" s="33" t="s">
        <v>38</v>
      </c>
      <c r="B20" s="233" t="s">
        <v>59</v>
      </c>
      <c r="C20" s="236"/>
      <c r="D20" s="192">
        <v>1</v>
      </c>
      <c r="E20" s="193">
        <v>1</v>
      </c>
      <c r="F20" s="194">
        <v>16.82</v>
      </c>
      <c r="G20" s="194">
        <f t="shared" si="0"/>
        <v>16.82</v>
      </c>
      <c r="H20" s="215" t="s">
        <v>60</v>
      </c>
      <c r="I20" s="198" t="s">
        <v>61</v>
      </c>
      <c r="J20" s="29">
        <v>1</v>
      </c>
      <c r="K20" s="12"/>
      <c r="L20" s="72"/>
      <c r="M20" s="168"/>
    </row>
    <row r="21" spans="1:13" x14ac:dyDescent="0.25">
      <c r="A21" s="33" t="s">
        <v>38</v>
      </c>
      <c r="B21" s="219" t="s">
        <v>62</v>
      </c>
      <c r="C21" s="237" t="s">
        <v>63</v>
      </c>
      <c r="D21" s="214">
        <v>1</v>
      </c>
      <c r="E21" s="193">
        <v>1</v>
      </c>
      <c r="F21" s="194">
        <v>78.39</v>
      </c>
      <c r="G21" s="194">
        <f t="shared" si="0"/>
        <v>78.39</v>
      </c>
      <c r="H21" s="215" t="s">
        <v>64</v>
      </c>
      <c r="I21" s="198" t="s">
        <v>65</v>
      </c>
      <c r="J21" s="29">
        <v>1</v>
      </c>
      <c r="K21" s="12"/>
      <c r="L21" s="72"/>
      <c r="M21" s="168"/>
    </row>
    <row r="22" spans="1:13" x14ac:dyDescent="0.25">
      <c r="A22" s="33" t="s">
        <v>38</v>
      </c>
      <c r="B22" s="186" t="s">
        <v>66</v>
      </c>
      <c r="C22" s="218"/>
      <c r="D22" s="186">
        <v>1</v>
      </c>
      <c r="E22" s="193">
        <v>1</v>
      </c>
      <c r="F22" s="194">
        <v>3.35</v>
      </c>
      <c r="G22" s="194">
        <f t="shared" si="0"/>
        <v>3.35</v>
      </c>
      <c r="H22" s="215" t="s">
        <v>67</v>
      </c>
      <c r="I22" s="201" t="s">
        <v>68</v>
      </c>
      <c r="J22" s="29">
        <v>2</v>
      </c>
      <c r="K22" s="12"/>
      <c r="L22" s="72"/>
      <c r="M22" s="168"/>
    </row>
    <row r="23" spans="1:13" x14ac:dyDescent="0.25">
      <c r="A23" s="33" t="s">
        <v>38</v>
      </c>
      <c r="B23" s="186" t="s">
        <v>69</v>
      </c>
      <c r="C23" s="218"/>
      <c r="D23" s="186">
        <v>1</v>
      </c>
      <c r="E23" s="193">
        <v>1</v>
      </c>
      <c r="F23" s="194">
        <v>3.25</v>
      </c>
      <c r="G23" s="194">
        <f t="shared" si="0"/>
        <v>3.25</v>
      </c>
      <c r="H23" s="215" t="s">
        <v>70</v>
      </c>
      <c r="I23" s="201" t="s">
        <v>68</v>
      </c>
      <c r="J23" s="29">
        <v>2</v>
      </c>
      <c r="K23" s="12"/>
      <c r="L23" s="72"/>
      <c r="M23" s="168"/>
    </row>
    <row r="24" spans="1:13" x14ac:dyDescent="0.25">
      <c r="A24" s="33" t="s">
        <v>38</v>
      </c>
      <c r="B24" s="212" t="s">
        <v>71</v>
      </c>
      <c r="C24" s="229"/>
      <c r="D24" s="228">
        <v>1</v>
      </c>
      <c r="E24" s="193">
        <v>1</v>
      </c>
      <c r="F24" s="231">
        <v>16</v>
      </c>
      <c r="G24" s="194">
        <f t="shared" si="0"/>
        <v>16</v>
      </c>
      <c r="H24" s="215" t="s">
        <v>869</v>
      </c>
      <c r="I24" s="202" t="s">
        <v>72</v>
      </c>
      <c r="J24" s="29">
        <v>1</v>
      </c>
      <c r="K24" s="12"/>
      <c r="L24" s="72"/>
      <c r="M24" s="168"/>
    </row>
    <row r="25" spans="1:13" x14ac:dyDescent="0.25">
      <c r="A25" s="33" t="s">
        <v>38</v>
      </c>
      <c r="B25" s="212" t="s">
        <v>73</v>
      </c>
      <c r="C25" s="191"/>
      <c r="D25" s="192">
        <v>1</v>
      </c>
      <c r="E25" s="193">
        <v>1</v>
      </c>
      <c r="F25" s="194">
        <v>39.520000000000003</v>
      </c>
      <c r="G25" s="194">
        <f t="shared" si="0"/>
        <v>39.520000000000003</v>
      </c>
      <c r="H25" s="215" t="s">
        <v>74</v>
      </c>
      <c r="I25" s="198" t="s">
        <v>34</v>
      </c>
      <c r="J25" s="29">
        <v>1</v>
      </c>
      <c r="K25" s="12"/>
      <c r="L25" s="72"/>
      <c r="M25" s="168"/>
    </row>
    <row r="26" spans="1:13" ht="15.75" customHeight="1" x14ac:dyDescent="0.25">
      <c r="A26" s="18" t="s">
        <v>38</v>
      </c>
      <c r="B26" s="238" t="s">
        <v>75</v>
      </c>
      <c r="C26" s="191"/>
      <c r="D26" s="186">
        <v>2</v>
      </c>
      <c r="E26" s="193">
        <v>2</v>
      </c>
      <c r="F26" s="194">
        <v>5.07</v>
      </c>
      <c r="G26" s="194">
        <f t="shared" si="0"/>
        <v>10.14</v>
      </c>
      <c r="H26" s="215" t="s">
        <v>76</v>
      </c>
      <c r="I26" s="198" t="s">
        <v>34</v>
      </c>
      <c r="J26" s="29">
        <v>1</v>
      </c>
      <c r="K26" s="12"/>
      <c r="L26" s="72"/>
      <c r="M26" s="168"/>
    </row>
    <row r="27" spans="1:13" ht="16.5" customHeight="1" x14ac:dyDescent="0.25">
      <c r="A27" s="33" t="s">
        <v>38</v>
      </c>
      <c r="B27" s="223" t="s">
        <v>77</v>
      </c>
      <c r="C27" s="239"/>
      <c r="D27" s="224">
        <v>1</v>
      </c>
      <c r="E27" s="193">
        <v>1</v>
      </c>
      <c r="F27" s="194">
        <v>3.92</v>
      </c>
      <c r="G27" s="194">
        <f t="shared" si="0"/>
        <v>3.92</v>
      </c>
      <c r="H27" s="215" t="s">
        <v>76</v>
      </c>
      <c r="I27" s="198" t="s">
        <v>34</v>
      </c>
      <c r="J27" s="29">
        <v>1</v>
      </c>
      <c r="K27" s="12"/>
      <c r="L27" s="72"/>
      <c r="M27" s="168"/>
    </row>
    <row r="28" spans="1:13" ht="16.5" customHeight="1" x14ac:dyDescent="0.25">
      <c r="A28" s="33" t="s">
        <v>38</v>
      </c>
      <c r="B28" s="232" t="s">
        <v>78</v>
      </c>
      <c r="C28" s="229"/>
      <c r="D28" s="230">
        <v>3</v>
      </c>
      <c r="E28" s="193">
        <v>3</v>
      </c>
      <c r="F28" s="194">
        <v>15.18</v>
      </c>
      <c r="G28" s="194">
        <f t="shared" si="0"/>
        <v>45.54</v>
      </c>
      <c r="H28" s="215" t="s">
        <v>79</v>
      </c>
      <c r="I28" s="199" t="s">
        <v>34</v>
      </c>
      <c r="J28" s="29">
        <v>1</v>
      </c>
      <c r="K28" s="12"/>
      <c r="L28" s="72"/>
      <c r="M28" s="168"/>
    </row>
    <row r="29" spans="1:13" x14ac:dyDescent="0.25">
      <c r="A29" s="33" t="s">
        <v>38</v>
      </c>
      <c r="B29" s="223" t="s">
        <v>80</v>
      </c>
      <c r="C29" s="191"/>
      <c r="D29" s="192">
        <v>1</v>
      </c>
      <c r="E29" s="193">
        <v>1</v>
      </c>
      <c r="F29" s="194">
        <v>12.4</v>
      </c>
      <c r="G29" s="194">
        <f t="shared" si="0"/>
        <v>12.4</v>
      </c>
      <c r="H29" s="215" t="s">
        <v>81</v>
      </c>
      <c r="I29" s="198" t="s">
        <v>34</v>
      </c>
      <c r="J29" s="29">
        <v>1</v>
      </c>
      <c r="K29" s="12"/>
      <c r="L29" s="72"/>
      <c r="M29" s="168"/>
    </row>
    <row r="30" spans="1:13" x14ac:dyDescent="0.25">
      <c r="A30" s="33" t="s">
        <v>38</v>
      </c>
      <c r="B30" s="240" t="s">
        <v>82</v>
      </c>
      <c r="C30" s="191"/>
      <c r="D30" s="192">
        <v>1</v>
      </c>
      <c r="E30" s="193">
        <v>1</v>
      </c>
      <c r="F30" s="194">
        <v>4.95</v>
      </c>
      <c r="G30" s="194">
        <f t="shared" si="0"/>
        <v>4.95</v>
      </c>
      <c r="H30" s="215" t="s">
        <v>83</v>
      </c>
      <c r="I30" s="203" t="s">
        <v>84</v>
      </c>
      <c r="J30" s="29">
        <v>1</v>
      </c>
      <c r="K30" s="12"/>
      <c r="L30" s="72"/>
      <c r="M30" s="168"/>
    </row>
    <row r="31" spans="1:13" x14ac:dyDescent="0.25">
      <c r="A31" s="33" t="s">
        <v>38</v>
      </c>
      <c r="B31" s="240" t="s">
        <v>85</v>
      </c>
      <c r="C31" s="191"/>
      <c r="D31" s="192">
        <v>1</v>
      </c>
      <c r="E31" s="193">
        <v>1</v>
      </c>
      <c r="F31" s="194">
        <v>4.9000000000000004</v>
      </c>
      <c r="G31" s="194">
        <f t="shared" si="0"/>
        <v>4.9000000000000004</v>
      </c>
      <c r="H31" s="215" t="s">
        <v>86</v>
      </c>
      <c r="I31" s="203" t="s">
        <v>84</v>
      </c>
      <c r="J31" s="29">
        <v>1</v>
      </c>
      <c r="K31" s="12"/>
      <c r="L31" s="72"/>
      <c r="M31" s="168"/>
    </row>
    <row r="32" spans="1:13" x14ac:dyDescent="0.25">
      <c r="A32" s="33" t="s">
        <v>38</v>
      </c>
      <c r="B32" s="240" t="s">
        <v>87</v>
      </c>
      <c r="C32" s="191"/>
      <c r="D32" s="192">
        <v>2</v>
      </c>
      <c r="E32" s="193">
        <v>2</v>
      </c>
      <c r="F32" s="194">
        <v>4.45</v>
      </c>
      <c r="G32" s="194">
        <f t="shared" si="0"/>
        <v>8.9</v>
      </c>
      <c r="H32" s="215" t="s">
        <v>88</v>
      </c>
      <c r="I32" s="203" t="s">
        <v>84</v>
      </c>
      <c r="J32" s="29">
        <v>1</v>
      </c>
      <c r="K32" s="12"/>
      <c r="L32" s="72"/>
      <c r="M32" s="168"/>
    </row>
    <row r="33" spans="1:13" x14ac:dyDescent="0.25">
      <c r="A33" s="33" t="s">
        <v>38</v>
      </c>
      <c r="B33" s="240" t="s">
        <v>89</v>
      </c>
      <c r="C33" s="191"/>
      <c r="D33" s="192">
        <v>2</v>
      </c>
      <c r="E33" s="193">
        <v>2</v>
      </c>
      <c r="F33" s="194">
        <v>4.3499999999999996</v>
      </c>
      <c r="G33" s="194">
        <f t="shared" si="0"/>
        <v>8.6999999999999993</v>
      </c>
      <c r="H33" s="215" t="s">
        <v>90</v>
      </c>
      <c r="I33" s="203" t="s">
        <v>84</v>
      </c>
      <c r="J33" s="29">
        <v>1</v>
      </c>
      <c r="K33" s="12"/>
      <c r="L33" s="72"/>
      <c r="M33" s="168"/>
    </row>
    <row r="34" spans="1:13" x14ac:dyDescent="0.25">
      <c r="A34" s="33" t="s">
        <v>38</v>
      </c>
      <c r="B34" s="228" t="s">
        <v>91</v>
      </c>
      <c r="C34" s="229"/>
      <c r="D34" s="230">
        <v>1</v>
      </c>
      <c r="E34" s="193">
        <v>1</v>
      </c>
      <c r="F34" s="231">
        <v>3.22</v>
      </c>
      <c r="G34" s="194">
        <f t="shared" ref="G34:G69" si="1">E34*F34</f>
        <v>3.22</v>
      </c>
      <c r="H34" s="215" t="s">
        <v>92</v>
      </c>
      <c r="I34" s="204" t="s">
        <v>93</v>
      </c>
      <c r="J34" s="29">
        <v>1</v>
      </c>
      <c r="K34" s="12"/>
      <c r="L34" s="72"/>
      <c r="M34" s="168"/>
    </row>
    <row r="35" spans="1:13" x14ac:dyDescent="0.25">
      <c r="A35" s="33" t="s">
        <v>38</v>
      </c>
      <c r="B35" s="241" t="s">
        <v>94</v>
      </c>
      <c r="C35" s="227"/>
      <c r="D35" s="230">
        <v>1</v>
      </c>
      <c r="E35" s="193">
        <v>1</v>
      </c>
      <c r="F35" s="194">
        <v>0.54</v>
      </c>
      <c r="G35" s="194">
        <f t="shared" si="1"/>
        <v>0.54</v>
      </c>
      <c r="H35" s="215" t="s">
        <v>95</v>
      </c>
      <c r="I35" s="199" t="s">
        <v>41</v>
      </c>
      <c r="J35" s="29">
        <v>1</v>
      </c>
      <c r="K35" s="12"/>
      <c r="L35" s="72"/>
      <c r="M35" s="168"/>
    </row>
    <row r="36" spans="1:13" x14ac:dyDescent="0.25">
      <c r="A36" s="33" t="s">
        <v>38</v>
      </c>
      <c r="B36" s="241" t="s">
        <v>96</v>
      </c>
      <c r="C36" s="227"/>
      <c r="D36" s="230">
        <v>1</v>
      </c>
      <c r="E36" s="193">
        <v>1</v>
      </c>
      <c r="F36" s="194">
        <v>0.54</v>
      </c>
      <c r="G36" s="194">
        <f t="shared" si="1"/>
        <v>0.54</v>
      </c>
      <c r="H36" s="215" t="s">
        <v>97</v>
      </c>
      <c r="I36" s="199" t="s">
        <v>41</v>
      </c>
      <c r="J36" s="29">
        <v>1</v>
      </c>
      <c r="K36" s="12"/>
      <c r="L36" s="72"/>
      <c r="M36" s="168"/>
    </row>
    <row r="37" spans="1:13" x14ac:dyDescent="0.25">
      <c r="A37" s="33" t="s">
        <v>38</v>
      </c>
      <c r="B37" s="241" t="s">
        <v>98</v>
      </c>
      <c r="C37" s="227"/>
      <c r="D37" s="230">
        <v>1</v>
      </c>
      <c r="E37" s="193">
        <v>1</v>
      </c>
      <c r="F37" s="194">
        <v>0.54</v>
      </c>
      <c r="G37" s="194">
        <f t="shared" si="1"/>
        <v>0.54</v>
      </c>
      <c r="H37" s="215" t="s">
        <v>99</v>
      </c>
      <c r="I37" s="199" t="s">
        <v>41</v>
      </c>
      <c r="J37" s="29">
        <v>1</v>
      </c>
      <c r="K37" s="12"/>
      <c r="L37" s="72"/>
      <c r="M37" s="168"/>
    </row>
    <row r="38" spans="1:13" x14ac:dyDescent="0.25">
      <c r="A38" s="33" t="s">
        <v>38</v>
      </c>
      <c r="B38" s="187" t="s">
        <v>100</v>
      </c>
      <c r="C38" s="229"/>
      <c r="D38" s="242">
        <v>2</v>
      </c>
      <c r="E38" s="193">
        <v>1</v>
      </c>
      <c r="F38" s="194">
        <v>1.45</v>
      </c>
      <c r="G38" s="194">
        <f t="shared" si="1"/>
        <v>1.45</v>
      </c>
      <c r="H38" s="215" t="s">
        <v>101</v>
      </c>
      <c r="I38" s="199" t="s">
        <v>41</v>
      </c>
      <c r="J38" s="29">
        <v>2</v>
      </c>
      <c r="K38" s="12"/>
      <c r="L38" s="72"/>
      <c r="M38" s="168"/>
    </row>
    <row r="39" spans="1:13" x14ac:dyDescent="0.25">
      <c r="A39" s="33" t="s">
        <v>38</v>
      </c>
      <c r="B39" s="188" t="s">
        <v>102</v>
      </c>
      <c r="C39" s="229"/>
      <c r="D39" s="242">
        <v>5</v>
      </c>
      <c r="E39" s="193">
        <v>1</v>
      </c>
      <c r="F39" s="194">
        <v>0.86</v>
      </c>
      <c r="G39" s="194">
        <f t="shared" si="1"/>
        <v>0.86</v>
      </c>
      <c r="H39" s="215" t="s">
        <v>103</v>
      </c>
      <c r="I39" s="199" t="s">
        <v>41</v>
      </c>
      <c r="J39" s="29">
        <v>5</v>
      </c>
      <c r="K39" s="12"/>
      <c r="L39" s="72"/>
      <c r="M39" s="168"/>
    </row>
    <row r="40" spans="1:13" x14ac:dyDescent="0.25">
      <c r="A40" s="33" t="s">
        <v>38</v>
      </c>
      <c r="B40" s="243" t="s">
        <v>104</v>
      </c>
      <c r="C40" s="229"/>
      <c r="D40" s="242">
        <v>2</v>
      </c>
      <c r="E40" s="193">
        <v>1</v>
      </c>
      <c r="F40" s="194">
        <v>1.45</v>
      </c>
      <c r="G40" s="194">
        <f t="shared" si="1"/>
        <v>1.45</v>
      </c>
      <c r="H40" s="215" t="s">
        <v>105</v>
      </c>
      <c r="I40" s="199" t="s">
        <v>41</v>
      </c>
      <c r="J40" s="29">
        <v>2</v>
      </c>
      <c r="K40" s="12"/>
      <c r="L40" s="72"/>
      <c r="M40" s="168"/>
    </row>
    <row r="41" spans="1:13" x14ac:dyDescent="0.25">
      <c r="A41" s="33" t="s">
        <v>38</v>
      </c>
      <c r="B41" s="243" t="s">
        <v>106</v>
      </c>
      <c r="C41" s="229"/>
      <c r="D41" s="230">
        <v>5</v>
      </c>
      <c r="E41" s="193">
        <v>1</v>
      </c>
      <c r="F41" s="194">
        <v>0.86</v>
      </c>
      <c r="G41" s="194">
        <f t="shared" si="1"/>
        <v>0.86</v>
      </c>
      <c r="H41" s="215" t="s">
        <v>107</v>
      </c>
      <c r="I41" s="199" t="s">
        <v>41</v>
      </c>
      <c r="J41" s="29">
        <v>5</v>
      </c>
      <c r="K41" s="12"/>
      <c r="L41" s="72"/>
      <c r="M41" s="168"/>
    </row>
    <row r="42" spans="1:13" x14ac:dyDescent="0.25">
      <c r="A42" s="33" t="s">
        <v>38</v>
      </c>
      <c r="B42" s="187" t="s">
        <v>108</v>
      </c>
      <c r="C42" s="229"/>
      <c r="D42" s="242">
        <v>2</v>
      </c>
      <c r="E42" s="193">
        <v>1</v>
      </c>
      <c r="F42" s="194">
        <v>1.45</v>
      </c>
      <c r="G42" s="194">
        <f t="shared" si="1"/>
        <v>1.45</v>
      </c>
      <c r="H42" s="215" t="s">
        <v>109</v>
      </c>
      <c r="I42" s="199" t="s">
        <v>41</v>
      </c>
      <c r="J42" s="29">
        <v>2</v>
      </c>
      <c r="K42" s="12"/>
      <c r="L42" s="72"/>
      <c r="M42" s="168"/>
    </row>
    <row r="43" spans="1:13" x14ac:dyDescent="0.25">
      <c r="A43" s="33" t="s">
        <v>38</v>
      </c>
      <c r="B43" s="187" t="s">
        <v>110</v>
      </c>
      <c r="C43" s="229"/>
      <c r="D43" s="230">
        <v>5</v>
      </c>
      <c r="E43" s="193">
        <v>1</v>
      </c>
      <c r="F43" s="194">
        <v>0.86</v>
      </c>
      <c r="G43" s="194">
        <f t="shared" si="1"/>
        <v>0.86</v>
      </c>
      <c r="H43" s="215" t="s">
        <v>111</v>
      </c>
      <c r="I43" s="199" t="s">
        <v>41</v>
      </c>
      <c r="J43" s="29">
        <v>5</v>
      </c>
      <c r="K43" s="12"/>
      <c r="L43" s="72"/>
      <c r="M43" s="168"/>
    </row>
    <row r="44" spans="1:13" ht="15.75" customHeight="1" x14ac:dyDescent="0.25">
      <c r="A44" s="33" t="s">
        <v>38</v>
      </c>
      <c r="B44" s="228" t="s">
        <v>112</v>
      </c>
      <c r="C44" s="229"/>
      <c r="D44" s="230">
        <v>5</v>
      </c>
      <c r="E44" s="193">
        <v>1</v>
      </c>
      <c r="F44" s="194">
        <v>3.77</v>
      </c>
      <c r="G44" s="194">
        <f t="shared" si="1"/>
        <v>3.77</v>
      </c>
      <c r="H44" s="215" t="s">
        <v>113</v>
      </c>
      <c r="I44" s="199" t="s">
        <v>41</v>
      </c>
      <c r="J44" s="29">
        <v>5</v>
      </c>
      <c r="K44" s="12"/>
      <c r="L44" s="72"/>
      <c r="M44" s="168"/>
    </row>
    <row r="45" spans="1:13" ht="15.75" customHeight="1" x14ac:dyDescent="0.25">
      <c r="A45" s="33" t="s">
        <v>38</v>
      </c>
      <c r="B45" s="187" t="s">
        <v>114</v>
      </c>
      <c r="C45" s="229"/>
      <c r="D45" s="242">
        <v>2</v>
      </c>
      <c r="E45" s="193">
        <v>1</v>
      </c>
      <c r="F45" s="194">
        <v>1.45</v>
      </c>
      <c r="G45" s="194">
        <f t="shared" si="1"/>
        <v>1.45</v>
      </c>
      <c r="H45" s="215" t="s">
        <v>115</v>
      </c>
      <c r="I45" s="199" t="s">
        <v>41</v>
      </c>
      <c r="J45" s="29">
        <v>2</v>
      </c>
      <c r="K45" s="12"/>
      <c r="L45" s="72"/>
      <c r="M45" s="168"/>
    </row>
    <row r="46" spans="1:13" ht="15.75" customHeight="1" x14ac:dyDescent="0.25">
      <c r="A46" s="33" t="s">
        <v>38</v>
      </c>
      <c r="B46" s="187" t="s">
        <v>116</v>
      </c>
      <c r="C46" s="229"/>
      <c r="D46" s="242">
        <v>5</v>
      </c>
      <c r="E46" s="193">
        <v>1</v>
      </c>
      <c r="F46" s="194">
        <v>0.86</v>
      </c>
      <c r="G46" s="194">
        <f t="shared" si="1"/>
        <v>0.86</v>
      </c>
      <c r="H46" s="215" t="s">
        <v>117</v>
      </c>
      <c r="I46" s="199" t="s">
        <v>41</v>
      </c>
      <c r="J46" s="29">
        <v>5</v>
      </c>
      <c r="K46" s="12"/>
      <c r="L46" s="72"/>
      <c r="M46" s="168"/>
    </row>
    <row r="47" spans="1:13" ht="15.75" customHeight="1" x14ac:dyDescent="0.25">
      <c r="A47" s="33" t="s">
        <v>38</v>
      </c>
      <c r="B47" s="228" t="s">
        <v>118</v>
      </c>
      <c r="C47" s="229"/>
      <c r="D47" s="242">
        <v>5</v>
      </c>
      <c r="E47" s="193">
        <v>1</v>
      </c>
      <c r="F47" s="194">
        <v>2.2200000000000002</v>
      </c>
      <c r="G47" s="194">
        <f t="shared" si="1"/>
        <v>2.2200000000000002</v>
      </c>
      <c r="H47" s="215" t="s">
        <v>119</v>
      </c>
      <c r="I47" s="199" t="s">
        <v>41</v>
      </c>
      <c r="J47" s="29">
        <v>5</v>
      </c>
      <c r="K47" s="12"/>
      <c r="L47" s="72"/>
      <c r="M47" s="168"/>
    </row>
    <row r="48" spans="1:13" x14ac:dyDescent="0.25">
      <c r="A48" s="33" t="s">
        <v>38</v>
      </c>
      <c r="B48" s="228" t="s">
        <v>120</v>
      </c>
      <c r="C48" s="229"/>
      <c r="D48" s="242">
        <v>5</v>
      </c>
      <c r="E48" s="193">
        <v>1</v>
      </c>
      <c r="F48" s="194">
        <v>0.86</v>
      </c>
      <c r="G48" s="194">
        <f t="shared" si="1"/>
        <v>0.86</v>
      </c>
      <c r="H48" s="215" t="s">
        <v>121</v>
      </c>
      <c r="I48" s="199" t="s">
        <v>41</v>
      </c>
      <c r="J48" s="29">
        <v>5</v>
      </c>
      <c r="K48" s="12"/>
      <c r="L48" s="72"/>
      <c r="M48" s="168"/>
    </row>
    <row r="49" spans="1:13" x14ac:dyDescent="0.25">
      <c r="A49" s="33" t="s">
        <v>38</v>
      </c>
      <c r="B49" s="187" t="s">
        <v>122</v>
      </c>
      <c r="C49" s="232"/>
      <c r="D49" s="230">
        <v>2</v>
      </c>
      <c r="E49" s="193">
        <v>1</v>
      </c>
      <c r="F49" s="194">
        <v>3</v>
      </c>
      <c r="G49" s="194">
        <f t="shared" ref="G49:G50" si="2">E49*F49</f>
        <v>3</v>
      </c>
      <c r="H49" s="215" t="s">
        <v>122</v>
      </c>
      <c r="I49" s="189"/>
      <c r="J49" s="103"/>
      <c r="K49" s="12"/>
      <c r="L49" s="72"/>
      <c r="M49" s="168"/>
    </row>
    <row r="50" spans="1:13" x14ac:dyDescent="0.25">
      <c r="A50" s="33" t="s">
        <v>38</v>
      </c>
      <c r="B50" s="188" t="s">
        <v>123</v>
      </c>
      <c r="C50" s="232"/>
      <c r="D50" s="230">
        <v>2</v>
      </c>
      <c r="E50" s="193">
        <v>1</v>
      </c>
      <c r="F50" s="194">
        <v>3</v>
      </c>
      <c r="G50" s="194">
        <f t="shared" si="2"/>
        <v>3</v>
      </c>
      <c r="H50" s="215" t="s">
        <v>123</v>
      </c>
      <c r="I50" s="189"/>
      <c r="J50" s="103"/>
      <c r="K50" s="12"/>
      <c r="L50" s="72"/>
      <c r="M50" s="168"/>
    </row>
    <row r="51" spans="1:13" x14ac:dyDescent="0.25">
      <c r="A51" s="33" t="s">
        <v>38</v>
      </c>
      <c r="B51" s="190" t="s">
        <v>124</v>
      </c>
      <c r="C51" s="191"/>
      <c r="D51" s="222">
        <v>3</v>
      </c>
      <c r="E51" s="193">
        <v>1</v>
      </c>
      <c r="F51" s="194">
        <v>46</v>
      </c>
      <c r="G51" s="194">
        <f t="shared" si="1"/>
        <v>46</v>
      </c>
      <c r="H51" s="215" t="s">
        <v>125</v>
      </c>
      <c r="I51" s="197" t="s">
        <v>126</v>
      </c>
      <c r="J51" s="29">
        <v>3</v>
      </c>
      <c r="K51" s="12"/>
      <c r="L51" s="72"/>
      <c r="M51" s="168"/>
    </row>
    <row r="52" spans="1:13" x14ac:dyDescent="0.25">
      <c r="A52" s="33" t="s">
        <v>38</v>
      </c>
      <c r="B52" s="190" t="s">
        <v>127</v>
      </c>
      <c r="C52" s="221"/>
      <c r="D52" s="222">
        <v>2</v>
      </c>
      <c r="E52" s="193">
        <v>2</v>
      </c>
      <c r="F52" s="194">
        <v>22.5</v>
      </c>
      <c r="G52" s="194">
        <f t="shared" si="1"/>
        <v>45</v>
      </c>
      <c r="H52" s="215" t="s">
        <v>128</v>
      </c>
      <c r="I52" s="197" t="s">
        <v>126</v>
      </c>
      <c r="J52" s="29">
        <v>1</v>
      </c>
      <c r="K52" s="12"/>
      <c r="L52" s="72"/>
      <c r="M52" s="168"/>
    </row>
    <row r="53" spans="1:13" x14ac:dyDescent="0.25">
      <c r="A53" s="33" t="s">
        <v>38</v>
      </c>
      <c r="B53" s="228" t="s">
        <v>129</v>
      </c>
      <c r="C53" s="229"/>
      <c r="D53" s="228">
        <v>1</v>
      </c>
      <c r="E53" s="193">
        <v>1</v>
      </c>
      <c r="F53" s="231">
        <v>33.700000000000003</v>
      </c>
      <c r="G53" s="194">
        <f t="shared" si="1"/>
        <v>33.700000000000003</v>
      </c>
      <c r="H53" s="215" t="s">
        <v>130</v>
      </c>
      <c r="I53" s="204" t="s">
        <v>126</v>
      </c>
      <c r="J53" s="29">
        <v>1</v>
      </c>
      <c r="K53" s="12"/>
      <c r="L53" s="72"/>
      <c r="M53" s="168"/>
    </row>
    <row r="54" spans="1:13" x14ac:dyDescent="0.25">
      <c r="A54" s="33" t="s">
        <v>38</v>
      </c>
      <c r="B54" s="212" t="s">
        <v>131</v>
      </c>
      <c r="C54" s="191"/>
      <c r="D54" s="192">
        <v>1</v>
      </c>
      <c r="E54" s="193">
        <v>1</v>
      </c>
      <c r="F54" s="194">
        <v>13.9</v>
      </c>
      <c r="G54" s="194">
        <f t="shared" si="1"/>
        <v>13.9</v>
      </c>
      <c r="H54" s="215" t="s">
        <v>132</v>
      </c>
      <c r="I54" s="198" t="s">
        <v>133</v>
      </c>
      <c r="J54" s="29">
        <v>1</v>
      </c>
      <c r="K54" s="12"/>
      <c r="L54" s="72"/>
      <c r="M54" s="168"/>
    </row>
    <row r="55" spans="1:13" x14ac:dyDescent="0.25">
      <c r="A55" s="18" t="s">
        <v>38</v>
      </c>
      <c r="B55" s="238" t="s">
        <v>134</v>
      </c>
      <c r="C55" s="244"/>
      <c r="D55" s="238">
        <v>1</v>
      </c>
      <c r="E55" s="238">
        <v>1</v>
      </c>
      <c r="F55" s="194">
        <v>11.11</v>
      </c>
      <c r="G55" s="194">
        <f t="shared" si="1"/>
        <v>11.11</v>
      </c>
      <c r="H55" s="215" t="s">
        <v>135</v>
      </c>
      <c r="I55" s="205" t="s">
        <v>136</v>
      </c>
      <c r="J55" s="29">
        <v>1</v>
      </c>
      <c r="K55"/>
      <c r="L55" s="39"/>
      <c r="M55" s="168"/>
    </row>
    <row r="56" spans="1:13" x14ac:dyDescent="0.25">
      <c r="A56" s="33" t="s">
        <v>38</v>
      </c>
      <c r="B56" s="235" t="s">
        <v>137</v>
      </c>
      <c r="C56" s="191"/>
      <c r="D56" s="192">
        <v>1</v>
      </c>
      <c r="E56" s="193">
        <v>1</v>
      </c>
      <c r="F56" s="194">
        <v>12.07</v>
      </c>
      <c r="G56" s="194">
        <f t="shared" si="1"/>
        <v>12.07</v>
      </c>
      <c r="H56" s="215" t="s">
        <v>138</v>
      </c>
      <c r="I56" s="198" t="s">
        <v>139</v>
      </c>
      <c r="J56" s="29">
        <v>1</v>
      </c>
      <c r="K56" s="12"/>
      <c r="L56" s="72"/>
      <c r="M56" s="168"/>
    </row>
    <row r="57" spans="1:13" x14ac:dyDescent="0.25">
      <c r="A57" s="33" t="s">
        <v>38</v>
      </c>
      <c r="B57" s="235" t="s">
        <v>140</v>
      </c>
      <c r="C57" s="191"/>
      <c r="D57" s="192">
        <v>1</v>
      </c>
      <c r="E57" s="193">
        <v>1</v>
      </c>
      <c r="F57" s="194">
        <v>1.4</v>
      </c>
      <c r="G57" s="194">
        <f t="shared" si="1"/>
        <v>1.4</v>
      </c>
      <c r="H57" s="215" t="s">
        <v>870</v>
      </c>
      <c r="I57" s="198" t="s">
        <v>50</v>
      </c>
      <c r="J57" s="103"/>
      <c r="K57" s="12"/>
      <c r="L57" s="72"/>
      <c r="M57" s="168"/>
    </row>
    <row r="58" spans="1:13" x14ac:dyDescent="0.25">
      <c r="A58" s="33" t="s">
        <v>38</v>
      </c>
      <c r="B58" s="228" t="s">
        <v>141</v>
      </c>
      <c r="C58" s="229"/>
      <c r="D58" s="228">
        <v>1</v>
      </c>
      <c r="E58" s="193">
        <v>1</v>
      </c>
      <c r="F58" s="194">
        <v>148</v>
      </c>
      <c r="G58" s="194">
        <f t="shared" si="1"/>
        <v>148</v>
      </c>
      <c r="H58" s="215" t="s">
        <v>142</v>
      </c>
      <c r="I58" s="199" t="s">
        <v>143</v>
      </c>
      <c r="J58" s="29">
        <v>1</v>
      </c>
      <c r="K58" s="12"/>
      <c r="L58" s="72"/>
      <c r="M58" s="168"/>
    </row>
    <row r="59" spans="1:13" ht="17.25" customHeight="1" x14ac:dyDescent="0.25">
      <c r="A59" s="33" t="s">
        <v>38</v>
      </c>
      <c r="B59" s="190" t="s">
        <v>144</v>
      </c>
      <c r="C59" s="191"/>
      <c r="D59" s="192">
        <v>1</v>
      </c>
      <c r="E59" s="193">
        <v>1</v>
      </c>
      <c r="F59" s="194">
        <v>2.35</v>
      </c>
      <c r="G59" s="194">
        <f t="shared" si="1"/>
        <v>2.35</v>
      </c>
      <c r="H59" s="215" t="s">
        <v>145</v>
      </c>
      <c r="I59" s="199" t="s">
        <v>146</v>
      </c>
      <c r="J59" s="29">
        <v>10</v>
      </c>
      <c r="K59" s="12"/>
      <c r="L59" s="72"/>
      <c r="M59" s="171" t="s">
        <v>147</v>
      </c>
    </row>
    <row r="60" spans="1:13" ht="17.25" customHeight="1" x14ac:dyDescent="0.25">
      <c r="A60" s="33" t="s">
        <v>38</v>
      </c>
      <c r="B60" s="190" t="s">
        <v>148</v>
      </c>
      <c r="C60" s="191"/>
      <c r="D60" s="192">
        <v>1</v>
      </c>
      <c r="E60" s="193">
        <v>1</v>
      </c>
      <c r="F60" s="194">
        <v>2</v>
      </c>
      <c r="G60" s="194">
        <f>E60*F60</f>
        <v>2</v>
      </c>
      <c r="H60" s="215" t="s">
        <v>149</v>
      </c>
      <c r="I60" s="199" t="s">
        <v>146</v>
      </c>
      <c r="J60" s="103"/>
      <c r="K60" s="12"/>
      <c r="L60" s="72"/>
      <c r="M60" s="168"/>
    </row>
    <row r="61" spans="1:13" ht="15.75" x14ac:dyDescent="0.25">
      <c r="A61" s="33" t="s">
        <v>38</v>
      </c>
      <c r="B61" s="190" t="s">
        <v>150</v>
      </c>
      <c r="C61" s="191"/>
      <c r="D61" s="192">
        <v>1</v>
      </c>
      <c r="E61" s="193"/>
      <c r="F61" s="194"/>
      <c r="G61" s="194">
        <f>E61*F61</f>
        <v>0</v>
      </c>
      <c r="H61" s="172" t="s">
        <v>151</v>
      </c>
      <c r="I61" s="189"/>
      <c r="J61" s="103"/>
      <c r="K61" s="12"/>
      <c r="L61" s="72"/>
      <c r="M61" s="168" t="s">
        <v>152</v>
      </c>
    </row>
    <row r="62" spans="1:13" x14ac:dyDescent="0.25">
      <c r="A62" s="33" t="s">
        <v>38</v>
      </c>
      <c r="B62" s="228" t="s">
        <v>153</v>
      </c>
      <c r="C62" s="227"/>
      <c r="D62" s="230">
        <v>1</v>
      </c>
      <c r="E62" s="193">
        <v>1</v>
      </c>
      <c r="F62" s="194">
        <v>33.590000000000003</v>
      </c>
      <c r="G62" s="194">
        <f t="shared" si="1"/>
        <v>33.590000000000003</v>
      </c>
      <c r="H62" s="215" t="s">
        <v>154</v>
      </c>
      <c r="I62" s="199" t="s">
        <v>146</v>
      </c>
      <c r="J62" s="29">
        <v>1</v>
      </c>
      <c r="K62" s="12"/>
      <c r="L62" s="72"/>
      <c r="M62" s="168"/>
    </row>
    <row r="63" spans="1:13" x14ac:dyDescent="0.25">
      <c r="A63" s="33" t="s">
        <v>155</v>
      </c>
      <c r="B63" s="212" t="s">
        <v>156</v>
      </c>
      <c r="C63" s="218"/>
      <c r="D63" s="186">
        <v>94</v>
      </c>
      <c r="E63" s="193">
        <v>2</v>
      </c>
      <c r="F63" s="194">
        <v>3</v>
      </c>
      <c r="G63" s="194">
        <f t="shared" si="1"/>
        <v>6</v>
      </c>
      <c r="H63" s="245" t="s">
        <v>157</v>
      </c>
      <c r="I63" s="198" t="s">
        <v>158</v>
      </c>
      <c r="J63" s="29">
        <v>50</v>
      </c>
      <c r="K63" s="12"/>
      <c r="L63" s="72"/>
      <c r="M63" s="168"/>
    </row>
    <row r="64" spans="1:13" x14ac:dyDescent="0.25">
      <c r="A64" s="33" t="s">
        <v>155</v>
      </c>
      <c r="B64" s="186" t="s">
        <v>159</v>
      </c>
      <c r="C64" s="218"/>
      <c r="D64" s="186">
        <v>196</v>
      </c>
      <c r="E64" s="193">
        <v>4</v>
      </c>
      <c r="F64" s="194">
        <v>3</v>
      </c>
      <c r="G64" s="194">
        <f t="shared" si="1"/>
        <v>12</v>
      </c>
      <c r="H64" s="245" t="s">
        <v>160</v>
      </c>
      <c r="I64" s="198" t="s">
        <v>158</v>
      </c>
      <c r="J64" s="29">
        <v>50</v>
      </c>
      <c r="K64" s="73"/>
      <c r="L64" s="74"/>
      <c r="M64" s="168"/>
    </row>
    <row r="65" spans="1:13" x14ac:dyDescent="0.25">
      <c r="A65" s="17" t="s">
        <v>155</v>
      </c>
      <c r="B65" s="186" t="s">
        <v>161</v>
      </c>
      <c r="C65" s="218"/>
      <c r="D65" s="214">
        <v>1</v>
      </c>
      <c r="E65" s="193">
        <v>1</v>
      </c>
      <c r="F65" s="194">
        <v>4.34</v>
      </c>
      <c r="G65" s="194">
        <f t="shared" si="1"/>
        <v>4.34</v>
      </c>
      <c r="H65" s="215" t="s">
        <v>162</v>
      </c>
      <c r="I65" s="196" t="s">
        <v>163</v>
      </c>
      <c r="J65" s="29">
        <v>1</v>
      </c>
      <c r="K65" s="12"/>
      <c r="L65" s="72"/>
      <c r="M65" s="168"/>
    </row>
    <row r="66" spans="1:13" x14ac:dyDescent="0.25">
      <c r="A66" s="17" t="s">
        <v>155</v>
      </c>
      <c r="B66" s="216" t="s">
        <v>164</v>
      </c>
      <c r="C66" s="217"/>
      <c r="D66" s="214">
        <v>32</v>
      </c>
      <c r="E66" s="193">
        <v>1</v>
      </c>
      <c r="F66" s="194">
        <v>3.26</v>
      </c>
      <c r="G66" s="194">
        <f t="shared" si="1"/>
        <v>3.26</v>
      </c>
      <c r="H66" s="246" t="s">
        <v>165</v>
      </c>
      <c r="I66" s="196" t="s">
        <v>166</v>
      </c>
      <c r="J66" s="29">
        <v>50</v>
      </c>
      <c r="K66" s="12">
        <v>988</v>
      </c>
      <c r="L66" s="72">
        <v>10642</v>
      </c>
      <c r="M66" s="168"/>
    </row>
    <row r="67" spans="1:13" x14ac:dyDescent="0.25">
      <c r="A67" s="17" t="s">
        <v>155</v>
      </c>
      <c r="B67" s="228" t="s">
        <v>167</v>
      </c>
      <c r="C67" s="213"/>
      <c r="D67" s="214">
        <v>36</v>
      </c>
      <c r="E67" s="193">
        <v>1</v>
      </c>
      <c r="F67" s="194">
        <v>2.87</v>
      </c>
      <c r="G67" s="194">
        <f t="shared" si="1"/>
        <v>2.87</v>
      </c>
      <c r="H67" s="246" t="s">
        <v>168</v>
      </c>
      <c r="I67" s="196" t="s">
        <v>166</v>
      </c>
      <c r="J67" s="29">
        <v>50</v>
      </c>
      <c r="K67" s="12">
        <v>988</v>
      </c>
      <c r="L67" s="72">
        <v>7380</v>
      </c>
      <c r="M67" s="168"/>
    </row>
    <row r="68" spans="1:13" x14ac:dyDescent="0.25">
      <c r="A68" s="17" t="s">
        <v>155</v>
      </c>
      <c r="B68" s="212" t="s">
        <v>169</v>
      </c>
      <c r="C68" s="213"/>
      <c r="D68" s="214">
        <v>2</v>
      </c>
      <c r="E68" s="193">
        <v>1</v>
      </c>
      <c r="F68" s="194">
        <v>2.84</v>
      </c>
      <c r="G68" s="194">
        <f t="shared" si="1"/>
        <v>2.84</v>
      </c>
      <c r="H68" s="246" t="s">
        <v>170</v>
      </c>
      <c r="I68" s="196" t="s">
        <v>166</v>
      </c>
      <c r="J68" s="29">
        <v>50</v>
      </c>
      <c r="K68" s="75">
        <v>988</v>
      </c>
      <c r="L68" s="72"/>
      <c r="M68" s="168"/>
    </row>
    <row r="69" spans="1:13" x14ac:dyDescent="0.25">
      <c r="A69" s="33" t="s">
        <v>155</v>
      </c>
      <c r="B69" s="212" t="s">
        <v>171</v>
      </c>
      <c r="C69" s="218"/>
      <c r="D69" s="186">
        <v>48</v>
      </c>
      <c r="E69" s="193">
        <v>2</v>
      </c>
      <c r="F69" s="194">
        <v>1</v>
      </c>
      <c r="G69" s="194">
        <f t="shared" si="1"/>
        <v>2</v>
      </c>
      <c r="H69" s="245" t="s">
        <v>172</v>
      </c>
      <c r="I69" s="201" t="s">
        <v>166</v>
      </c>
      <c r="J69" s="29">
        <v>25</v>
      </c>
      <c r="K69" s="12">
        <v>934</v>
      </c>
      <c r="L69" s="72"/>
      <c r="M69" s="168"/>
    </row>
    <row r="70" spans="1:13" x14ac:dyDescent="0.25">
      <c r="A70" s="33" t="s">
        <v>155</v>
      </c>
      <c r="B70" s="212" t="s">
        <v>173</v>
      </c>
      <c r="C70" s="213"/>
      <c r="D70" s="214">
        <v>11</v>
      </c>
      <c r="E70" s="193">
        <v>2</v>
      </c>
      <c r="F70" s="194">
        <v>1</v>
      </c>
      <c r="G70" s="194">
        <f t="shared" ref="G70:G101" si="3">E70*F70</f>
        <v>2</v>
      </c>
      <c r="H70" s="245" t="s">
        <v>174</v>
      </c>
      <c r="I70" s="201" t="s">
        <v>166</v>
      </c>
      <c r="J70" s="29">
        <v>10</v>
      </c>
      <c r="K70" s="73">
        <v>985</v>
      </c>
      <c r="L70" s="74"/>
      <c r="M70" s="168"/>
    </row>
    <row r="71" spans="1:13" x14ac:dyDescent="0.25">
      <c r="A71" s="33" t="s">
        <v>155</v>
      </c>
      <c r="B71" s="216" t="s">
        <v>175</v>
      </c>
      <c r="C71" s="217"/>
      <c r="D71" s="214">
        <v>92</v>
      </c>
      <c r="E71" s="193">
        <v>2</v>
      </c>
      <c r="F71" s="194">
        <v>2.0099999999999998</v>
      </c>
      <c r="G71" s="194">
        <f t="shared" si="3"/>
        <v>4.0199999999999996</v>
      </c>
      <c r="H71" s="245" t="s">
        <v>176</v>
      </c>
      <c r="I71" s="201" t="s">
        <v>166</v>
      </c>
      <c r="J71" s="29">
        <v>50</v>
      </c>
      <c r="K71" s="12">
        <v>125</v>
      </c>
      <c r="L71" s="72"/>
      <c r="M71" s="168"/>
    </row>
    <row r="72" spans="1:13" x14ac:dyDescent="0.25">
      <c r="A72" s="33" t="s">
        <v>155</v>
      </c>
      <c r="B72" s="212" t="s">
        <v>177</v>
      </c>
      <c r="C72" s="218"/>
      <c r="D72" s="186">
        <v>7</v>
      </c>
      <c r="E72" s="193">
        <v>1</v>
      </c>
      <c r="F72" s="194">
        <v>2.06</v>
      </c>
      <c r="G72" s="194">
        <f t="shared" si="3"/>
        <v>2.06</v>
      </c>
      <c r="H72" s="247" t="s">
        <v>178</v>
      </c>
      <c r="I72" s="201" t="s">
        <v>166</v>
      </c>
      <c r="J72" s="29">
        <v>50</v>
      </c>
      <c r="K72" s="12">
        <v>913</v>
      </c>
      <c r="L72" s="72"/>
      <c r="M72" s="168"/>
    </row>
    <row r="73" spans="1:13" x14ac:dyDescent="0.25">
      <c r="A73" s="33" t="s">
        <v>155</v>
      </c>
      <c r="B73" s="212" t="s">
        <v>179</v>
      </c>
      <c r="C73" s="191"/>
      <c r="D73" s="186">
        <v>4</v>
      </c>
      <c r="E73" s="193">
        <v>1</v>
      </c>
      <c r="F73" s="194">
        <v>2.74</v>
      </c>
      <c r="G73" s="194">
        <f t="shared" si="3"/>
        <v>2.74</v>
      </c>
      <c r="H73" s="247" t="s">
        <v>180</v>
      </c>
      <c r="I73" s="201" t="s">
        <v>166</v>
      </c>
      <c r="J73" s="29">
        <v>20</v>
      </c>
      <c r="K73" s="12">
        <v>916</v>
      </c>
      <c r="L73" s="72"/>
      <c r="M73" s="168"/>
    </row>
    <row r="74" spans="1:13" x14ac:dyDescent="0.25">
      <c r="A74" s="33" t="s">
        <v>155</v>
      </c>
      <c r="B74" s="216" t="s">
        <v>181</v>
      </c>
      <c r="C74" s="217"/>
      <c r="D74" s="186">
        <v>8</v>
      </c>
      <c r="E74" s="193">
        <v>1</v>
      </c>
      <c r="F74" s="194">
        <v>2.2599999999999998</v>
      </c>
      <c r="G74" s="194">
        <f t="shared" si="3"/>
        <v>2.2599999999999998</v>
      </c>
      <c r="H74" s="247" t="s">
        <v>182</v>
      </c>
      <c r="I74" s="201" t="s">
        <v>166</v>
      </c>
      <c r="J74" s="29">
        <v>25</v>
      </c>
      <c r="K74" s="73"/>
      <c r="L74" s="74">
        <v>7380</v>
      </c>
      <c r="M74" s="168"/>
    </row>
    <row r="75" spans="1:13" x14ac:dyDescent="0.25">
      <c r="A75" s="17" t="s">
        <v>155</v>
      </c>
      <c r="B75" s="186" t="s">
        <v>183</v>
      </c>
      <c r="C75" s="213"/>
      <c r="D75" s="186">
        <v>16</v>
      </c>
      <c r="E75" s="193">
        <v>1</v>
      </c>
      <c r="F75" s="194">
        <v>2.2599999999999998</v>
      </c>
      <c r="G75" s="194">
        <f t="shared" si="3"/>
        <v>2.2599999999999998</v>
      </c>
      <c r="H75" s="247" t="s">
        <v>182</v>
      </c>
      <c r="I75" s="201" t="s">
        <v>166</v>
      </c>
      <c r="J75" s="29">
        <v>25</v>
      </c>
      <c r="K75" s="12">
        <v>7991</v>
      </c>
      <c r="L75" s="72"/>
      <c r="M75" s="168"/>
    </row>
    <row r="76" spans="1:13" x14ac:dyDescent="0.25">
      <c r="A76" s="33" t="s">
        <v>155</v>
      </c>
      <c r="B76" s="216" t="s">
        <v>184</v>
      </c>
      <c r="C76" s="217"/>
      <c r="D76" s="186">
        <v>122</v>
      </c>
      <c r="E76" s="193">
        <v>13</v>
      </c>
      <c r="F76" s="194">
        <v>2</v>
      </c>
      <c r="G76" s="194">
        <f t="shared" si="3"/>
        <v>26</v>
      </c>
      <c r="H76" s="247" t="s">
        <v>185</v>
      </c>
      <c r="I76" s="201" t="s">
        <v>166</v>
      </c>
      <c r="J76" s="29">
        <v>10</v>
      </c>
      <c r="K76" s="12">
        <v>912</v>
      </c>
      <c r="L76" s="72"/>
      <c r="M76" s="168"/>
    </row>
    <row r="77" spans="1:13" x14ac:dyDescent="0.25">
      <c r="A77" s="17" t="s">
        <v>155</v>
      </c>
      <c r="B77" s="216" t="s">
        <v>186</v>
      </c>
      <c r="C77" s="217"/>
      <c r="D77" s="186">
        <v>42</v>
      </c>
      <c r="E77" s="193">
        <v>5</v>
      </c>
      <c r="F77" s="194">
        <v>2.83</v>
      </c>
      <c r="G77" s="194">
        <f t="shared" si="3"/>
        <v>14.15</v>
      </c>
      <c r="H77" s="247" t="s">
        <v>187</v>
      </c>
      <c r="I77" s="201" t="s">
        <v>166</v>
      </c>
      <c r="J77" s="29">
        <v>10</v>
      </c>
      <c r="K77" s="73">
        <v>912</v>
      </c>
      <c r="L77" s="74"/>
      <c r="M77" s="168"/>
    </row>
    <row r="78" spans="1:13" x14ac:dyDescent="0.25">
      <c r="A78" s="17" t="s">
        <v>155</v>
      </c>
      <c r="B78" s="212" t="s">
        <v>188</v>
      </c>
      <c r="C78" s="191"/>
      <c r="D78" s="186">
        <v>6</v>
      </c>
      <c r="E78" s="193">
        <v>1</v>
      </c>
      <c r="F78" s="194">
        <v>2.34</v>
      </c>
      <c r="G78" s="194">
        <f t="shared" si="3"/>
        <v>2.34</v>
      </c>
      <c r="H78" s="247" t="s">
        <v>189</v>
      </c>
      <c r="I78" s="201" t="s">
        <v>166</v>
      </c>
      <c r="J78" s="29">
        <v>25</v>
      </c>
      <c r="K78" s="12"/>
      <c r="L78" s="72"/>
      <c r="M78" s="168"/>
    </row>
    <row r="79" spans="1:13" x14ac:dyDescent="0.25">
      <c r="A79" s="17" t="s">
        <v>155</v>
      </c>
      <c r="B79" s="186" t="s">
        <v>190</v>
      </c>
      <c r="C79" s="191"/>
      <c r="D79" s="186">
        <v>20</v>
      </c>
      <c r="E79" s="193">
        <v>2</v>
      </c>
      <c r="F79" s="194">
        <v>2.91</v>
      </c>
      <c r="G79" s="194">
        <f t="shared" si="3"/>
        <v>5.82</v>
      </c>
      <c r="H79" s="247" t="s">
        <v>191</v>
      </c>
      <c r="I79" s="201" t="s">
        <v>166</v>
      </c>
      <c r="J79" s="29">
        <v>10</v>
      </c>
      <c r="K79" s="12">
        <v>912</v>
      </c>
      <c r="L79" s="72"/>
      <c r="M79" s="168"/>
    </row>
    <row r="80" spans="1:13" x14ac:dyDescent="0.25">
      <c r="A80" s="17" t="s">
        <v>155</v>
      </c>
      <c r="B80" s="186" t="s">
        <v>192</v>
      </c>
      <c r="C80" s="191"/>
      <c r="D80" s="186">
        <v>1</v>
      </c>
      <c r="E80" s="193">
        <v>1</v>
      </c>
      <c r="F80" s="194">
        <v>3.05</v>
      </c>
      <c r="G80" s="194">
        <f t="shared" si="3"/>
        <v>3.05</v>
      </c>
      <c r="H80" s="247" t="s">
        <v>193</v>
      </c>
      <c r="I80" s="201" t="s">
        <v>166</v>
      </c>
      <c r="J80" s="29">
        <v>25</v>
      </c>
      <c r="K80" s="12"/>
      <c r="L80" s="72"/>
      <c r="M80" s="168"/>
    </row>
    <row r="81" spans="1:13" ht="15.75" customHeight="1" x14ac:dyDescent="0.25">
      <c r="A81" s="17" t="s">
        <v>155</v>
      </c>
      <c r="B81" s="212" t="s">
        <v>194</v>
      </c>
      <c r="C81" s="213"/>
      <c r="D81" s="186">
        <v>11</v>
      </c>
      <c r="E81" s="193">
        <v>2</v>
      </c>
      <c r="F81" s="194">
        <v>3</v>
      </c>
      <c r="G81" s="194">
        <f t="shared" si="3"/>
        <v>6</v>
      </c>
      <c r="H81" s="247" t="s">
        <v>195</v>
      </c>
      <c r="I81" s="201" t="s">
        <v>166</v>
      </c>
      <c r="J81" s="29">
        <v>10</v>
      </c>
      <c r="K81" s="12">
        <v>912</v>
      </c>
      <c r="L81" s="72">
        <v>7380</v>
      </c>
      <c r="M81" s="168"/>
    </row>
    <row r="82" spans="1:13" x14ac:dyDescent="0.25">
      <c r="A82" s="33" t="s">
        <v>155</v>
      </c>
      <c r="B82" s="212" t="s">
        <v>196</v>
      </c>
      <c r="C82" s="218"/>
      <c r="D82" s="186">
        <v>6</v>
      </c>
      <c r="E82" s="193">
        <v>1</v>
      </c>
      <c r="F82" s="194">
        <v>1</v>
      </c>
      <c r="G82" s="194">
        <f t="shared" si="3"/>
        <v>1</v>
      </c>
      <c r="H82" s="245" t="s">
        <v>197</v>
      </c>
      <c r="I82" s="201" t="s">
        <v>166</v>
      </c>
      <c r="J82" s="29">
        <v>25</v>
      </c>
      <c r="K82" s="73">
        <v>934</v>
      </c>
      <c r="L82" s="74"/>
      <c r="M82" s="168"/>
    </row>
    <row r="83" spans="1:13" x14ac:dyDescent="0.25">
      <c r="A83" s="33" t="s">
        <v>155</v>
      </c>
      <c r="B83" s="212" t="s">
        <v>198</v>
      </c>
      <c r="C83" s="213"/>
      <c r="D83" s="186">
        <v>3</v>
      </c>
      <c r="E83" s="193">
        <v>2</v>
      </c>
      <c r="F83" s="194">
        <v>1</v>
      </c>
      <c r="G83" s="194">
        <f t="shared" si="3"/>
        <v>2</v>
      </c>
      <c r="H83" s="245" t="s">
        <v>199</v>
      </c>
      <c r="I83" s="201" t="s">
        <v>166</v>
      </c>
      <c r="J83" s="29">
        <v>10</v>
      </c>
      <c r="K83" s="12">
        <v>985</v>
      </c>
      <c r="L83" s="72">
        <v>10511</v>
      </c>
      <c r="M83" s="168"/>
    </row>
    <row r="84" spans="1:13" x14ac:dyDescent="0.25">
      <c r="A84" s="33" t="s">
        <v>155</v>
      </c>
      <c r="B84" s="212" t="s">
        <v>200</v>
      </c>
      <c r="C84" s="218"/>
      <c r="D84" s="186">
        <v>13</v>
      </c>
      <c r="E84" s="193">
        <v>1</v>
      </c>
      <c r="F84" s="194">
        <v>2.5</v>
      </c>
      <c r="G84" s="194">
        <f t="shared" si="3"/>
        <v>2.5</v>
      </c>
      <c r="H84" s="245" t="s">
        <v>201</v>
      </c>
      <c r="I84" s="201" t="s">
        <v>166</v>
      </c>
      <c r="J84" s="29">
        <v>50</v>
      </c>
      <c r="K84" s="73">
        <v>25</v>
      </c>
      <c r="L84" s="74"/>
      <c r="M84" s="168"/>
    </row>
    <row r="85" spans="1:13" x14ac:dyDescent="0.25">
      <c r="A85" s="17" t="s">
        <v>155</v>
      </c>
      <c r="B85" s="219" t="s">
        <v>202</v>
      </c>
      <c r="C85" s="191"/>
      <c r="D85" s="186">
        <v>1</v>
      </c>
      <c r="E85" s="193">
        <v>1</v>
      </c>
      <c r="F85" s="194">
        <v>2.2599999999999998</v>
      </c>
      <c r="G85" s="194">
        <f t="shared" si="3"/>
        <v>2.2599999999999998</v>
      </c>
      <c r="H85" s="247" t="s">
        <v>203</v>
      </c>
      <c r="I85" s="201" t="s">
        <v>166</v>
      </c>
      <c r="J85" s="29">
        <v>10</v>
      </c>
      <c r="K85" s="12"/>
      <c r="L85" s="72"/>
      <c r="M85" s="168"/>
    </row>
    <row r="86" spans="1:13" x14ac:dyDescent="0.25">
      <c r="A86" s="33" t="s">
        <v>155</v>
      </c>
      <c r="B86" s="235" t="s">
        <v>204</v>
      </c>
      <c r="C86" s="191"/>
      <c r="D86" s="186">
        <v>3</v>
      </c>
      <c r="E86" s="193">
        <v>1</v>
      </c>
      <c r="F86" s="194">
        <v>1.2</v>
      </c>
      <c r="G86" s="194">
        <f t="shared" si="3"/>
        <v>1.2</v>
      </c>
      <c r="H86" s="247" t="s">
        <v>205</v>
      </c>
      <c r="I86" s="201" t="s">
        <v>166</v>
      </c>
      <c r="J86" s="29">
        <v>20</v>
      </c>
      <c r="K86" s="12">
        <v>912</v>
      </c>
      <c r="L86" s="72"/>
      <c r="M86" s="168"/>
    </row>
    <row r="87" spans="1:13" x14ac:dyDescent="0.25">
      <c r="A87" s="17" t="s">
        <v>155</v>
      </c>
      <c r="B87" s="212" t="s">
        <v>206</v>
      </c>
      <c r="C87" s="213"/>
      <c r="D87" s="186">
        <v>6</v>
      </c>
      <c r="E87" s="193">
        <v>6</v>
      </c>
      <c r="F87" s="194">
        <v>1.21</v>
      </c>
      <c r="G87" s="194">
        <f t="shared" si="3"/>
        <v>7.26</v>
      </c>
      <c r="H87" s="247" t="s">
        <v>207</v>
      </c>
      <c r="I87" s="198" t="s">
        <v>166</v>
      </c>
      <c r="J87" s="29">
        <v>1</v>
      </c>
      <c r="K87" s="12"/>
      <c r="L87" s="72"/>
      <c r="M87" s="168"/>
    </row>
    <row r="88" spans="1:13" x14ac:dyDescent="0.25">
      <c r="A88" s="33" t="s">
        <v>155</v>
      </c>
      <c r="B88" s="212" t="s">
        <v>208</v>
      </c>
      <c r="C88" s="218"/>
      <c r="D88" s="186">
        <v>4</v>
      </c>
      <c r="E88" s="193">
        <v>1</v>
      </c>
      <c r="F88" s="194">
        <v>2.42</v>
      </c>
      <c r="G88" s="194">
        <f t="shared" si="3"/>
        <v>2.42</v>
      </c>
      <c r="H88" s="246" t="s">
        <v>209</v>
      </c>
      <c r="I88" s="201" t="s">
        <v>166</v>
      </c>
      <c r="J88" s="29">
        <v>10</v>
      </c>
      <c r="K88" s="73">
        <v>7991</v>
      </c>
      <c r="L88" s="74">
        <v>10642</v>
      </c>
      <c r="M88" s="168"/>
    </row>
    <row r="89" spans="1:13" x14ac:dyDescent="0.25">
      <c r="A89" s="33" t="s">
        <v>155</v>
      </c>
      <c r="B89" s="219" t="s">
        <v>210</v>
      </c>
      <c r="C89" s="191"/>
      <c r="D89" s="186">
        <v>3</v>
      </c>
      <c r="E89" s="193">
        <v>1</v>
      </c>
      <c r="F89" s="194">
        <v>2.5</v>
      </c>
      <c r="G89" s="194">
        <f t="shared" si="3"/>
        <v>2.5</v>
      </c>
      <c r="H89" s="246" t="s">
        <v>211</v>
      </c>
      <c r="I89" s="201" t="s">
        <v>166</v>
      </c>
      <c r="J89" s="29">
        <v>10</v>
      </c>
      <c r="K89" s="73">
        <v>7991</v>
      </c>
      <c r="L89" s="74"/>
      <c r="M89" s="168"/>
    </row>
    <row r="90" spans="1:13" x14ac:dyDescent="0.25">
      <c r="A90" s="33" t="s">
        <v>155</v>
      </c>
      <c r="B90" s="186" t="s">
        <v>212</v>
      </c>
      <c r="C90" s="191"/>
      <c r="D90" s="186">
        <v>2</v>
      </c>
      <c r="E90" s="193">
        <v>1</v>
      </c>
      <c r="F90" s="194">
        <v>2.5299999999999998</v>
      </c>
      <c r="G90" s="194">
        <f t="shared" si="3"/>
        <v>2.5299999999999998</v>
      </c>
      <c r="H90" s="246" t="s">
        <v>213</v>
      </c>
      <c r="I90" s="201" t="s">
        <v>166</v>
      </c>
      <c r="J90" s="29">
        <v>10</v>
      </c>
      <c r="K90" s="73">
        <v>933</v>
      </c>
      <c r="L90" s="74"/>
      <c r="M90" s="168"/>
    </row>
    <row r="91" spans="1:13" x14ac:dyDescent="0.25">
      <c r="A91" s="33" t="s">
        <v>155</v>
      </c>
      <c r="B91" s="248" t="s">
        <v>214</v>
      </c>
      <c r="C91" s="249"/>
      <c r="D91" s="186">
        <v>4</v>
      </c>
      <c r="E91" s="193">
        <v>1</v>
      </c>
      <c r="F91" s="194">
        <v>3.08</v>
      </c>
      <c r="G91" s="194">
        <f t="shared" si="3"/>
        <v>3.08</v>
      </c>
      <c r="H91" s="246" t="s">
        <v>215</v>
      </c>
      <c r="I91" s="201" t="s">
        <v>166</v>
      </c>
      <c r="J91" s="29">
        <v>10</v>
      </c>
      <c r="K91" s="12">
        <v>7991</v>
      </c>
      <c r="L91" s="72">
        <v>10642</v>
      </c>
      <c r="M91" s="168"/>
    </row>
    <row r="92" spans="1:13" x14ac:dyDescent="0.25">
      <c r="A92" s="33" t="s">
        <v>155</v>
      </c>
      <c r="B92" s="243" t="s">
        <v>216</v>
      </c>
      <c r="C92" s="218"/>
      <c r="D92" s="186">
        <v>4</v>
      </c>
      <c r="E92" s="193">
        <v>1</v>
      </c>
      <c r="F92" s="194">
        <v>5.61</v>
      </c>
      <c r="G92" s="194">
        <f t="shared" si="3"/>
        <v>5.61</v>
      </c>
      <c r="H92" s="246" t="s">
        <v>217</v>
      </c>
      <c r="I92" s="206" t="s">
        <v>166</v>
      </c>
      <c r="J92" s="29">
        <v>5</v>
      </c>
      <c r="K92" s="12"/>
      <c r="L92" s="72"/>
      <c r="M92" s="168"/>
    </row>
    <row r="93" spans="1:13" x14ac:dyDescent="0.25">
      <c r="A93" s="33" t="s">
        <v>155</v>
      </c>
      <c r="B93" s="216" t="s">
        <v>218</v>
      </c>
      <c r="C93" s="217"/>
      <c r="D93" s="186">
        <v>42</v>
      </c>
      <c r="E93" s="193">
        <v>2</v>
      </c>
      <c r="F93" s="194">
        <v>1</v>
      </c>
      <c r="G93" s="194">
        <f t="shared" si="3"/>
        <v>2</v>
      </c>
      <c r="H93" s="245" t="s">
        <v>219</v>
      </c>
      <c r="I93" s="201" t="s">
        <v>166</v>
      </c>
      <c r="J93" s="29">
        <v>25</v>
      </c>
      <c r="K93" s="73">
        <v>934</v>
      </c>
      <c r="L93" s="74"/>
      <c r="M93" s="168"/>
    </row>
    <row r="94" spans="1:13" x14ac:dyDescent="0.25">
      <c r="A94" s="33" t="s">
        <v>155</v>
      </c>
      <c r="B94" s="186" t="s">
        <v>220</v>
      </c>
      <c r="C94" s="218"/>
      <c r="D94" s="186">
        <v>14</v>
      </c>
      <c r="E94" s="193">
        <v>2</v>
      </c>
      <c r="F94" s="194">
        <v>1</v>
      </c>
      <c r="G94" s="194">
        <f t="shared" si="3"/>
        <v>2</v>
      </c>
      <c r="H94" s="245" t="s">
        <v>221</v>
      </c>
      <c r="I94" s="201" t="s">
        <v>166</v>
      </c>
      <c r="J94" s="29">
        <v>10</v>
      </c>
      <c r="K94" s="12">
        <v>985</v>
      </c>
      <c r="L94" s="72">
        <v>10511</v>
      </c>
      <c r="M94" s="168"/>
    </row>
    <row r="95" spans="1:13" x14ac:dyDescent="0.25">
      <c r="A95" s="33" t="s">
        <v>155</v>
      </c>
      <c r="B95" s="216" t="s">
        <v>222</v>
      </c>
      <c r="C95" s="217"/>
      <c r="D95" s="186">
        <v>185</v>
      </c>
      <c r="E95" s="193">
        <v>4</v>
      </c>
      <c r="F95" s="194">
        <v>2.67</v>
      </c>
      <c r="G95" s="194">
        <f t="shared" si="3"/>
        <v>10.68</v>
      </c>
      <c r="H95" s="245" t="s">
        <v>223</v>
      </c>
      <c r="I95" s="201" t="s">
        <v>166</v>
      </c>
      <c r="J95" s="29">
        <v>50</v>
      </c>
      <c r="K95" s="12">
        <v>125</v>
      </c>
      <c r="L95" s="72"/>
      <c r="M95" s="168"/>
    </row>
    <row r="96" spans="1:13" x14ac:dyDescent="0.25">
      <c r="A96" s="33" t="s">
        <v>155</v>
      </c>
      <c r="B96" s="216" t="s">
        <v>224</v>
      </c>
      <c r="C96" s="217"/>
      <c r="D96" s="186">
        <v>170</v>
      </c>
      <c r="E96" s="193">
        <v>17</v>
      </c>
      <c r="F96" s="194">
        <v>2.42</v>
      </c>
      <c r="G96" s="194">
        <f t="shared" si="3"/>
        <v>41.14</v>
      </c>
      <c r="H96" s="246" t="s">
        <v>225</v>
      </c>
      <c r="I96" s="201" t="s">
        <v>166</v>
      </c>
      <c r="J96" s="29">
        <v>10</v>
      </c>
      <c r="K96" s="12"/>
      <c r="L96" s="72">
        <v>7380</v>
      </c>
      <c r="M96" s="168"/>
    </row>
    <row r="97" spans="1:13" x14ac:dyDescent="0.25">
      <c r="A97" s="33" t="s">
        <v>155</v>
      </c>
      <c r="B97" s="216" t="s">
        <v>226</v>
      </c>
      <c r="C97" s="191"/>
      <c r="D97" s="186">
        <v>3</v>
      </c>
      <c r="E97" s="193">
        <v>1</v>
      </c>
      <c r="F97" s="194">
        <v>2.59</v>
      </c>
      <c r="G97" s="194">
        <f t="shared" si="3"/>
        <v>2.59</v>
      </c>
      <c r="H97" s="246" t="s">
        <v>227</v>
      </c>
      <c r="I97" s="201" t="s">
        <v>166</v>
      </c>
      <c r="J97" s="29">
        <v>10</v>
      </c>
      <c r="K97" s="73"/>
      <c r="L97" s="74">
        <v>7380</v>
      </c>
      <c r="M97" s="168"/>
    </row>
    <row r="98" spans="1:13" x14ac:dyDescent="0.25">
      <c r="A98" s="33" t="s">
        <v>155</v>
      </c>
      <c r="B98" s="216" t="s">
        <v>228</v>
      </c>
      <c r="C98" s="217"/>
      <c r="D98" s="186">
        <v>6</v>
      </c>
      <c r="E98" s="193">
        <v>1</v>
      </c>
      <c r="F98" s="194">
        <v>2.75</v>
      </c>
      <c r="G98" s="194">
        <f t="shared" si="3"/>
        <v>2.75</v>
      </c>
      <c r="H98" s="246" t="s">
        <v>229</v>
      </c>
      <c r="I98" s="201" t="s">
        <v>166</v>
      </c>
      <c r="J98" s="29">
        <v>10</v>
      </c>
      <c r="K98" s="73">
        <v>912</v>
      </c>
      <c r="L98" s="74">
        <v>7380</v>
      </c>
      <c r="M98" s="168"/>
    </row>
    <row r="99" spans="1:13" x14ac:dyDescent="0.25">
      <c r="A99" s="33" t="s">
        <v>155</v>
      </c>
      <c r="B99" s="190" t="s">
        <v>230</v>
      </c>
      <c r="C99" s="191"/>
      <c r="D99" s="222">
        <v>3</v>
      </c>
      <c r="E99" s="193">
        <v>1</v>
      </c>
      <c r="F99" s="194">
        <v>2.61</v>
      </c>
      <c r="G99" s="194">
        <f t="shared" si="3"/>
        <v>2.61</v>
      </c>
      <c r="H99" s="246" t="s">
        <v>229</v>
      </c>
      <c r="I99" s="201" t="s">
        <v>166</v>
      </c>
      <c r="J99" s="29">
        <v>10</v>
      </c>
      <c r="K99" s="12">
        <v>933</v>
      </c>
      <c r="L99" s="72"/>
      <c r="M99" s="168"/>
    </row>
    <row r="100" spans="1:13" x14ac:dyDescent="0.25">
      <c r="A100" s="33" t="s">
        <v>155</v>
      </c>
      <c r="B100" s="186" t="s">
        <v>231</v>
      </c>
      <c r="C100" s="191"/>
      <c r="D100" s="222">
        <v>4</v>
      </c>
      <c r="E100" s="193">
        <v>1</v>
      </c>
      <c r="F100" s="194">
        <v>2.92</v>
      </c>
      <c r="G100" s="194">
        <f t="shared" si="3"/>
        <v>2.92</v>
      </c>
      <c r="H100" s="246" t="s">
        <v>232</v>
      </c>
      <c r="I100" s="201" t="s">
        <v>166</v>
      </c>
      <c r="J100" s="29">
        <v>10</v>
      </c>
      <c r="K100" s="12"/>
      <c r="L100" s="72">
        <v>7380</v>
      </c>
      <c r="M100" s="168"/>
    </row>
    <row r="101" spans="1:13" x14ac:dyDescent="0.25">
      <c r="A101" s="33" t="s">
        <v>155</v>
      </c>
      <c r="B101" s="190" t="s">
        <v>233</v>
      </c>
      <c r="C101" s="221"/>
      <c r="D101" s="222">
        <v>2</v>
      </c>
      <c r="E101" s="193">
        <v>1</v>
      </c>
      <c r="F101" s="194">
        <v>2.92</v>
      </c>
      <c r="G101" s="194">
        <f t="shared" si="3"/>
        <v>2.92</v>
      </c>
      <c r="H101" s="246" t="s">
        <v>232</v>
      </c>
      <c r="I101" s="201" t="s">
        <v>166</v>
      </c>
      <c r="J101" s="29">
        <v>10</v>
      </c>
      <c r="K101" s="12">
        <v>933</v>
      </c>
      <c r="L101" s="72"/>
      <c r="M101" s="168"/>
    </row>
    <row r="102" spans="1:13" x14ac:dyDescent="0.25">
      <c r="A102" s="33" t="s">
        <v>155</v>
      </c>
      <c r="B102" s="222" t="s">
        <v>234</v>
      </c>
      <c r="C102" s="221"/>
      <c r="D102" s="222">
        <v>44</v>
      </c>
      <c r="E102" s="193">
        <v>5</v>
      </c>
      <c r="F102" s="194">
        <v>3.21</v>
      </c>
      <c r="G102" s="194">
        <f t="shared" ref="G102:G133" si="4">E102*F102</f>
        <v>16.05</v>
      </c>
      <c r="H102" s="246" t="s">
        <v>235</v>
      </c>
      <c r="I102" s="201" t="s">
        <v>166</v>
      </c>
      <c r="J102" s="29">
        <v>10</v>
      </c>
      <c r="K102" s="12">
        <v>933</v>
      </c>
      <c r="L102" s="72"/>
      <c r="M102" s="168"/>
    </row>
    <row r="103" spans="1:13" x14ac:dyDescent="0.25">
      <c r="A103" s="33" t="s">
        <v>155</v>
      </c>
      <c r="B103" s="222" t="s">
        <v>236</v>
      </c>
      <c r="C103" s="221"/>
      <c r="D103" s="222">
        <v>17</v>
      </c>
      <c r="E103" s="193">
        <v>2</v>
      </c>
      <c r="F103" s="194">
        <v>3.57</v>
      </c>
      <c r="G103" s="194">
        <f t="shared" si="4"/>
        <v>7.14</v>
      </c>
      <c r="H103" s="246" t="s">
        <v>237</v>
      </c>
      <c r="I103" s="201" t="s">
        <v>166</v>
      </c>
      <c r="J103" s="29">
        <v>10</v>
      </c>
      <c r="K103" s="12">
        <v>933</v>
      </c>
      <c r="L103" s="72"/>
      <c r="M103" s="168"/>
    </row>
    <row r="104" spans="1:13" x14ac:dyDescent="0.25">
      <c r="A104" s="17" t="s">
        <v>155</v>
      </c>
      <c r="B104" s="248" t="s">
        <v>238</v>
      </c>
      <c r="C104" s="191"/>
      <c r="D104" s="186">
        <v>24</v>
      </c>
      <c r="E104" s="193">
        <v>3</v>
      </c>
      <c r="F104" s="194">
        <v>2.59</v>
      </c>
      <c r="G104" s="194">
        <f t="shared" si="4"/>
        <v>7.77</v>
      </c>
      <c r="H104" s="246" t="s">
        <v>239</v>
      </c>
      <c r="I104" s="201" t="s">
        <v>166</v>
      </c>
      <c r="J104" s="29">
        <v>10</v>
      </c>
      <c r="K104" s="73"/>
      <c r="L104" s="74">
        <v>7380</v>
      </c>
      <c r="M104" s="168"/>
    </row>
    <row r="105" spans="1:13" x14ac:dyDescent="0.25">
      <c r="A105" s="182" t="s">
        <v>240</v>
      </c>
      <c r="B105" s="250" t="s">
        <v>865</v>
      </c>
      <c r="C105" s="251"/>
      <c r="D105" s="252">
        <v>2</v>
      </c>
      <c r="E105" s="253">
        <v>1</v>
      </c>
      <c r="F105" s="254">
        <v>7</v>
      </c>
      <c r="G105" s="254">
        <f t="shared" si="4"/>
        <v>7</v>
      </c>
      <c r="H105" s="246" t="s">
        <v>866</v>
      </c>
      <c r="I105" s="207" t="s">
        <v>241</v>
      </c>
      <c r="J105" s="29">
        <v>1</v>
      </c>
      <c r="K105" s="183"/>
      <c r="L105" s="184"/>
      <c r="M105" s="185"/>
    </row>
    <row r="106" spans="1:13" x14ac:dyDescent="0.25">
      <c r="A106" s="182" t="s">
        <v>240</v>
      </c>
      <c r="B106" s="250" t="s">
        <v>867</v>
      </c>
      <c r="C106" s="251"/>
      <c r="D106" s="252">
        <v>3</v>
      </c>
      <c r="E106" s="253">
        <v>1</v>
      </c>
      <c r="F106" s="254">
        <v>6</v>
      </c>
      <c r="G106" s="254">
        <f t="shared" ref="G106" si="5">E106*F106</f>
        <v>6</v>
      </c>
      <c r="H106" s="246" t="s">
        <v>868</v>
      </c>
      <c r="I106" s="207" t="s">
        <v>241</v>
      </c>
      <c r="J106" s="29"/>
      <c r="K106" s="183"/>
      <c r="L106" s="184"/>
      <c r="M106" s="185"/>
    </row>
    <row r="107" spans="1:13" x14ac:dyDescent="0.25">
      <c r="A107" s="178" t="s">
        <v>240</v>
      </c>
      <c r="B107" s="255" t="s">
        <v>242</v>
      </c>
      <c r="C107" s="256"/>
      <c r="D107" s="257">
        <v>3</v>
      </c>
      <c r="E107" s="258">
        <v>3</v>
      </c>
      <c r="F107" s="259">
        <v>16</v>
      </c>
      <c r="G107" s="259">
        <f t="shared" si="4"/>
        <v>48</v>
      </c>
      <c r="H107" s="246" t="s">
        <v>243</v>
      </c>
      <c r="I107" s="208" t="s">
        <v>241</v>
      </c>
      <c r="J107" s="29">
        <v>1</v>
      </c>
      <c r="K107" s="179"/>
      <c r="L107" s="180"/>
      <c r="M107" s="181"/>
    </row>
    <row r="108" spans="1:13" x14ac:dyDescent="0.25">
      <c r="A108" s="182" t="s">
        <v>240</v>
      </c>
      <c r="B108" s="260" t="s">
        <v>244</v>
      </c>
      <c r="C108" s="261"/>
      <c r="D108" s="252">
        <v>6</v>
      </c>
      <c r="E108" s="253">
        <v>1</v>
      </c>
      <c r="F108" s="254">
        <v>20</v>
      </c>
      <c r="G108" s="254">
        <f t="shared" si="4"/>
        <v>20</v>
      </c>
      <c r="H108" s="246" t="s">
        <v>245</v>
      </c>
      <c r="I108" s="207" t="s">
        <v>241</v>
      </c>
      <c r="J108" s="29">
        <v>10</v>
      </c>
      <c r="K108" s="183"/>
      <c r="L108" s="184"/>
      <c r="M108" s="185"/>
    </row>
    <row r="109" spans="1:13" x14ac:dyDescent="0.25">
      <c r="A109" s="17" t="s">
        <v>240</v>
      </c>
      <c r="B109" s="262" t="s">
        <v>246</v>
      </c>
      <c r="C109" s="191"/>
      <c r="D109" s="222">
        <v>10</v>
      </c>
      <c r="E109" s="193">
        <v>1</v>
      </c>
      <c r="F109" s="194">
        <v>40</v>
      </c>
      <c r="G109" s="194">
        <f t="shared" si="4"/>
        <v>40</v>
      </c>
      <c r="H109" s="246" t="s">
        <v>864</v>
      </c>
      <c r="I109" s="198" t="s">
        <v>241</v>
      </c>
      <c r="J109" s="29">
        <v>5</v>
      </c>
      <c r="K109" s="12"/>
      <c r="L109" s="72"/>
      <c r="M109" s="168"/>
    </row>
    <row r="110" spans="1:13" x14ac:dyDescent="0.25">
      <c r="A110" s="17" t="s">
        <v>247</v>
      </c>
      <c r="B110" s="212" t="s">
        <v>248</v>
      </c>
      <c r="C110" s="213" t="s">
        <v>249</v>
      </c>
      <c r="D110" s="214">
        <v>36</v>
      </c>
      <c r="E110" s="193">
        <v>1</v>
      </c>
      <c r="F110" s="194">
        <v>60</v>
      </c>
      <c r="G110" s="194">
        <f t="shared" si="4"/>
        <v>60</v>
      </c>
      <c r="H110" s="247" t="s">
        <v>250</v>
      </c>
      <c r="I110" s="198" t="s">
        <v>251</v>
      </c>
      <c r="J110" s="29"/>
      <c r="K110" s="12"/>
      <c r="L110" s="72"/>
      <c r="M110" s="168"/>
    </row>
    <row r="111" spans="1:13" thickBot="1" x14ac:dyDescent="0.3">
      <c r="A111" s="17" t="s">
        <v>247</v>
      </c>
      <c r="B111" s="212" t="s">
        <v>252</v>
      </c>
      <c r="C111" s="239"/>
      <c r="D111" s="214">
        <v>5</v>
      </c>
      <c r="E111" s="193">
        <v>1</v>
      </c>
      <c r="F111" s="194">
        <v>9</v>
      </c>
      <c r="G111" s="194">
        <f t="shared" si="4"/>
        <v>9</v>
      </c>
      <c r="H111" s="245" t="s">
        <v>253</v>
      </c>
      <c r="I111" s="198" t="s">
        <v>254</v>
      </c>
      <c r="J111" s="29">
        <v>10</v>
      </c>
      <c r="K111" s="75"/>
      <c r="L111" s="72"/>
      <c r="M111" s="168"/>
    </row>
    <row r="112" spans="1:13" thickBot="1" x14ac:dyDescent="0.3">
      <c r="A112" s="17" t="s">
        <v>247</v>
      </c>
      <c r="B112" s="186" t="s">
        <v>255</v>
      </c>
      <c r="C112" s="218"/>
      <c r="D112" s="214">
        <v>6</v>
      </c>
      <c r="E112" s="193">
        <v>1</v>
      </c>
      <c r="F112" s="194">
        <v>10.23</v>
      </c>
      <c r="G112" s="194">
        <f t="shared" si="4"/>
        <v>10.23</v>
      </c>
      <c r="H112" s="245" t="s">
        <v>256</v>
      </c>
      <c r="I112" s="196" t="s">
        <v>257</v>
      </c>
      <c r="J112" s="29">
        <v>6</v>
      </c>
      <c r="K112" s="75"/>
      <c r="L112" s="72"/>
      <c r="M112" s="168"/>
    </row>
    <row r="113" spans="1:13" thickBot="1" x14ac:dyDescent="0.3">
      <c r="A113" s="17" t="s">
        <v>247</v>
      </c>
      <c r="B113" s="186" t="s">
        <v>258</v>
      </c>
      <c r="C113" s="218"/>
      <c r="D113" s="214">
        <v>6</v>
      </c>
      <c r="E113" s="193">
        <v>2</v>
      </c>
      <c r="F113" s="194">
        <v>2.04</v>
      </c>
      <c r="G113" s="194">
        <f t="shared" si="4"/>
        <v>4.08</v>
      </c>
      <c r="H113" s="247" t="s">
        <v>259</v>
      </c>
      <c r="I113" s="198" t="s">
        <v>166</v>
      </c>
      <c r="J113" s="29">
        <v>5</v>
      </c>
      <c r="K113" s="12"/>
      <c r="L113" s="72"/>
      <c r="M113" s="168"/>
    </row>
    <row r="114" spans="1:13" thickBot="1" x14ac:dyDescent="0.3">
      <c r="A114" s="33" t="s">
        <v>260</v>
      </c>
      <c r="B114" s="263" t="s">
        <v>261</v>
      </c>
      <c r="C114" s="264"/>
      <c r="D114" s="265">
        <v>3</v>
      </c>
      <c r="E114" s="193">
        <v>1</v>
      </c>
      <c r="F114" s="194">
        <v>9.42</v>
      </c>
      <c r="G114" s="194">
        <f t="shared" si="4"/>
        <v>9.42</v>
      </c>
      <c r="H114" s="215" t="s">
        <v>262</v>
      </c>
      <c r="I114" s="198" t="s">
        <v>263</v>
      </c>
      <c r="J114" s="29">
        <v>5</v>
      </c>
      <c r="K114" s="12"/>
      <c r="L114" s="72"/>
      <c r="M114" s="168"/>
    </row>
    <row r="115" spans="1:13" thickBot="1" x14ac:dyDescent="0.3">
      <c r="A115" s="33" t="s">
        <v>260</v>
      </c>
      <c r="B115" s="192" t="s">
        <v>264</v>
      </c>
      <c r="C115" s="239"/>
      <c r="D115" s="224">
        <v>1</v>
      </c>
      <c r="E115" s="193">
        <v>1</v>
      </c>
      <c r="F115" s="194">
        <v>12.69</v>
      </c>
      <c r="G115" s="194">
        <f t="shared" si="4"/>
        <v>12.69</v>
      </c>
      <c r="H115" s="245" t="s">
        <v>265</v>
      </c>
      <c r="I115" s="196" t="s">
        <v>266</v>
      </c>
      <c r="J115" s="29">
        <v>1</v>
      </c>
      <c r="K115" s="12"/>
      <c r="L115" s="72"/>
      <c r="M115" s="168"/>
    </row>
    <row r="116" spans="1:13" thickBot="1" x14ac:dyDescent="0.3">
      <c r="A116" s="33" t="s">
        <v>260</v>
      </c>
      <c r="B116" s="263" t="s">
        <v>267</v>
      </c>
      <c r="C116" s="264"/>
      <c r="D116" s="265">
        <v>6</v>
      </c>
      <c r="E116" s="193">
        <v>6</v>
      </c>
      <c r="F116" s="194">
        <v>2.23</v>
      </c>
      <c r="G116" s="194">
        <f t="shared" si="4"/>
        <v>13.379999999999999</v>
      </c>
      <c r="H116" s="245" t="s">
        <v>268</v>
      </c>
      <c r="I116" s="196" t="s">
        <v>269</v>
      </c>
      <c r="J116" s="29">
        <v>1</v>
      </c>
      <c r="K116" s="12"/>
      <c r="L116" s="72"/>
      <c r="M116" s="168"/>
    </row>
    <row r="117" spans="1:13" thickBot="1" x14ac:dyDescent="0.3">
      <c r="A117" s="17" t="s">
        <v>260</v>
      </c>
      <c r="B117" s="188" t="s">
        <v>270</v>
      </c>
      <c r="C117" s="266"/>
      <c r="D117" s="265">
        <v>1</v>
      </c>
      <c r="E117" s="193">
        <v>1</v>
      </c>
      <c r="F117" s="194">
        <v>30.61</v>
      </c>
      <c r="G117" s="194">
        <f t="shared" si="4"/>
        <v>30.61</v>
      </c>
      <c r="H117" s="215" t="s">
        <v>271</v>
      </c>
      <c r="I117" s="198" t="s">
        <v>272</v>
      </c>
      <c r="J117" s="29">
        <v>1</v>
      </c>
      <c r="K117" s="12"/>
      <c r="L117" s="72"/>
      <c r="M117" s="168"/>
    </row>
    <row r="118" spans="1:13" thickBot="1" x14ac:dyDescent="0.3">
      <c r="A118" s="17" t="s">
        <v>260</v>
      </c>
      <c r="B118" s="188" t="s">
        <v>273</v>
      </c>
      <c r="C118" s="266"/>
      <c r="D118" s="265">
        <v>1</v>
      </c>
      <c r="E118" s="193">
        <v>1</v>
      </c>
      <c r="F118" s="194">
        <v>13.87</v>
      </c>
      <c r="G118" s="194">
        <f t="shared" si="4"/>
        <v>13.87</v>
      </c>
      <c r="H118" s="215" t="s">
        <v>274</v>
      </c>
      <c r="I118" s="198" t="s">
        <v>275</v>
      </c>
      <c r="J118" s="29">
        <v>1</v>
      </c>
      <c r="K118" s="12"/>
      <c r="L118" s="72"/>
      <c r="M118" s="168"/>
    </row>
    <row r="119" spans="1:13" thickBot="1" x14ac:dyDescent="0.3">
      <c r="A119" s="33" t="s">
        <v>260</v>
      </c>
      <c r="B119" s="263" t="s">
        <v>276</v>
      </c>
      <c r="C119" s="264"/>
      <c r="D119" s="265">
        <v>1</v>
      </c>
      <c r="E119" s="193">
        <v>1</v>
      </c>
      <c r="F119" s="194">
        <v>44</v>
      </c>
      <c r="G119" s="194">
        <f t="shared" si="4"/>
        <v>44</v>
      </c>
      <c r="H119" s="215" t="s">
        <v>277</v>
      </c>
      <c r="I119" s="198" t="s">
        <v>278</v>
      </c>
      <c r="J119" s="29">
        <v>1</v>
      </c>
      <c r="K119" s="12"/>
      <c r="L119" s="72"/>
      <c r="M119" s="168"/>
    </row>
    <row r="120" spans="1:13" thickBot="1" x14ac:dyDescent="0.3">
      <c r="A120" s="33" t="s">
        <v>260</v>
      </c>
      <c r="B120" s="188" t="s">
        <v>279</v>
      </c>
      <c r="C120" s="266"/>
      <c r="D120" s="265">
        <v>1</v>
      </c>
      <c r="E120" s="193">
        <v>1</v>
      </c>
      <c r="F120" s="194">
        <v>30</v>
      </c>
      <c r="G120" s="194">
        <f t="shared" si="4"/>
        <v>30</v>
      </c>
      <c r="H120" s="215" t="s">
        <v>280</v>
      </c>
      <c r="I120" s="198" t="s">
        <v>278</v>
      </c>
      <c r="J120" s="29">
        <v>1</v>
      </c>
      <c r="K120" s="12"/>
      <c r="L120" s="72"/>
      <c r="M120" s="168"/>
    </row>
    <row r="121" spans="1:13" thickBot="1" x14ac:dyDescent="0.3">
      <c r="A121" s="33" t="s">
        <v>260</v>
      </c>
      <c r="B121" s="223" t="s">
        <v>281</v>
      </c>
      <c r="C121" s="191"/>
      <c r="D121" s="267">
        <v>2</v>
      </c>
      <c r="E121" s="193">
        <v>1</v>
      </c>
      <c r="F121" s="194">
        <v>3.49</v>
      </c>
      <c r="G121" s="194">
        <f t="shared" si="4"/>
        <v>3.49</v>
      </c>
      <c r="H121" s="245" t="s">
        <v>282</v>
      </c>
      <c r="I121" s="198" t="s">
        <v>283</v>
      </c>
      <c r="J121" s="29">
        <v>5</v>
      </c>
      <c r="K121" s="12"/>
      <c r="L121" s="72"/>
      <c r="M121" s="168"/>
    </row>
    <row r="122" spans="1:13" thickBot="1" x14ac:dyDescent="0.3">
      <c r="A122" s="33" t="s">
        <v>284</v>
      </c>
      <c r="B122" s="268" t="s">
        <v>285</v>
      </c>
      <c r="C122" s="269">
        <v>230</v>
      </c>
      <c r="D122" s="270">
        <v>4</v>
      </c>
      <c r="E122" s="193">
        <v>2</v>
      </c>
      <c r="F122" s="194">
        <v>4</v>
      </c>
      <c r="G122" s="194">
        <f t="shared" si="4"/>
        <v>8</v>
      </c>
      <c r="H122" s="247" t="s">
        <v>286</v>
      </c>
      <c r="I122" s="199" t="s">
        <v>287</v>
      </c>
      <c r="J122" s="29">
        <v>1</v>
      </c>
      <c r="K122" s="12"/>
      <c r="L122" s="72"/>
      <c r="M122" s="168"/>
    </row>
    <row r="123" spans="1:13" thickBot="1" x14ac:dyDescent="0.3">
      <c r="A123" s="33" t="s">
        <v>284</v>
      </c>
      <c r="B123" s="190" t="s">
        <v>288</v>
      </c>
      <c r="C123" s="221">
        <v>410</v>
      </c>
      <c r="D123" s="222">
        <v>1</v>
      </c>
      <c r="E123" s="193">
        <v>1</v>
      </c>
      <c r="F123" s="194">
        <v>4.07</v>
      </c>
      <c r="G123" s="194">
        <f t="shared" si="4"/>
        <v>4.07</v>
      </c>
      <c r="H123" s="247" t="s">
        <v>289</v>
      </c>
      <c r="I123" s="199" t="s">
        <v>287</v>
      </c>
      <c r="J123" s="29">
        <v>1</v>
      </c>
      <c r="K123" s="12"/>
      <c r="L123" s="72"/>
      <c r="M123" s="168"/>
    </row>
    <row r="124" spans="1:13" s="14" customFormat="1" ht="15.75" thickBot="1" x14ac:dyDescent="0.3">
      <c r="A124" s="17" t="s">
        <v>284</v>
      </c>
      <c r="B124" s="187" t="s">
        <v>290</v>
      </c>
      <c r="C124" s="229" t="s">
        <v>291</v>
      </c>
      <c r="D124" s="230">
        <v>2</v>
      </c>
      <c r="E124" s="193">
        <v>2</v>
      </c>
      <c r="F124" s="194">
        <v>9.7200000000000006</v>
      </c>
      <c r="G124" s="194">
        <f t="shared" si="4"/>
        <v>19.440000000000001</v>
      </c>
      <c r="H124" s="215" t="s">
        <v>292</v>
      </c>
      <c r="I124" s="199" t="s">
        <v>287</v>
      </c>
      <c r="J124" s="29">
        <v>1</v>
      </c>
      <c r="K124" s="12"/>
      <c r="L124" s="72"/>
      <c r="M124" s="169"/>
    </row>
    <row r="125" spans="1:13" s="14" customFormat="1" ht="15.75" thickBot="1" x14ac:dyDescent="0.3">
      <c r="A125" s="33" t="s">
        <v>284</v>
      </c>
      <c r="B125" s="186" t="s">
        <v>293</v>
      </c>
      <c r="C125" s="191"/>
      <c r="D125" s="271">
        <v>2</v>
      </c>
      <c r="E125" s="193">
        <v>1</v>
      </c>
      <c r="F125" s="194">
        <v>14.96</v>
      </c>
      <c r="G125" s="194">
        <f t="shared" si="4"/>
        <v>14.96</v>
      </c>
      <c r="H125" s="247" t="s">
        <v>294</v>
      </c>
      <c r="I125" s="198" t="s">
        <v>158</v>
      </c>
      <c r="J125" s="29">
        <v>10</v>
      </c>
      <c r="K125" s="12"/>
      <c r="L125" s="72"/>
      <c r="M125" s="169"/>
    </row>
    <row r="126" spans="1:13" s="14" customFormat="1" ht="15.75" thickBot="1" x14ac:dyDescent="0.3">
      <c r="A126" s="17" t="s">
        <v>284</v>
      </c>
      <c r="B126" s="212" t="s">
        <v>295</v>
      </c>
      <c r="C126" s="272">
        <v>420</v>
      </c>
      <c r="D126" s="186">
        <v>1</v>
      </c>
      <c r="E126" s="193">
        <v>1</v>
      </c>
      <c r="F126" s="194">
        <v>12</v>
      </c>
      <c r="G126" s="194">
        <f t="shared" si="4"/>
        <v>12</v>
      </c>
      <c r="H126" s="247" t="s">
        <v>296</v>
      </c>
      <c r="I126" s="198" t="s">
        <v>297</v>
      </c>
      <c r="J126" s="29">
        <v>1</v>
      </c>
      <c r="K126" s="12"/>
      <c r="L126" s="72"/>
      <c r="M126" s="169"/>
    </row>
    <row r="127" spans="1:13" s="14" customFormat="1" ht="15.75" thickBot="1" x14ac:dyDescent="0.3">
      <c r="A127" s="17" t="s">
        <v>284</v>
      </c>
      <c r="B127" s="212" t="s">
        <v>298</v>
      </c>
      <c r="C127" s="272">
        <v>368</v>
      </c>
      <c r="D127" s="186">
        <v>1</v>
      </c>
      <c r="E127" s="193">
        <v>1</v>
      </c>
      <c r="F127" s="194">
        <v>11</v>
      </c>
      <c r="G127" s="194">
        <f t="shared" si="4"/>
        <v>11</v>
      </c>
      <c r="H127" s="247" t="s">
        <v>299</v>
      </c>
      <c r="I127" s="198" t="s">
        <v>297</v>
      </c>
      <c r="J127" s="29">
        <v>1</v>
      </c>
      <c r="K127" s="12"/>
      <c r="L127" s="72"/>
      <c r="M127" s="169"/>
    </row>
    <row r="128" spans="1:13" s="14" customFormat="1" ht="15.75" thickBot="1" x14ac:dyDescent="0.3">
      <c r="A128" s="17" t="s">
        <v>284</v>
      </c>
      <c r="B128" s="212" t="s">
        <v>300</v>
      </c>
      <c r="C128" s="272">
        <v>172</v>
      </c>
      <c r="D128" s="186">
        <v>1</v>
      </c>
      <c r="E128" s="193">
        <v>1</v>
      </c>
      <c r="F128" s="194">
        <v>9</v>
      </c>
      <c r="G128" s="194">
        <f t="shared" si="4"/>
        <v>9</v>
      </c>
      <c r="H128" s="247" t="s">
        <v>301</v>
      </c>
      <c r="I128" s="198" t="s">
        <v>297</v>
      </c>
      <c r="J128" s="29">
        <v>1</v>
      </c>
      <c r="K128" s="12"/>
      <c r="L128" s="72"/>
      <c r="M128" s="169"/>
    </row>
    <row r="129" spans="1:13" s="14" customFormat="1" ht="15.75" thickBot="1" x14ac:dyDescent="0.3">
      <c r="A129" s="17" t="s">
        <v>284</v>
      </c>
      <c r="B129" s="212" t="s">
        <v>302</v>
      </c>
      <c r="C129" s="272">
        <v>420</v>
      </c>
      <c r="D129" s="186">
        <v>4</v>
      </c>
      <c r="E129" s="193">
        <v>4</v>
      </c>
      <c r="F129" s="194">
        <v>15</v>
      </c>
      <c r="G129" s="194">
        <f t="shared" si="4"/>
        <v>60</v>
      </c>
      <c r="H129" s="247" t="s">
        <v>303</v>
      </c>
      <c r="I129" s="198" t="s">
        <v>297</v>
      </c>
      <c r="J129" s="29">
        <v>1</v>
      </c>
      <c r="K129" s="12"/>
      <c r="L129" s="72"/>
      <c r="M129" s="169"/>
    </row>
    <row r="130" spans="1:13" s="14" customFormat="1" ht="15.75" thickBot="1" x14ac:dyDescent="0.3">
      <c r="A130" s="17" t="s">
        <v>284</v>
      </c>
      <c r="B130" s="212" t="s">
        <v>304</v>
      </c>
      <c r="C130" s="272">
        <v>480</v>
      </c>
      <c r="D130" s="186">
        <v>4</v>
      </c>
      <c r="E130" s="193">
        <v>4</v>
      </c>
      <c r="F130" s="194">
        <v>16</v>
      </c>
      <c r="G130" s="194">
        <f t="shared" si="4"/>
        <v>64</v>
      </c>
      <c r="H130" s="247" t="s">
        <v>305</v>
      </c>
      <c r="I130" s="198" t="s">
        <v>297</v>
      </c>
      <c r="J130" s="29">
        <v>1</v>
      </c>
      <c r="K130" s="12"/>
      <c r="L130" s="72"/>
      <c r="M130" s="169"/>
    </row>
    <row r="131" spans="1:13" s="14" customFormat="1" ht="15.75" thickBot="1" x14ac:dyDescent="0.3">
      <c r="A131" s="17" t="s">
        <v>284</v>
      </c>
      <c r="B131" s="212" t="s">
        <v>306</v>
      </c>
      <c r="C131" s="272">
        <v>750</v>
      </c>
      <c r="D131" s="186">
        <v>4</v>
      </c>
      <c r="E131" s="193">
        <v>4</v>
      </c>
      <c r="F131" s="194">
        <v>40</v>
      </c>
      <c r="G131" s="194">
        <f t="shared" si="4"/>
        <v>160</v>
      </c>
      <c r="H131" s="247" t="s">
        <v>307</v>
      </c>
      <c r="I131" s="198" t="s">
        <v>297</v>
      </c>
      <c r="J131" s="29">
        <v>1</v>
      </c>
      <c r="K131" s="12"/>
      <c r="L131" s="72"/>
      <c r="M131" s="169"/>
    </row>
    <row r="132" spans="1:13" s="14" customFormat="1" ht="15.75" thickBot="1" x14ac:dyDescent="0.3">
      <c r="A132" s="33" t="s">
        <v>284</v>
      </c>
      <c r="B132" s="212" t="s">
        <v>308</v>
      </c>
      <c r="C132" s="191"/>
      <c r="D132" s="224">
        <v>34</v>
      </c>
      <c r="E132" s="193">
        <v>4</v>
      </c>
      <c r="F132" s="194">
        <v>5.49</v>
      </c>
      <c r="G132" s="194">
        <f t="shared" si="4"/>
        <v>21.96</v>
      </c>
      <c r="H132" s="247" t="s">
        <v>309</v>
      </c>
      <c r="I132" s="198" t="s">
        <v>310</v>
      </c>
      <c r="J132" s="29">
        <v>10</v>
      </c>
      <c r="K132" s="12"/>
      <c r="L132" s="72"/>
      <c r="M132" s="169"/>
    </row>
    <row r="133" spans="1:13" s="14" customFormat="1" ht="15.75" thickBot="1" x14ac:dyDescent="0.3">
      <c r="A133" s="17" t="s">
        <v>284</v>
      </c>
      <c r="B133" s="273" t="s">
        <v>311</v>
      </c>
      <c r="C133" s="237" t="s">
        <v>312</v>
      </c>
      <c r="D133" s="192">
        <v>1</v>
      </c>
      <c r="E133" s="193">
        <v>1</v>
      </c>
      <c r="F133" s="274">
        <v>100</v>
      </c>
      <c r="G133" s="194">
        <f t="shared" si="4"/>
        <v>100</v>
      </c>
      <c r="H133" s="275" t="s">
        <v>313</v>
      </c>
      <c r="I133" s="198" t="s">
        <v>314</v>
      </c>
      <c r="J133" s="29">
        <v>1</v>
      </c>
      <c r="K133" s="12"/>
      <c r="L133" s="72"/>
      <c r="M133" s="169"/>
    </row>
    <row r="134" spans="1:13" s="14" customFormat="1" ht="15.75" thickBot="1" x14ac:dyDescent="0.3">
      <c r="A134" s="17" t="s">
        <v>284</v>
      </c>
      <c r="B134" s="212" t="s">
        <v>315</v>
      </c>
      <c r="C134" s="191">
        <v>286</v>
      </c>
      <c r="D134" s="224">
        <v>2</v>
      </c>
      <c r="E134" s="193">
        <v>1</v>
      </c>
      <c r="F134" s="194">
        <v>18</v>
      </c>
      <c r="G134" s="194">
        <f t="shared" ref="G134:G150" si="6">E134*F134</f>
        <v>18</v>
      </c>
      <c r="H134" s="245" t="s">
        <v>316</v>
      </c>
      <c r="I134" s="198" t="s">
        <v>317</v>
      </c>
      <c r="J134" s="29">
        <v>2</v>
      </c>
      <c r="K134" s="12"/>
      <c r="L134" s="72"/>
      <c r="M134" s="169"/>
    </row>
    <row r="135" spans="1:13" s="14" customFormat="1" ht="15.75" thickBot="1" x14ac:dyDescent="0.3">
      <c r="A135" s="17" t="s">
        <v>318</v>
      </c>
      <c r="B135" s="190" t="s">
        <v>319</v>
      </c>
      <c r="C135" s="221"/>
      <c r="D135" s="214">
        <v>6</v>
      </c>
      <c r="E135" s="193">
        <v>1</v>
      </c>
      <c r="F135" s="194">
        <v>10.36</v>
      </c>
      <c r="G135" s="194">
        <f t="shared" si="6"/>
        <v>10.36</v>
      </c>
      <c r="H135" s="245" t="s">
        <v>320</v>
      </c>
      <c r="I135" s="198" t="s">
        <v>321</v>
      </c>
      <c r="J135" s="29">
        <v>20</v>
      </c>
      <c r="K135" s="73"/>
      <c r="L135" s="74"/>
      <c r="M135" s="169"/>
    </row>
    <row r="136" spans="1:13" s="14" customFormat="1" ht="15.75" thickBot="1" x14ac:dyDescent="0.3">
      <c r="A136" s="33" t="s">
        <v>318</v>
      </c>
      <c r="B136" s="190" t="s">
        <v>322</v>
      </c>
      <c r="C136" s="191"/>
      <c r="D136" s="214">
        <v>6</v>
      </c>
      <c r="E136" s="193">
        <v>1</v>
      </c>
      <c r="F136" s="194">
        <v>11.78</v>
      </c>
      <c r="G136" s="194">
        <f t="shared" si="6"/>
        <v>11.78</v>
      </c>
      <c r="H136" s="245" t="s">
        <v>323</v>
      </c>
      <c r="I136" s="198" t="s">
        <v>321</v>
      </c>
      <c r="J136" s="29">
        <v>20</v>
      </c>
      <c r="K136" s="73"/>
      <c r="L136" s="74"/>
      <c r="M136" s="169"/>
    </row>
    <row r="137" spans="1:13" s="14" customFormat="1" ht="15.75" thickBot="1" x14ac:dyDescent="0.3">
      <c r="A137" s="17" t="s">
        <v>318</v>
      </c>
      <c r="B137" s="190" t="s">
        <v>324</v>
      </c>
      <c r="C137" s="221"/>
      <c r="D137" s="214">
        <v>4</v>
      </c>
      <c r="E137" s="193">
        <v>1</v>
      </c>
      <c r="F137" s="194">
        <v>10.08</v>
      </c>
      <c r="G137" s="194">
        <f t="shared" si="6"/>
        <v>10.08</v>
      </c>
      <c r="H137" s="245" t="s">
        <v>325</v>
      </c>
      <c r="I137" s="198" t="s">
        <v>321</v>
      </c>
      <c r="J137" s="29">
        <v>20</v>
      </c>
      <c r="K137" s="73"/>
      <c r="L137" s="74"/>
      <c r="M137" s="169"/>
    </row>
    <row r="138" spans="1:13" s="14" customFormat="1" ht="15.75" thickBot="1" x14ac:dyDescent="0.3">
      <c r="A138" s="17" t="s">
        <v>318</v>
      </c>
      <c r="B138" s="190" t="s">
        <v>326</v>
      </c>
      <c r="C138" s="221"/>
      <c r="D138" s="214">
        <v>8</v>
      </c>
      <c r="E138" s="193">
        <v>1</v>
      </c>
      <c r="F138" s="194">
        <v>12.42</v>
      </c>
      <c r="G138" s="194">
        <f t="shared" si="6"/>
        <v>12.42</v>
      </c>
      <c r="H138" s="245" t="s">
        <v>327</v>
      </c>
      <c r="I138" s="198" t="s">
        <v>321</v>
      </c>
      <c r="J138" s="29">
        <v>20</v>
      </c>
      <c r="K138" s="73"/>
      <c r="L138" s="74"/>
      <c r="M138" s="169"/>
    </row>
    <row r="139" spans="1:13" s="14" customFormat="1" ht="15.75" thickBot="1" x14ac:dyDescent="0.3">
      <c r="A139" s="17" t="s">
        <v>318</v>
      </c>
      <c r="B139" s="212" t="s">
        <v>328</v>
      </c>
      <c r="C139" s="218"/>
      <c r="D139" s="214">
        <v>1</v>
      </c>
      <c r="E139" s="193">
        <v>1</v>
      </c>
      <c r="F139" s="194">
        <v>2.84</v>
      </c>
      <c r="G139" s="194">
        <f t="shared" si="6"/>
        <v>2.84</v>
      </c>
      <c r="H139" s="215" t="s">
        <v>329</v>
      </c>
      <c r="I139" s="196" t="s">
        <v>166</v>
      </c>
      <c r="J139" s="29">
        <v>10</v>
      </c>
      <c r="K139" s="73"/>
      <c r="L139" s="74"/>
      <c r="M139" s="169"/>
    </row>
    <row r="140" spans="1:13" s="14" customFormat="1" ht="15.75" thickBot="1" x14ac:dyDescent="0.3">
      <c r="A140" s="17" t="s">
        <v>318</v>
      </c>
      <c r="B140" s="212" t="s">
        <v>330</v>
      </c>
      <c r="C140" s="213">
        <v>400</v>
      </c>
      <c r="D140" s="214">
        <v>1</v>
      </c>
      <c r="E140" s="193">
        <v>1</v>
      </c>
      <c r="F140" s="194">
        <v>5.92</v>
      </c>
      <c r="G140" s="194">
        <f t="shared" si="6"/>
        <v>5.92</v>
      </c>
      <c r="H140" s="245" t="s">
        <v>331</v>
      </c>
      <c r="I140" s="198" t="s">
        <v>332</v>
      </c>
      <c r="J140" s="29">
        <v>1</v>
      </c>
      <c r="K140" s="73"/>
      <c r="L140" s="74"/>
      <c r="M140" s="169"/>
    </row>
    <row r="141" spans="1:13" s="14" customFormat="1" ht="15.75" thickBot="1" x14ac:dyDescent="0.3">
      <c r="A141" s="17" t="s">
        <v>333</v>
      </c>
      <c r="B141" s="212" t="s">
        <v>334</v>
      </c>
      <c r="C141" s="191"/>
      <c r="D141" s="214">
        <v>2</v>
      </c>
      <c r="E141" s="193">
        <v>1</v>
      </c>
      <c r="F141" s="194">
        <v>12.84</v>
      </c>
      <c r="G141" s="194">
        <f t="shared" si="6"/>
        <v>12.84</v>
      </c>
      <c r="H141" s="245" t="s">
        <v>335</v>
      </c>
      <c r="I141" s="209" t="s">
        <v>336</v>
      </c>
      <c r="J141" s="29">
        <v>10</v>
      </c>
      <c r="K141" s="75"/>
      <c r="L141" s="72"/>
      <c r="M141" s="169"/>
    </row>
    <row r="142" spans="1:13" s="14" customFormat="1" ht="15.75" thickBot="1" x14ac:dyDescent="0.3">
      <c r="A142" s="17" t="s">
        <v>337</v>
      </c>
      <c r="B142" s="223" t="s">
        <v>338</v>
      </c>
      <c r="C142" s="239"/>
      <c r="D142" s="224">
        <v>1</v>
      </c>
      <c r="E142" s="193">
        <v>1</v>
      </c>
      <c r="F142" s="194">
        <v>35.42</v>
      </c>
      <c r="G142" s="194">
        <f t="shared" si="6"/>
        <v>35.42</v>
      </c>
      <c r="H142" s="245" t="s">
        <v>339</v>
      </c>
      <c r="I142" s="198" t="s">
        <v>340</v>
      </c>
      <c r="J142" s="29">
        <v>1</v>
      </c>
      <c r="K142" s="12"/>
      <c r="L142" s="72"/>
      <c r="M142" s="169"/>
    </row>
    <row r="143" spans="1:13" s="14" customFormat="1" ht="15.75" thickBot="1" x14ac:dyDescent="0.3">
      <c r="A143" s="17" t="s">
        <v>337</v>
      </c>
      <c r="B143" s="223" t="s">
        <v>341</v>
      </c>
      <c r="C143" s="191"/>
      <c r="D143" s="192">
        <v>1</v>
      </c>
      <c r="E143" s="193">
        <v>1</v>
      </c>
      <c r="F143" s="194">
        <v>3.95</v>
      </c>
      <c r="G143" s="194">
        <f t="shared" si="6"/>
        <v>3.95</v>
      </c>
      <c r="H143" s="245" t="s">
        <v>342</v>
      </c>
      <c r="I143" s="198" t="s">
        <v>343</v>
      </c>
      <c r="J143" s="103"/>
      <c r="K143" s="12"/>
      <c r="L143" s="72"/>
      <c r="M143" s="169"/>
    </row>
    <row r="144" spans="1:13" s="14" customFormat="1" ht="15.75" thickBot="1" x14ac:dyDescent="0.3">
      <c r="A144" s="17" t="s">
        <v>337</v>
      </c>
      <c r="B144" s="243" t="s">
        <v>344</v>
      </c>
      <c r="C144" s="191"/>
      <c r="D144" s="224">
        <v>1</v>
      </c>
      <c r="E144" s="193">
        <v>1</v>
      </c>
      <c r="F144" s="194">
        <v>10</v>
      </c>
      <c r="G144" s="194">
        <f t="shared" si="6"/>
        <v>10</v>
      </c>
      <c r="H144" s="245" t="s">
        <v>345</v>
      </c>
      <c r="I144" s="203" t="s">
        <v>346</v>
      </c>
      <c r="J144" s="29">
        <v>5</v>
      </c>
      <c r="K144" s="12"/>
      <c r="L144" s="72"/>
      <c r="M144" s="169"/>
    </row>
    <row r="145" spans="1:13" s="14" customFormat="1" ht="15.75" thickBot="1" x14ac:dyDescent="0.3">
      <c r="A145" s="17" t="s">
        <v>337</v>
      </c>
      <c r="B145" s="243" t="s">
        <v>347</v>
      </c>
      <c r="C145" s="276"/>
      <c r="D145" s="230">
        <v>1</v>
      </c>
      <c r="E145" s="230">
        <v>1</v>
      </c>
      <c r="F145" s="194">
        <v>18</v>
      </c>
      <c r="G145" s="194">
        <f t="shared" si="6"/>
        <v>18</v>
      </c>
      <c r="H145" s="245" t="s">
        <v>348</v>
      </c>
      <c r="I145" s="198" t="s">
        <v>34</v>
      </c>
      <c r="J145" s="29">
        <v>1</v>
      </c>
      <c r="K145" s="12"/>
      <c r="L145" s="72"/>
      <c r="M145" s="169"/>
    </row>
    <row r="146" spans="1:13" s="14" customFormat="1" ht="15.75" thickBot="1" x14ac:dyDescent="0.3">
      <c r="A146" s="17" t="s">
        <v>337</v>
      </c>
      <c r="B146" s="277" t="s">
        <v>349</v>
      </c>
      <c r="C146" s="191"/>
      <c r="D146" s="224">
        <v>1</v>
      </c>
      <c r="E146" s="193">
        <v>1</v>
      </c>
      <c r="F146" s="194">
        <v>1.48</v>
      </c>
      <c r="G146" s="194">
        <f t="shared" si="6"/>
        <v>1.48</v>
      </c>
      <c r="H146" s="245" t="s">
        <v>350</v>
      </c>
      <c r="I146" s="198" t="s">
        <v>34</v>
      </c>
      <c r="J146" s="29">
        <v>1</v>
      </c>
      <c r="K146" s="12"/>
      <c r="L146" s="72"/>
      <c r="M146" s="169"/>
    </row>
    <row r="147" spans="1:13" s="14" customFormat="1" ht="15.75" thickBot="1" x14ac:dyDescent="0.3">
      <c r="A147" s="17" t="s">
        <v>337</v>
      </c>
      <c r="B147" s="278" t="s">
        <v>351</v>
      </c>
      <c r="C147" s="191"/>
      <c r="D147" s="224">
        <v>1</v>
      </c>
      <c r="E147" s="193">
        <v>1</v>
      </c>
      <c r="F147" s="194">
        <v>2.17</v>
      </c>
      <c r="G147" s="194">
        <f t="shared" si="6"/>
        <v>2.17</v>
      </c>
      <c r="H147" s="245" t="s">
        <v>352</v>
      </c>
      <c r="I147" s="198" t="s">
        <v>34</v>
      </c>
      <c r="J147" s="29">
        <v>1</v>
      </c>
      <c r="K147" s="12"/>
      <c r="L147" s="72"/>
      <c r="M147" s="169"/>
    </row>
    <row r="148" spans="1:13" s="14" customFormat="1" ht="15.75" thickBot="1" x14ac:dyDescent="0.3">
      <c r="A148" s="17" t="s">
        <v>337</v>
      </c>
      <c r="B148" s="212" t="s">
        <v>353</v>
      </c>
      <c r="C148" s="191"/>
      <c r="D148" s="224">
        <v>1</v>
      </c>
      <c r="E148" s="193">
        <v>1</v>
      </c>
      <c r="F148" s="194">
        <v>10.62</v>
      </c>
      <c r="G148" s="194">
        <f t="shared" si="6"/>
        <v>10.62</v>
      </c>
      <c r="H148" s="245" t="s">
        <v>354</v>
      </c>
      <c r="I148" s="204" t="s">
        <v>34</v>
      </c>
      <c r="J148" s="29">
        <v>1</v>
      </c>
      <c r="K148" s="12"/>
      <c r="L148" s="72"/>
      <c r="M148" s="169"/>
    </row>
    <row r="149" spans="1:13" s="14" customFormat="1" ht="15.75" thickBot="1" x14ac:dyDescent="0.3">
      <c r="A149" s="17" t="s">
        <v>337</v>
      </c>
      <c r="B149" s="212" t="s">
        <v>355</v>
      </c>
      <c r="C149" s="191"/>
      <c r="D149" s="224">
        <v>1</v>
      </c>
      <c r="E149" s="193">
        <v>1</v>
      </c>
      <c r="F149" s="194">
        <v>48</v>
      </c>
      <c r="G149" s="194">
        <f t="shared" si="6"/>
        <v>48</v>
      </c>
      <c r="H149" s="245" t="s">
        <v>356</v>
      </c>
      <c r="I149" s="198" t="s">
        <v>357</v>
      </c>
      <c r="J149" s="29">
        <v>1</v>
      </c>
      <c r="K149" s="12"/>
      <c r="L149" s="72"/>
      <c r="M149" s="169"/>
    </row>
    <row r="150" spans="1:13" ht="15.75" thickBot="1" x14ac:dyDescent="0.3">
      <c r="A150" s="279" t="s">
        <v>337</v>
      </c>
      <c r="B150" s="280" t="s">
        <v>358</v>
      </c>
      <c r="C150" s="281"/>
      <c r="D150" s="282">
        <v>1</v>
      </c>
      <c r="E150" s="283">
        <v>1</v>
      </c>
      <c r="F150" s="284">
        <v>68</v>
      </c>
      <c r="G150" s="284">
        <f t="shared" si="6"/>
        <v>68</v>
      </c>
      <c r="H150" s="285" t="s">
        <v>359</v>
      </c>
      <c r="I150" s="210" t="s">
        <v>360</v>
      </c>
      <c r="J150" s="84">
        <v>1</v>
      </c>
      <c r="K150" s="76"/>
      <c r="L150" s="77"/>
      <c r="M150" s="168"/>
    </row>
    <row r="151" spans="1:13" ht="16.5" thickBot="1" x14ac:dyDescent="0.3">
      <c r="A151" s="34"/>
      <c r="B151" s="35" t="s">
        <v>361</v>
      </c>
      <c r="C151" s="83"/>
      <c r="D151" s="35"/>
      <c r="E151" s="35"/>
      <c r="F151" s="36"/>
      <c r="G151" s="37">
        <f>SUBTOTAL(109,Table1321[*Cost Price $USD])</f>
        <v>2374.6200000000003</v>
      </c>
      <c r="H151" s="286" t="s">
        <v>362</v>
      </c>
      <c r="I151" s="81"/>
      <c r="J151" s="78"/>
      <c r="K151" s="79"/>
      <c r="L151" s="80"/>
    </row>
    <row r="152" spans="1:13" x14ac:dyDescent="0.25">
      <c r="G152" s="13"/>
      <c r="K152" s="151"/>
    </row>
  </sheetData>
  <hyperlinks>
    <hyperlink ref="J10" r:id="rId1" display="Color: Buffer 14inch 35cm" xr:uid="{A45C1E65-4D2C-4E50-A96D-C3609389891E}"/>
    <hyperlink ref="J116" r:id="rId2" display="https://s.click.aliexpress.com/e/_c3L3d1ir" xr:uid="{AEFB707D-A1AE-4EFB-B9AF-075A426325F3}"/>
    <hyperlink ref="H109" r:id="rId3" display="W: 9mm-EPDM L: 5M" xr:uid="{8547EB01-111D-4369-8F6F-6D71E163457E}"/>
    <hyperlink ref="H9" r:id="rId4" xr:uid="{DCB991D1-6060-4115-8549-0F88BF037265}"/>
    <hyperlink ref="H66" r:id="rId5" xr:uid="{27E41D46-C6ED-4D48-B23F-D522BD1B8CAD}"/>
    <hyperlink ref="H12:H13" r:id="rId6" display="https://www.aliexpress.com/item/1005010042779749.html" xr:uid="{83FF34FE-EF9B-4920-90F5-2E0883376D67}"/>
    <hyperlink ref="H112" r:id="rId7" display="Color: 6PCS" xr:uid="{83110E66-78FF-482A-A936-8F1BF7578A3C}"/>
    <hyperlink ref="H65" r:id="rId8" xr:uid="{165F55F9-93B5-4C34-AB3E-2D5640BE01F4}"/>
    <hyperlink ref="H10" r:id="rId9" display="https://www.aliexpress.com/item/4001085251691.html" xr:uid="{6FC7652C-4336-480C-B2E7-E04728B15743}"/>
    <hyperlink ref="H4" r:id="rId10" display="688ZZ" xr:uid="{E47035C0-0384-4F36-8610-B86A56A6353C}"/>
    <hyperlink ref="H3" r:id="rId11" display="F606ZZ" xr:uid="{7A42191B-CFDD-4A32-8150-88F26E71C9AC}"/>
    <hyperlink ref="H8" r:id="rId12" xr:uid="{79950C8E-6C0D-43A7-9D36-8F08E49E0336}"/>
    <hyperlink ref="H142" r:id="rId13" xr:uid="{96A70493-75D0-4733-A3CA-6179A33F98AC}"/>
    <hyperlink ref="H20" r:id="rId14" xr:uid="{87783477-33AB-4F63-96D6-84FFA77C3655}"/>
    <hyperlink ref="H115" r:id="rId15" display="C: 30x30" xr:uid="{606973F0-66B4-48E0-9052-7FF9AC915346}"/>
    <hyperlink ref="H29" r:id="rId16" xr:uid="{9E6D60F7-4FD8-4383-A6FD-19E6F8255EF5}"/>
    <hyperlink ref="H134" r:id="rId17" display="https://s.click.aliexpress.com/e/_c3suoWc5" xr:uid="{171176F6-4231-406A-9168-9A596B642215}"/>
    <hyperlink ref="H121" r:id="rId18" xr:uid="{0241C0AB-3D65-413B-8BA6-3B272D19AC35}"/>
    <hyperlink ref="H54" r:id="rId19" xr:uid="{52ADCB77-FF0E-42E8-AC3C-EF1C337A8CEE}"/>
    <hyperlink ref="H5" r:id="rId20" display="Color: L400 - MGN12H" xr:uid="{38BCC57D-FD03-4471-B927-A7E12E3DB518}"/>
    <hyperlink ref="H6" r:id="rId21" display="Color: L400 - MGN12H" xr:uid="{BD6A1B04-1DB5-4668-9226-2B16CD7A0FF8}"/>
    <hyperlink ref="H7" r:id="rId22" display="Color: L400 - MGN12H" xr:uid="{84FFEA79-873A-463E-9519-EA26805DD99E}"/>
    <hyperlink ref="H52" r:id="rId23" display="Color: 17HS19-2504S-H-V1" xr:uid="{63EC9369-3A56-4A55-ADB6-E63DA70C5687}"/>
    <hyperlink ref="H51" r:id="rId24" display="Color: 17HS16 2004S1" xr:uid="{982DA236-4666-4A0F-ABF1-9B4663B545D1}"/>
    <hyperlink ref="H67" r:id="rId25" display="M6x12x1mm -50PCS" xr:uid="{A89E7AD8-F920-4AF5-B677-81DF07FB2B6D}"/>
    <hyperlink ref="H2" r:id="rId26" display="688ZZ" xr:uid="{67E8D5C1-A156-413D-AF31-8133207133A7}"/>
    <hyperlink ref="H137" r:id="rId27" xr:uid="{960B587A-C345-41F8-9F00-5A72468B4E5D}"/>
    <hyperlink ref="H138" r:id="rId28" display="6x25 - 20PCS" xr:uid="{C587A070-5E91-4470-9462-B26505335891}"/>
    <hyperlink ref="H136" r:id="rId29" display="5x50 - 20PCS" xr:uid="{E2BC9294-BE45-4337-94D9-D1A7EB5D4876}"/>
    <hyperlink ref="H140" r:id="rId30" xr:uid="{5DF1E2A3-6063-41FD-B02D-4A4F1F17507D}"/>
    <hyperlink ref="H123" r:id="rId31" display="500mm - 20x20x1mm" xr:uid="{D204D176-2E62-40E3-82BF-401F19A0D89A}"/>
    <hyperlink ref="H105" r:id="rId32" display="BD: 5mm-Pulley BW: 10mm T: 26T" xr:uid="{90074162-A7AA-4715-B971-FF9CE46FAD99}"/>
    <hyperlink ref="H63" r:id="rId33" display="S: M3 - Color: 100PCS" xr:uid="{6449E8A0-482C-470E-97D7-EF72A2F2A913}"/>
    <hyperlink ref="H87" r:id="rId34" xr:uid="{6EB531E8-C3FE-4D01-8D5C-97575E119FCC}"/>
    <hyperlink ref="H92" r:id="rId35" xr:uid="{91B40BE5-71A5-4A12-84CC-1243069DE4B2}"/>
    <hyperlink ref="H70" r:id="rId36" xr:uid="{78488DAB-B700-44AA-A232-44B7D5C2B043}"/>
    <hyperlink ref="H95" r:id="rId37" display="ID: M5(100PCS)" xr:uid="{D89841D5-DE86-4EF3-A46E-87C4608B9CB4}"/>
    <hyperlink ref="H99" r:id="rId38" display="https://www.aliexpress.com/item/1005008848776055.html" xr:uid="{7702497C-D29A-4776-9646-42512A281763}"/>
    <hyperlink ref="H90" r:id="rId39" display="S: 10PCS M4 - L: 35" xr:uid="{EEAD0EA0-423E-407A-8EED-083AE2165F0E}"/>
    <hyperlink ref="H139" r:id="rId40" xr:uid="{62AD37E9-A9DA-4CA1-A9DB-A74CBED013B4}"/>
    <hyperlink ref="H122" r:id="rId41" display="500mm - 20x20x1mm" xr:uid="{6064A7A7-4811-4867-831D-5DD621C8F26F}"/>
    <hyperlink ref="H141" r:id="rId42" xr:uid="{B943D4B9-8B39-41E3-AF1C-D92FC272CF39}"/>
    <hyperlink ref="H108" r:id="rId43" display="BD: 5mm BW: 10mm N: 5PCS" xr:uid="{48A1A5F5-9613-43F0-AB8A-D09C3DDA1C3B}"/>
    <hyperlink ref="H107" r:id="rId44" display="BD: 20T(5mm)-80T(5mm) - W: 6mm-200" xr:uid="{C6EC4DA3-1FE8-42F5-AF13-426B397564D6}"/>
    <hyperlink ref="H127" r:id="rId45" xr:uid="{0C02753A-60E1-4368-AD8A-ED26844E80A1}"/>
    <hyperlink ref="H126" r:id="rId46" display="Color: 420 mm" xr:uid="{0E8E3DCA-6FE1-423A-9C75-E7E7B690BDB7}"/>
    <hyperlink ref="H128" r:id="rId47" display="Color: L 368mm - 2020" xr:uid="{E9E961A2-7ED9-40FE-ABB1-92D1495A6058}"/>
    <hyperlink ref="H129" r:id="rId48" display="Color: 420 mm" xr:uid="{70CC92A1-3489-49FF-A305-EA4BEBA40EE8}"/>
    <hyperlink ref="H130" r:id="rId49" display="Color: 420 mm" xr:uid="{C2D7AC6A-2B7A-4CF5-B4C9-0F3C2D52367F}"/>
    <hyperlink ref="H131" r:id="rId50" display="Color: 420 mm" xr:uid="{A4259B2C-35E6-4E18-9A22-B39EA6E8A3E3}"/>
    <hyperlink ref="H132" r:id="rId51" display="Color: 4x10PCS 2028 Silver" xr:uid="{C93219CF-4D32-482A-8275-37C1A02D7B04}"/>
    <hyperlink ref="H125" r:id="rId52" display="Color: 1x2020 (4pcs)" xr:uid="{4F3C13A1-F52F-4206-900C-B4E77902BF50}"/>
    <hyperlink ref="H21" r:id="rId53" display="300x300 750W - 120VAC/220VAC" xr:uid="{CEFC505C-03F9-43E8-B793-CAA5CFF42081}"/>
    <hyperlink ref="H150" r:id="rId54" xr:uid="{3B1014CC-EECD-463A-9B67-F6D6371D1C92}"/>
    <hyperlink ref="H22" r:id="rId55" xr:uid="{6308B7F3-791E-4EE3-8A90-FF14B0C92347}"/>
    <hyperlink ref="H23" r:id="rId56" display="Color: 10Pin" xr:uid="{862B1710-40DD-4D45-8591-8540A1F3795D}"/>
    <hyperlink ref="H18" r:id="rId57" xr:uid="{F18AAE1C-3310-4534-A2A0-FD276F0CB471}"/>
    <hyperlink ref="H19" r:id="rId58" xr:uid="{D225820F-DD6F-47AC-B161-59F21384AEB1}"/>
    <hyperlink ref="H69" r:id="rId59" xr:uid="{A1C476E8-4C0A-416C-895F-CB0FF4CF4DA2}"/>
    <hyperlink ref="H116" r:id="rId60" xr:uid="{C6F7896B-3895-437C-B832-E4CE37CFA899}"/>
    <hyperlink ref="H133" r:id="rId61" xr:uid="{400AB169-DF3B-458B-B4BC-D325DD62A206}"/>
    <hyperlink ref="H135" r:id="rId62" display="5x50 - 20PCS" xr:uid="{4E84AE98-52E0-42C1-9368-357566ADE35E}"/>
    <hyperlink ref="H71" r:id="rId63" xr:uid="{18DA0DDC-EFC4-469D-9FB9-5EDF23E44C1F}"/>
    <hyperlink ref="H76" r:id="rId64" xr:uid="{42D5885D-D05C-4C8F-A0A6-31196BC8A998}"/>
    <hyperlink ref="H84" r:id="rId65" display="ID: M4(100PCS)" xr:uid="{B2777790-305B-4258-B27E-0B0510452C92}"/>
    <hyperlink ref="H88" r:id="rId66" xr:uid="{E30EE4AB-92BC-47EC-8B87-851649ADA300}"/>
    <hyperlink ref="H96" r:id="rId67" xr:uid="{5BE91CE9-3DDA-46F2-B5E0-34464497242A}"/>
    <hyperlink ref="H97" r:id="rId68" display="S: 10pcs M5 - L: 10mm" xr:uid="{9EF647D7-AE79-4758-903A-ED27EAD2484C}"/>
    <hyperlink ref="H98" r:id="rId69" display="S: 10pcs M5 - L: 10mm" xr:uid="{639FCC7E-D9C2-4EA7-AE47-19FB48D156C7}"/>
    <hyperlink ref="H100" r:id="rId70" display="S: 10pcs M5 - L: 10mm" xr:uid="{EBB69F9E-0C12-4E8C-AC83-B56049138C2E}"/>
    <hyperlink ref="H101" r:id="rId71" display="https://www.aliexpress.com/item/1005008848776055.html" xr:uid="{065EAEDB-D131-478B-8370-8C2E5646A41E}"/>
    <hyperlink ref="H102" r:id="rId72" display="https://www.aliexpress.com/item/1005008848776055.html" xr:uid="{98ED755C-0D14-4662-8A4F-2E49986E3D9B}"/>
    <hyperlink ref="H103" r:id="rId73" display="https://www.aliexpress.com/item/1005008848776055.html" xr:uid="{6BE4BDC7-9A08-4700-B501-17D2AA7DB2EE}"/>
    <hyperlink ref="H104" r:id="rId74" display="S: 10pcs M5 - L: 10mm" xr:uid="{DED82DCD-2FAA-4C81-9787-A3BB7443A197}"/>
    <hyperlink ref="H68" r:id="rId75" xr:uid="{C1232C0C-9B0D-4F15-9A17-88DD0F0B366E}"/>
    <hyperlink ref="H119" r:id="rId76" xr:uid="{6B342A7C-3223-441B-BA54-EB726DAE7228}"/>
    <hyperlink ref="H118" r:id="rId77" display="P16 RGB Silent Fan 120mm" xr:uid="{E4B8A3C8-371E-4D73-B3EC-96050B57F24F}"/>
    <hyperlink ref="H120" r:id="rId78" xr:uid="{EDBD9826-6B9E-46B8-AAB8-5C973DAABC96}"/>
    <hyperlink ref="H114" r:id="rId79" xr:uid="{8464A2DC-023A-4919-B297-2FDBBBD4D5B6}"/>
    <hyperlink ref="H117" r:id="rId80" xr:uid="{ECF57003-5ABF-4AD9-83DB-0628060DDD7B}"/>
    <hyperlink ref="H56" r:id="rId81" xr:uid="{097FDA04-D005-411A-B496-1BC475898E6F}"/>
    <hyperlink ref="H89" r:id="rId82" display="S: 10pcs M4 - L: 20mm" xr:uid="{C5826B9A-F771-46EF-9B2A-46E7597015A5}"/>
    <hyperlink ref="H91" r:id="rId83" display="S: 10pcs M4 - L: 20mm" xr:uid="{663B6ED5-C954-4DFD-AB9B-74D8830DCC67}"/>
    <hyperlink ref="H74" r:id="rId84" display="S: 10pcs M5 - L: 10mm" xr:uid="{8BCBDD54-C503-4A68-8616-51AB3BEA554B}"/>
    <hyperlink ref="H75" r:id="rId85" display="S: 10pcs M4 - L: 20mm" xr:uid="{6AAD8BA5-EC70-47FD-ACE5-B23DC37802DA}"/>
    <hyperlink ref="H77" r:id="rId86" display="S: 10pcs M3 - L: 8mm" xr:uid="{EA94F40A-3AF8-4F90-8F8B-18F229D3E320}"/>
    <hyperlink ref="H79" r:id="rId87" display="S: 10pcs M3 - L: 8mm" xr:uid="{8DA919EA-F0B5-4F30-99F9-DC086E0C9680}"/>
    <hyperlink ref="H81" r:id="rId88" display="S: 10pcs M3 - L: 8mm" xr:uid="{0F4A8E86-8F66-4D81-80B4-86F35EA862D9}"/>
    <hyperlink ref="H86" r:id="rId89" display="S: 10pcs M3 - L: 8mm" xr:uid="{3CDA4528-16EC-41F7-9A9D-351E96644BBA}"/>
    <hyperlink ref="H82" r:id="rId90" display="S: 25pcs M3" xr:uid="{E906F13E-EDC9-4892-9B18-79329B3CF0B7}"/>
    <hyperlink ref="H83" r:id="rId91" display="S: 10pcs M3" xr:uid="{71794BBC-CA39-4991-8CD1-307EFA2F836E}"/>
    <hyperlink ref="H93" r:id="rId92" display="S: 25pcs M3" xr:uid="{3131039F-B734-41A4-A204-A59C22ED9A57}"/>
    <hyperlink ref="H94" r:id="rId93" display="S: 10pcs M3" xr:uid="{F0B7A532-41BF-4348-B107-C1C26F684AC4}"/>
    <hyperlink ref="H113" r:id="rId94" display="https://s.click.aliexpress.com/e/_c3h7Zh5j" xr:uid="{C0116F09-FFC3-4E4E-8906-DA78E1D65DB9}"/>
    <hyperlink ref="H64" r:id="rId95" display="S: M3 - Color: 100PCS" xr:uid="{E80C8403-CA67-4B32-A81C-274DCBF027B6}"/>
    <hyperlink ref="H80" r:id="rId96" display="S: 25PCS M3 - L: 20mm" xr:uid="{3F8DDBEA-B7BB-4E3F-8466-A29F32CAF5D1}"/>
    <hyperlink ref="H145" r:id="rId97" xr:uid="{1C65B190-B877-4BEB-87D4-18BD33936E76}"/>
    <hyperlink ref="H149" r:id="rId98" xr:uid="{386B7278-E3B9-4DF0-B1C5-4005B9ADF7D4}"/>
    <hyperlink ref="H148" r:id="rId99" xr:uid="{09E8DC7A-1819-446C-B668-2580916B7F9F}"/>
    <hyperlink ref="H147" r:id="rId100" xr:uid="{888646B3-24C6-4409-9F44-77E56E7B7A8B}"/>
    <hyperlink ref="H146" r:id="rId101" display="Color: SET2" xr:uid="{52E04A98-B60B-4F15-8B05-408178C29178}"/>
    <hyperlink ref="H144" r:id="rId102" xr:uid="{BD4F34BF-BABC-43F5-BAB4-A3DF2FBBEDAB}"/>
    <hyperlink ref="H25" r:id="rId103" xr:uid="{8F819BE9-2369-4701-A38A-4CAAAAF7D828}"/>
    <hyperlink ref="H73" r:id="rId104" xr:uid="{FD857523-6A28-46A3-A3E9-9EC609DE7931}"/>
    <hyperlink ref="H72" r:id="rId105" xr:uid="{20046C27-ACC6-4E89-B149-345EDFAAC2D6}"/>
    <hyperlink ref="H85" r:id="rId106" display="https://www.aliexpress.com/item/1005004714550250.html?" xr:uid="{8E0A33B9-E206-4DB6-8F30-FE6E8DD914BF}"/>
    <hyperlink ref="H78" r:id="rId107" xr:uid="{330AC5D7-13FB-4E52-B95E-B580AC70C6B1}"/>
    <hyperlink ref="H111" r:id="rId108" xr:uid="{28376BAC-F087-487C-B2F0-7FF772C19284}"/>
    <hyperlink ref="H26" r:id="rId109" xr:uid="{F715A1CC-9CA1-442B-B658-7D77B0B5A47D}"/>
    <hyperlink ref="H27" r:id="rId110" xr:uid="{B2F77E2D-41DB-4334-9EF1-942450EAF1F0}"/>
    <hyperlink ref="H13" r:id="rId111" xr:uid="{4697CE9F-37A6-4EBE-B5CB-0B78D55AAF4A}"/>
    <hyperlink ref="H35" r:id="rId112" xr:uid="{BADCFAD1-27AD-4FC2-8F46-C04A1360F2D8}"/>
    <hyperlink ref="H36" r:id="rId113" xr:uid="{6B121041-A93E-47A9-944A-3A627E278258}"/>
    <hyperlink ref="H37" r:id="rId114" xr:uid="{D4B1DA1E-4846-4F4A-9BC5-CE5ABF7520A0}"/>
    <hyperlink ref="H39" r:id="rId115" xr:uid="{2B21CB21-157A-49F7-B2B5-2F1C9F8E6411}"/>
    <hyperlink ref="H38" r:id="rId116" xr:uid="{5D32C397-7AFE-4122-BE46-B36FFDF71890}"/>
    <hyperlink ref="H40" r:id="rId117" xr:uid="{3794AF2F-CC40-40C0-A070-5461966818B8}"/>
    <hyperlink ref="H42" r:id="rId118" xr:uid="{D4BDB1A2-A048-4EAD-B8FA-D5374824CC7C}"/>
    <hyperlink ref="H46" r:id="rId119" xr:uid="{C7B3D09D-EE0B-425C-87A5-2054DE685917}"/>
    <hyperlink ref="H45" r:id="rId120" xr:uid="{BC3B9D3E-7B7A-4C32-9BE6-07C092D57328}"/>
    <hyperlink ref="H48" r:id="rId121" xr:uid="{647B07C0-31E9-4F52-BEAE-F21124CE485C}"/>
    <hyperlink ref="H47" r:id="rId122" xr:uid="{C6036535-BBAD-4686-A216-4C5A14B3519D}"/>
    <hyperlink ref="H41" r:id="rId123" display="Color: Black - L: 5M - S: 24AWG" xr:uid="{FD94E789-F51F-47B9-99FE-39EB00339656}"/>
    <hyperlink ref="H43" r:id="rId124" display="Color: Black - L: 5M - S: 24AWG" xr:uid="{33053AC9-6732-4B4A-93DC-65BEC8CB8D63}"/>
    <hyperlink ref="H44" r:id="rId125" display="https://www.aliexpress.com/item/1005007376443518.html?" xr:uid="{1C3C086E-0886-4D17-B01B-476BDFB5FF95}"/>
    <hyperlink ref="H53" r:id="rId126" display="Output Voltage: LRS-350-24 (24V)" xr:uid="{9E56B61D-3D94-40A6-873E-D1EC559BA3B8}"/>
    <hyperlink ref="H17" r:id="rId127" display="https://www.digikey.co.nz/en/products/detail/te-connectivity-corcom-filters/1-1609112-2/2292077" xr:uid="{FE495711-5012-4CB3-86E1-430BB590F25E}"/>
    <hyperlink ref="H16" r:id="rId128" display="https://www.digikey.co.nz/en/products/detail/optifuse/PMA-DB-04-Q1S/13146953" xr:uid="{5DB56580-13E1-4753-8657-60F62B9670BE}"/>
    <hyperlink ref="H15" r:id="rId129" display="https://www.digikey.co.nz/en/products/detail/schurter-inc/8020-5078/6588337" xr:uid="{D716434F-96BF-4A26-B466-FF05D9C11228}"/>
    <hyperlink ref="H34" r:id="rId130" xr:uid="{94EE536E-1057-493B-B7FC-557614908FE9}"/>
    <hyperlink ref="H28" r:id="rId131" display="https://www.aliexpress.com/item/1005007567533885.html?" xr:uid="{47928692-95F8-432E-A6FC-1C08C7D78049}"/>
    <hyperlink ref="H58" r:id="rId132" xr:uid="{EAC50E0E-BECB-45E5-AD4B-3EFDBB8FF8A6}"/>
    <hyperlink ref="H62" r:id="rId133" xr:uid="{9008FD27-46CC-442D-B7F1-940E4267925E}"/>
    <hyperlink ref="H14" r:id="rId134" xr:uid="{F951F5EF-0183-46FD-ACF6-0831ED584BA5}"/>
    <hyperlink ref="H124" r:id="rId135" xr:uid="{FC5FF998-2236-4239-A1E8-2E263A1911D2}"/>
    <hyperlink ref="H59" r:id="rId136" xr:uid="{13A6BF78-0B33-499B-98F6-B3C4948AE96D}"/>
    <hyperlink ref="H32" r:id="rId137" xr:uid="{AFF701D0-1731-49B5-8101-8A2803F65D59}"/>
    <hyperlink ref="H33" r:id="rId138" xr:uid="{7ECBCDEC-1F6D-45A3-AEA3-1923B6C6EA2E}"/>
    <hyperlink ref="H30" r:id="rId139" display="https://www.aliexpress.com/item/32950061517.html?" xr:uid="{C0677D29-1183-4D38-AEC1-1EA1A576852E}"/>
    <hyperlink ref="H31" r:id="rId140" display="https://www.aliexpress.com/item/32950061517.html?" xr:uid="{969D89FE-A081-4790-BD95-00E7AB3F75EA}"/>
    <hyperlink ref="H11" r:id="rId141" display="Color: Brown L: 1M S: 18 AWG" xr:uid="{EDF38EC5-67D4-48C9-B6C3-79FA6ED002C3}"/>
    <hyperlink ref="H12" r:id="rId142" display="Color: Brown L: 1M S: 18 AWG" xr:uid="{CD758287-6157-49E7-BFD0-B4849E977BB4}"/>
    <hyperlink ref="H110" r:id="rId143" xr:uid="{B758BB68-EF3E-4DE4-96FF-B5A026BC0A2D}"/>
    <hyperlink ref="H143" r:id="rId144" xr:uid="{06E5526D-27AB-4C6B-A2D1-DC1858917076}"/>
    <hyperlink ref="H55" r:id="rId145" xr:uid="{566AC8FD-8AAA-45FA-8D4C-9146EDFE7992}"/>
    <hyperlink ref="H57" r:id="rId146" xr:uid="{19351F10-5078-43B7-8ECC-892CC1B1471F}"/>
    <hyperlink ref="H49" r:id="rId147" xr:uid="{2919D4F9-94F0-4B49-8E32-E67ABA95E800}"/>
    <hyperlink ref="H60" r:id="rId148" display="C: Straight pin socket PQ: 10set Pins: 6P" xr:uid="{B4F082C8-0EF6-404C-8F25-3AA5ED3DE721}"/>
    <hyperlink ref="H24" r:id="rId149" xr:uid="{7EA58B92-861A-4DAE-8ACB-EFE42D2D471F}"/>
    <hyperlink ref="H106" r:id="rId150" display="BD: 5mm-Pulley BW: 10mm T: 26T" xr:uid="{411D92D6-CB46-405B-83AB-E67294CD6410}"/>
    <hyperlink ref="H50" r:id="rId151" display="Cable Red AWG 14" xr:uid="{28E2B5E4-475D-4CCB-894D-1B1C268746E9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46" fitToHeight="0" orientation="portrait" r:id="rId152"/>
  <headerFooter>
    <oddHeader>&amp;C&amp;"Aptos Black,Regular"&amp;14VALKYRIE V2 - HW BOM</oddHeader>
    <oddFooter>&amp;CBETA PRELEASE&amp;R&amp;P of &amp;N</oddFooter>
  </headerFooter>
  <rowBreaks count="2" manualBreakCount="2">
    <brk id="62" max="16383" man="1"/>
    <brk id="128" max="16383" man="1"/>
  </rowBreaks>
  <tableParts count="1">
    <tablePart r:id="rId15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00B050"/>
  </sheetPr>
  <dimension ref="A1:J20"/>
  <sheetViews>
    <sheetView view="pageLayout" topLeftCell="A3" zoomScaleNormal="100" workbookViewId="0">
      <selection activeCell="B2" sqref="B2"/>
    </sheetView>
  </sheetViews>
  <sheetFormatPr defaultColWidth="11" defaultRowHeight="15" x14ac:dyDescent="0.25"/>
  <cols>
    <col min="1" max="1" width="15" style="2" customWidth="1"/>
    <col min="2" max="2" width="34.140625" style="11" customWidth="1"/>
    <col min="3" max="3" width="15" style="11" customWidth="1"/>
    <col min="4" max="4" width="6.7109375" customWidth="1"/>
    <col min="5" max="5" width="10" style="11" customWidth="1"/>
    <col min="6" max="6" width="16.42578125" style="2" customWidth="1"/>
    <col min="7" max="7" width="11" style="11"/>
    <col min="8" max="8" width="29.7109375" style="11" bestFit="1" customWidth="1"/>
    <col min="9" max="16384" width="11" style="11"/>
  </cols>
  <sheetData>
    <row r="1" spans="1:10" s="2" customFormat="1" ht="30" x14ac:dyDescent="0.25">
      <c r="A1" s="53"/>
      <c r="B1" s="19" t="s">
        <v>363</v>
      </c>
      <c r="C1" s="142" t="s">
        <v>364</v>
      </c>
      <c r="D1" s="142" t="s">
        <v>2</v>
      </c>
      <c r="E1" s="142" t="s">
        <v>365</v>
      </c>
      <c r="F1" s="90"/>
    </row>
    <row r="2" spans="1:10" x14ac:dyDescent="0.25">
      <c r="A2" s="54" t="s">
        <v>366</v>
      </c>
      <c r="B2" s="20" t="s">
        <v>367</v>
      </c>
      <c r="C2" s="1" t="s">
        <v>368</v>
      </c>
      <c r="D2" s="152">
        <v>420</v>
      </c>
      <c r="E2" s="1">
        <v>1</v>
      </c>
      <c r="F2" s="91" t="s">
        <v>369</v>
      </c>
      <c r="G2" s="153"/>
      <c r="H2" s="153"/>
      <c r="I2" s="153"/>
      <c r="J2" s="153"/>
    </row>
    <row r="3" spans="1:10" x14ac:dyDescent="0.25">
      <c r="A3" s="51" t="s">
        <v>370</v>
      </c>
      <c r="B3" s="20" t="s">
        <v>367</v>
      </c>
      <c r="C3" s="1" t="s">
        <v>371</v>
      </c>
      <c r="D3" s="152">
        <v>368</v>
      </c>
      <c r="E3" s="1">
        <v>1</v>
      </c>
      <c r="F3" s="154" t="s">
        <v>372</v>
      </c>
      <c r="G3" s="153"/>
      <c r="H3" s="153"/>
      <c r="I3" s="153"/>
      <c r="J3" s="153"/>
    </row>
    <row r="4" spans="1:10" x14ac:dyDescent="0.25">
      <c r="A4" s="51" t="s">
        <v>373</v>
      </c>
      <c r="B4" s="20" t="s">
        <v>367</v>
      </c>
      <c r="C4" s="1" t="s">
        <v>374</v>
      </c>
      <c r="D4" s="152">
        <v>172</v>
      </c>
      <c r="E4" s="1">
        <v>1</v>
      </c>
      <c r="F4" s="154" t="s">
        <v>375</v>
      </c>
      <c r="G4" s="153"/>
      <c r="H4" s="153"/>
      <c r="I4" s="153"/>
      <c r="J4" s="153"/>
    </row>
    <row r="5" spans="1:10" x14ac:dyDescent="0.25">
      <c r="A5" s="51" t="s">
        <v>376</v>
      </c>
      <c r="B5" s="20" t="s">
        <v>377</v>
      </c>
      <c r="C5" s="1" t="s">
        <v>378</v>
      </c>
      <c r="D5" s="152">
        <v>420</v>
      </c>
      <c r="E5" s="1">
        <v>4</v>
      </c>
      <c r="F5" s="154" t="s">
        <v>379</v>
      </c>
      <c r="G5" s="153"/>
      <c r="H5" s="153"/>
      <c r="I5" s="153"/>
      <c r="J5" s="153"/>
    </row>
    <row r="6" spans="1:10" x14ac:dyDescent="0.25">
      <c r="A6" s="25"/>
      <c r="B6" s="20" t="s">
        <v>377</v>
      </c>
      <c r="C6" s="1" t="s">
        <v>380</v>
      </c>
      <c r="D6" s="152">
        <v>480</v>
      </c>
      <c r="E6" s="1">
        <v>4</v>
      </c>
      <c r="F6" s="92"/>
      <c r="G6" s="153"/>
      <c r="H6" s="153"/>
      <c r="I6" s="153"/>
      <c r="J6" s="153"/>
    </row>
    <row r="7" spans="1:10" x14ac:dyDescent="0.25">
      <c r="A7" s="25"/>
      <c r="B7" s="20" t="s">
        <v>377</v>
      </c>
      <c r="C7" s="1" t="s">
        <v>381</v>
      </c>
      <c r="D7" s="152">
        <v>750</v>
      </c>
      <c r="E7" s="1">
        <v>4</v>
      </c>
      <c r="F7" s="92"/>
      <c r="G7" s="153"/>
      <c r="H7" s="153"/>
      <c r="I7" s="153"/>
      <c r="J7" s="153"/>
    </row>
    <row r="8" spans="1:10" x14ac:dyDescent="0.25">
      <c r="A8" s="25"/>
      <c r="B8" s="20" t="s">
        <v>382</v>
      </c>
      <c r="C8" s="1" t="s">
        <v>383</v>
      </c>
      <c r="D8" s="152"/>
      <c r="E8" s="1">
        <v>34</v>
      </c>
      <c r="F8" s="92"/>
      <c r="G8" s="153"/>
      <c r="H8" s="153"/>
      <c r="I8" s="153"/>
      <c r="J8" s="153"/>
    </row>
    <row r="9" spans="1:10" x14ac:dyDescent="0.25">
      <c r="A9" s="25"/>
      <c r="B9" s="20" t="s">
        <v>384</v>
      </c>
      <c r="C9" s="1" t="s">
        <v>385</v>
      </c>
      <c r="D9" s="152"/>
      <c r="E9" s="1">
        <v>2</v>
      </c>
      <c r="F9" s="92"/>
      <c r="G9" s="153"/>
      <c r="H9" s="153"/>
      <c r="I9" s="153"/>
      <c r="J9" s="153"/>
    </row>
    <row r="10" spans="1:10" x14ac:dyDescent="0.25">
      <c r="A10" s="25"/>
      <c r="B10" s="20" t="s">
        <v>386</v>
      </c>
      <c r="C10" s="146" t="s">
        <v>155</v>
      </c>
      <c r="D10" s="152"/>
      <c r="E10" s="1">
        <v>81</v>
      </c>
      <c r="F10" s="92"/>
      <c r="G10" s="153"/>
      <c r="H10" s="153"/>
      <c r="I10" s="153"/>
      <c r="J10" s="153"/>
    </row>
    <row r="11" spans="1:10" x14ac:dyDescent="0.25">
      <c r="A11" s="25"/>
      <c r="B11" s="20" t="s">
        <v>220</v>
      </c>
      <c r="C11" s="146" t="s">
        <v>155</v>
      </c>
      <c r="D11" s="152"/>
      <c r="E11" s="1">
        <v>8</v>
      </c>
      <c r="F11" s="96"/>
      <c r="G11" s="153"/>
      <c r="H11" s="153"/>
      <c r="I11" s="153"/>
      <c r="J11" s="153"/>
    </row>
    <row r="12" spans="1:10" x14ac:dyDescent="0.25">
      <c r="A12" s="51" t="s">
        <v>387</v>
      </c>
      <c r="B12" s="20" t="s">
        <v>388</v>
      </c>
      <c r="C12" s="146" t="s">
        <v>155</v>
      </c>
      <c r="D12" s="152"/>
      <c r="E12" s="1">
        <v>78</v>
      </c>
      <c r="F12" s="100"/>
      <c r="G12" s="153"/>
      <c r="H12" s="153"/>
      <c r="I12" s="153"/>
      <c r="J12" s="153"/>
    </row>
    <row r="13" spans="1:10" x14ac:dyDescent="0.25">
      <c r="A13" s="25"/>
      <c r="B13" s="20" t="s">
        <v>224</v>
      </c>
      <c r="C13" s="146" t="s">
        <v>155</v>
      </c>
      <c r="D13" s="152"/>
      <c r="E13" s="1">
        <v>81</v>
      </c>
      <c r="F13" s="97"/>
      <c r="G13" s="153"/>
      <c r="H13" s="153"/>
      <c r="I13" s="153"/>
      <c r="J13" s="153"/>
    </row>
    <row r="14" spans="1:10" x14ac:dyDescent="0.25">
      <c r="A14" s="25"/>
      <c r="B14" s="20" t="s">
        <v>231</v>
      </c>
      <c r="C14" s="146" t="s">
        <v>155</v>
      </c>
      <c r="D14" s="152"/>
      <c r="E14" s="1">
        <v>4</v>
      </c>
      <c r="F14" s="96"/>
      <c r="G14" s="153"/>
      <c r="H14" s="153"/>
      <c r="I14" s="153"/>
      <c r="J14" s="153"/>
    </row>
    <row r="15" spans="1:10" x14ac:dyDescent="0.25">
      <c r="A15" s="25"/>
      <c r="B15" s="20" t="s">
        <v>238</v>
      </c>
      <c r="C15" s="146" t="s">
        <v>155</v>
      </c>
      <c r="D15" s="152"/>
      <c r="E15" s="1">
        <v>24</v>
      </c>
      <c r="F15" s="97"/>
      <c r="G15" s="153"/>
      <c r="H15" s="153"/>
      <c r="I15" s="153"/>
      <c r="J15" s="153"/>
    </row>
    <row r="16" spans="1:10" x14ac:dyDescent="0.25">
      <c r="A16" s="101" t="s">
        <v>389</v>
      </c>
      <c r="B16" s="20" t="s">
        <v>390</v>
      </c>
      <c r="C16" s="95" t="s">
        <v>391</v>
      </c>
      <c r="D16" s="152"/>
      <c r="E16" s="1">
        <v>1</v>
      </c>
      <c r="F16" s="93"/>
      <c r="G16" s="153"/>
      <c r="H16" s="153"/>
      <c r="I16" s="153"/>
      <c r="J16" s="153"/>
    </row>
    <row r="17" spans="1:7" x14ac:dyDescent="0.25">
      <c r="A17" s="25"/>
      <c r="B17" s="20" t="s">
        <v>392</v>
      </c>
      <c r="C17" s="94" t="s">
        <v>393</v>
      </c>
      <c r="D17" s="152"/>
      <c r="E17" s="1">
        <v>4</v>
      </c>
      <c r="F17" s="96"/>
      <c r="G17" s="153"/>
    </row>
    <row r="18" spans="1:7" x14ac:dyDescent="0.25">
      <c r="A18" s="25"/>
      <c r="B18" s="20" t="s">
        <v>394</v>
      </c>
      <c r="C18" s="1" t="s">
        <v>391</v>
      </c>
      <c r="D18" s="152"/>
      <c r="E18" s="1">
        <v>4</v>
      </c>
      <c r="F18" s="96"/>
      <c r="G18" s="153"/>
    </row>
    <row r="19" spans="1:7" x14ac:dyDescent="0.25">
      <c r="A19" s="61"/>
      <c r="B19" s="43" t="s">
        <v>395</v>
      </c>
      <c r="C19" s="1" t="s">
        <v>391</v>
      </c>
      <c r="D19" s="155"/>
      <c r="E19" s="44">
        <v>4</v>
      </c>
      <c r="F19" s="98"/>
      <c r="G19" s="153"/>
    </row>
    <row r="20" spans="1:7" x14ac:dyDescent="0.25">
      <c r="B20" s="153"/>
      <c r="C20" s="153"/>
      <c r="E20" s="153"/>
      <c r="G20" s="153"/>
    </row>
  </sheetData>
  <hyperlinks>
    <hyperlink ref="A3" r:id="rId1" xr:uid="{D78454D2-FBEE-4248-B9A7-0E47A1203752}"/>
    <hyperlink ref="A4" r:id="rId2" xr:uid="{876753F4-F9E7-4EFA-AEE2-78B8BD2C1EE5}"/>
    <hyperlink ref="A5" r:id="rId3" xr:uid="{43398CF9-3F06-40AA-974F-40F60A2E3BE9}"/>
    <hyperlink ref="C17" r:id="rId4" xr:uid="{C74C06A2-8408-47A6-9CF2-B2CEC99A704A}"/>
    <hyperlink ref="A12" r:id="rId5" xr:uid="{80DB00DC-8017-4A38-80BA-73ECD0013A67}"/>
    <hyperlink ref="A16" r:id="rId6" xr:uid="{AFA0A9E6-8373-4654-A979-3FF14B5ABCAF}"/>
  </hyperlinks>
  <pageMargins left="0.25" right="0.25" top="0.75" bottom="0.75" header="0.3" footer="0.3"/>
  <pageSetup paperSize="9" fitToWidth="0" fitToHeight="0" orientation="portrait" r:id="rId7"/>
  <headerFooter>
    <oddHeader>&amp;C&amp;"Aptos Black,Regular"&amp;14VALKYRIE V2 - FRAME BOM</oddHeader>
    <oddFooter>&amp;CBETA PRELEASE&amp;R&amp;P of &amp;N</oddFooter>
  </headerFooter>
  <drawing r:id="rId8"/>
  <tableParts count="1"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FFC000"/>
    <pageSetUpPr fitToPage="1"/>
  </sheetPr>
  <dimension ref="A1:H45"/>
  <sheetViews>
    <sheetView view="pageLayout" zoomScaleNormal="100" workbookViewId="0">
      <selection activeCell="B11" sqref="B11"/>
    </sheetView>
  </sheetViews>
  <sheetFormatPr defaultColWidth="11.4257812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28515625" style="2" customWidth="1"/>
    <col min="6" max="6" width="11.42578125" style="2"/>
    <col min="7" max="7" width="27" style="2" bestFit="1" customWidth="1"/>
    <col min="8" max="16349" width="11.42578125" style="2"/>
    <col min="16350" max="16355" width="11.42578125" style="2" bestFit="1" customWidth="1"/>
    <col min="16356" max="16384" width="11.42578125" style="2"/>
  </cols>
  <sheetData>
    <row r="1" spans="1:8" ht="30" customHeight="1" x14ac:dyDescent="0.25">
      <c r="A1" s="105"/>
      <c r="B1" s="106" t="s">
        <v>363</v>
      </c>
      <c r="C1" s="156" t="s">
        <v>364</v>
      </c>
      <c r="D1" s="156" t="s">
        <v>365</v>
      </c>
      <c r="E1" s="107"/>
      <c r="G1"/>
      <c r="H1"/>
    </row>
    <row r="2" spans="1:8" x14ac:dyDescent="0.25">
      <c r="A2" s="108" t="s">
        <v>366</v>
      </c>
      <c r="B2" s="146" t="s">
        <v>15</v>
      </c>
      <c r="C2" s="28"/>
      <c r="D2" s="15">
        <v>2</v>
      </c>
      <c r="E2" s="109" t="s">
        <v>369</v>
      </c>
      <c r="G2"/>
      <c r="H2"/>
    </row>
    <row r="3" spans="1:8" x14ac:dyDescent="0.25">
      <c r="A3" s="110" t="s">
        <v>370</v>
      </c>
      <c r="B3" t="s">
        <v>396</v>
      </c>
      <c r="C3" s="28"/>
      <c r="D3" s="15">
        <v>1</v>
      </c>
      <c r="E3" s="157" t="s">
        <v>372</v>
      </c>
      <c r="G3"/>
      <c r="H3"/>
    </row>
    <row r="4" spans="1:8" x14ac:dyDescent="0.25">
      <c r="A4" s="110" t="s">
        <v>373</v>
      </c>
      <c r="B4" s="146" t="s">
        <v>167</v>
      </c>
      <c r="C4" s="28"/>
      <c r="D4" s="15">
        <v>36</v>
      </c>
      <c r="E4" s="157" t="s">
        <v>375</v>
      </c>
      <c r="G4"/>
      <c r="H4"/>
    </row>
    <row r="5" spans="1:8" x14ac:dyDescent="0.25">
      <c r="A5" s="110" t="s">
        <v>376</v>
      </c>
      <c r="B5" s="146" t="s">
        <v>18</v>
      </c>
      <c r="C5" s="28"/>
      <c r="D5" s="15">
        <v>24</v>
      </c>
      <c r="E5" s="157" t="s">
        <v>379</v>
      </c>
      <c r="G5"/>
      <c r="H5"/>
    </row>
    <row r="6" spans="1:8" x14ac:dyDescent="0.25">
      <c r="A6" s="111"/>
      <c r="B6" s="146" t="s">
        <v>324</v>
      </c>
      <c r="C6" s="28"/>
      <c r="D6" s="15">
        <v>4</v>
      </c>
      <c r="E6" s="112"/>
      <c r="G6" s="1"/>
      <c r="H6"/>
    </row>
    <row r="7" spans="1:8" x14ac:dyDescent="0.25">
      <c r="A7" s="111"/>
      <c r="B7" s="146" t="s">
        <v>326</v>
      </c>
      <c r="C7" s="28"/>
      <c r="D7" s="15">
        <v>8</v>
      </c>
      <c r="E7" s="112"/>
      <c r="G7" s="1"/>
      <c r="H7"/>
    </row>
    <row r="8" spans="1:8" x14ac:dyDescent="0.25">
      <c r="A8" s="111"/>
      <c r="B8" s="146" t="s">
        <v>397</v>
      </c>
      <c r="C8" s="28"/>
      <c r="D8" s="15">
        <v>1</v>
      </c>
      <c r="E8" s="112"/>
      <c r="G8"/>
      <c r="H8"/>
    </row>
    <row r="9" spans="1:8" x14ac:dyDescent="0.25">
      <c r="A9" s="111"/>
      <c r="B9" t="s">
        <v>398</v>
      </c>
      <c r="C9" s="28"/>
      <c r="D9" s="15">
        <v>1</v>
      </c>
      <c r="E9" s="112"/>
      <c r="G9"/>
      <c r="H9"/>
    </row>
    <row r="10" spans="1:8" x14ac:dyDescent="0.25">
      <c r="A10" s="111"/>
      <c r="B10" s="1" t="s">
        <v>871</v>
      </c>
      <c r="C10"/>
      <c r="D10" s="15">
        <v>2</v>
      </c>
      <c r="E10" s="112"/>
      <c r="G10"/>
      <c r="H10"/>
    </row>
    <row r="11" spans="1:8" x14ac:dyDescent="0.25">
      <c r="A11" s="111"/>
      <c r="B11" s="1" t="s">
        <v>873</v>
      </c>
      <c r="C11" s="1"/>
      <c r="D11" s="15">
        <v>5</v>
      </c>
      <c r="E11" s="112"/>
      <c r="G11" s="1"/>
      <c r="H11"/>
    </row>
    <row r="12" spans="1:8" x14ac:dyDescent="0.25">
      <c r="A12" s="110" t="s">
        <v>387</v>
      </c>
      <c r="B12" s="2" t="s">
        <v>399</v>
      </c>
      <c r="C12" s="28"/>
      <c r="D12" s="15">
        <v>52</v>
      </c>
      <c r="E12" s="113" t="s">
        <v>389</v>
      </c>
      <c r="G12"/>
      <c r="H12"/>
    </row>
    <row r="13" spans="1:8" x14ac:dyDescent="0.25">
      <c r="A13" s="111"/>
      <c r="B13" s="146" t="s">
        <v>400</v>
      </c>
      <c r="C13" s="28"/>
      <c r="D13" s="15">
        <v>8</v>
      </c>
      <c r="E13" s="113" t="s">
        <v>401</v>
      </c>
      <c r="G13"/>
      <c r="H13"/>
    </row>
    <row r="14" spans="1:8" x14ac:dyDescent="0.25">
      <c r="A14" s="111"/>
      <c r="B14" s="146" t="s">
        <v>402</v>
      </c>
      <c r="C14" s="28"/>
      <c r="D14" s="15">
        <v>12</v>
      </c>
      <c r="E14" s="112"/>
      <c r="G14"/>
      <c r="H14"/>
    </row>
    <row r="15" spans="1:8" x14ac:dyDescent="0.25">
      <c r="A15" s="111"/>
      <c r="B15" s="2" t="s">
        <v>181</v>
      </c>
      <c r="C15" s="28"/>
      <c r="D15" s="15">
        <v>8</v>
      </c>
      <c r="E15" s="112"/>
      <c r="G15"/>
      <c r="H15"/>
    </row>
    <row r="16" spans="1:8" x14ac:dyDescent="0.25">
      <c r="A16" s="111"/>
      <c r="B16" s="2" t="s">
        <v>184</v>
      </c>
      <c r="C16" s="28"/>
      <c r="D16" s="15">
        <v>52</v>
      </c>
      <c r="E16" s="112"/>
      <c r="G16"/>
      <c r="H16"/>
    </row>
    <row r="17" spans="1:8" x14ac:dyDescent="0.25">
      <c r="A17" s="111"/>
      <c r="B17" s="2" t="s">
        <v>186</v>
      </c>
      <c r="C17" s="28"/>
      <c r="D17" s="15">
        <v>12</v>
      </c>
      <c r="E17" s="112"/>
      <c r="G17"/>
      <c r="H17"/>
    </row>
    <row r="18" spans="1:8" x14ac:dyDescent="0.25">
      <c r="A18" s="111"/>
      <c r="B18" t="s">
        <v>403</v>
      </c>
      <c r="C18" s="28"/>
      <c r="D18" s="15">
        <v>4</v>
      </c>
      <c r="E18" s="112"/>
      <c r="G18"/>
      <c r="H18"/>
    </row>
    <row r="19" spans="1:8" x14ac:dyDescent="0.25">
      <c r="A19" s="111"/>
      <c r="B19" s="2" t="s">
        <v>404</v>
      </c>
      <c r="C19" s="28"/>
      <c r="D19" s="15">
        <v>2</v>
      </c>
      <c r="E19" s="112"/>
      <c r="G19"/>
      <c r="H19"/>
    </row>
    <row r="20" spans="1:8" x14ac:dyDescent="0.25">
      <c r="A20" s="111"/>
      <c r="B20" s="2" t="s">
        <v>405</v>
      </c>
      <c r="C20" s="28"/>
      <c r="D20" s="15">
        <v>11</v>
      </c>
      <c r="E20" s="112"/>
      <c r="G20"/>
      <c r="H20"/>
    </row>
    <row r="21" spans="1:8" x14ac:dyDescent="0.25">
      <c r="A21" s="111"/>
      <c r="B21" s="2" t="s">
        <v>386</v>
      </c>
      <c r="C21" s="28"/>
      <c r="D21" s="15">
        <v>23</v>
      </c>
      <c r="E21" s="112"/>
      <c r="G21"/>
      <c r="H21"/>
    </row>
    <row r="22" spans="1:8" x14ac:dyDescent="0.25">
      <c r="A22" s="111"/>
      <c r="B22" s="2" t="s">
        <v>388</v>
      </c>
      <c r="C22" s="28"/>
      <c r="D22" s="15">
        <v>6</v>
      </c>
      <c r="E22" s="112"/>
      <c r="G22"/>
      <c r="H22"/>
    </row>
    <row r="23" spans="1:8" x14ac:dyDescent="0.25">
      <c r="A23" s="111"/>
      <c r="B23" s="2" t="s">
        <v>224</v>
      </c>
      <c r="C23" s="28"/>
      <c r="D23" s="15">
        <v>31</v>
      </c>
      <c r="E23" s="112"/>
      <c r="G23"/>
      <c r="H23"/>
    </row>
    <row r="24" spans="1:8" x14ac:dyDescent="0.25">
      <c r="A24" s="111"/>
      <c r="B24" s="2" t="s">
        <v>228</v>
      </c>
      <c r="C24" s="28"/>
      <c r="D24" s="15">
        <v>4</v>
      </c>
      <c r="E24" s="112"/>
      <c r="G24"/>
      <c r="H24"/>
    </row>
    <row r="25" spans="1:8" x14ac:dyDescent="0.25">
      <c r="A25" s="111"/>
      <c r="B25" s="2" t="s">
        <v>233</v>
      </c>
      <c r="C25" s="28"/>
      <c r="D25" s="15">
        <v>2</v>
      </c>
      <c r="E25" s="112"/>
      <c r="G25"/>
      <c r="H25"/>
    </row>
    <row r="26" spans="1:8" x14ac:dyDescent="0.25">
      <c r="A26" s="111"/>
      <c r="B26" s="146" t="s">
        <v>406</v>
      </c>
      <c r="C26" s="104" t="s">
        <v>407</v>
      </c>
      <c r="D26" s="15">
        <v>2</v>
      </c>
      <c r="E26" s="113"/>
      <c r="G26"/>
      <c r="H26"/>
    </row>
    <row r="27" spans="1:8" x14ac:dyDescent="0.25">
      <c r="A27" s="111"/>
      <c r="B27" s="146" t="s">
        <v>408</v>
      </c>
      <c r="C27" s="104" t="s">
        <v>409</v>
      </c>
      <c r="D27" s="15">
        <v>1</v>
      </c>
      <c r="E27" s="112"/>
      <c r="G27"/>
      <c r="H27"/>
    </row>
    <row r="28" spans="1:8" x14ac:dyDescent="0.25">
      <c r="A28" s="111"/>
      <c r="B28" s="146" t="s">
        <v>410</v>
      </c>
      <c r="C28" s="28"/>
      <c r="D28" s="15">
        <v>2</v>
      </c>
      <c r="E28" s="112"/>
      <c r="G28"/>
      <c r="H28"/>
    </row>
    <row r="29" spans="1:8" x14ac:dyDescent="0.25">
      <c r="A29" s="111"/>
      <c r="B29" s="38" t="s">
        <v>411</v>
      </c>
      <c r="C29" s="94" t="s">
        <v>389</v>
      </c>
      <c r="D29" s="15">
        <v>1</v>
      </c>
      <c r="E29" s="112"/>
      <c r="F29" s="146"/>
      <c r="G29"/>
      <c r="H29"/>
    </row>
    <row r="30" spans="1:8" x14ac:dyDescent="0.25">
      <c r="A30" s="111"/>
      <c r="B30" s="38" t="s">
        <v>412</v>
      </c>
      <c r="C30" s="146" t="s">
        <v>391</v>
      </c>
      <c r="D30" s="15">
        <v>4</v>
      </c>
      <c r="E30" s="112"/>
      <c r="F30" s="146"/>
      <c r="G30"/>
      <c r="H30"/>
    </row>
    <row r="31" spans="1:8" x14ac:dyDescent="0.25">
      <c r="A31" s="111"/>
      <c r="B31" t="s">
        <v>413</v>
      </c>
      <c r="C31" s="146" t="s">
        <v>391</v>
      </c>
      <c r="D31" s="15">
        <v>2</v>
      </c>
      <c r="E31" s="112"/>
      <c r="F31" s="146"/>
      <c r="G31" s="146"/>
      <c r="H31"/>
    </row>
    <row r="32" spans="1:8" x14ac:dyDescent="0.25">
      <c r="A32" s="111"/>
      <c r="B32" t="s">
        <v>414</v>
      </c>
      <c r="C32" s="146" t="s">
        <v>391</v>
      </c>
      <c r="D32" s="15">
        <v>1</v>
      </c>
      <c r="E32" s="112"/>
      <c r="F32" s="146"/>
      <c r="G32"/>
      <c r="H32"/>
    </row>
    <row r="33" spans="1:8" x14ac:dyDescent="0.25">
      <c r="A33" s="111"/>
      <c r="B33" s="38" t="s">
        <v>415</v>
      </c>
      <c r="C33" s="146" t="s">
        <v>391</v>
      </c>
      <c r="D33" s="15">
        <v>1</v>
      </c>
      <c r="E33" s="112"/>
      <c r="F33" s="146"/>
      <c r="G33"/>
      <c r="H33"/>
    </row>
    <row r="34" spans="1:8" x14ac:dyDescent="0.25">
      <c r="A34" s="111"/>
      <c r="B34" t="s">
        <v>416</v>
      </c>
      <c r="C34" s="146" t="s">
        <v>391</v>
      </c>
      <c r="D34" s="15">
        <v>1</v>
      </c>
      <c r="E34" s="112"/>
      <c r="F34" s="146"/>
      <c r="G34"/>
      <c r="H34"/>
    </row>
    <row r="35" spans="1:8" x14ac:dyDescent="0.25">
      <c r="A35" s="111"/>
      <c r="B35" s="1" t="s">
        <v>417</v>
      </c>
      <c r="C35" s="146" t="s">
        <v>391</v>
      </c>
      <c r="D35" s="15">
        <v>1</v>
      </c>
      <c r="E35" s="112"/>
      <c r="F35" s="146"/>
      <c r="G35"/>
      <c r="H35"/>
    </row>
    <row r="36" spans="1:8" x14ac:dyDescent="0.25">
      <c r="A36" s="111"/>
      <c r="B36" s="1" t="s">
        <v>418</v>
      </c>
      <c r="C36" s="146" t="s">
        <v>391</v>
      </c>
      <c r="D36" s="15">
        <v>1</v>
      </c>
      <c r="E36" s="112"/>
      <c r="F36" s="146"/>
      <c r="G36"/>
      <c r="H36"/>
    </row>
    <row r="37" spans="1:8" x14ac:dyDescent="0.25">
      <c r="A37" s="111"/>
      <c r="B37" s="38" t="s">
        <v>419</v>
      </c>
      <c r="C37" s="146" t="s">
        <v>391</v>
      </c>
      <c r="D37" s="15">
        <v>2</v>
      </c>
      <c r="E37" s="112"/>
      <c r="F37" s="146"/>
      <c r="G37"/>
      <c r="H37"/>
    </row>
    <row r="38" spans="1:8" x14ac:dyDescent="0.25">
      <c r="A38" s="111"/>
      <c r="B38" s="38" t="s">
        <v>420</v>
      </c>
      <c r="C38" s="146" t="s">
        <v>391</v>
      </c>
      <c r="D38" s="15">
        <v>2</v>
      </c>
      <c r="E38" s="112"/>
      <c r="F38" s="146"/>
      <c r="G38" s="1"/>
      <c r="H38"/>
    </row>
    <row r="39" spans="1:8" x14ac:dyDescent="0.25">
      <c r="A39" s="111"/>
      <c r="B39" s="38" t="s">
        <v>421</v>
      </c>
      <c r="C39" s="146" t="s">
        <v>391</v>
      </c>
      <c r="D39" s="15">
        <v>1</v>
      </c>
      <c r="E39" s="112"/>
      <c r="F39" s="146"/>
      <c r="G39"/>
      <c r="H39"/>
    </row>
    <row r="40" spans="1:8" x14ac:dyDescent="0.25">
      <c r="A40" s="111"/>
      <c r="B40" s="38" t="s">
        <v>422</v>
      </c>
      <c r="C40" s="146" t="s">
        <v>391</v>
      </c>
      <c r="D40" s="15">
        <v>1</v>
      </c>
      <c r="E40" s="112"/>
      <c r="F40" s="146"/>
      <c r="G40"/>
      <c r="H40"/>
    </row>
    <row r="41" spans="1:8" x14ac:dyDescent="0.25">
      <c r="A41" s="111"/>
      <c r="B41" s="1" t="s">
        <v>423</v>
      </c>
      <c r="C41" s="146" t="s">
        <v>391</v>
      </c>
      <c r="D41" s="15">
        <v>1</v>
      </c>
      <c r="E41" s="112"/>
      <c r="F41" s="146"/>
      <c r="G41"/>
      <c r="H41"/>
    </row>
    <row r="42" spans="1:8" x14ac:dyDescent="0.25">
      <c r="A42" s="111"/>
      <c r="B42" s="1" t="s">
        <v>424</v>
      </c>
      <c r="C42" s="146" t="s">
        <v>391</v>
      </c>
      <c r="D42" s="15">
        <v>1</v>
      </c>
      <c r="E42" s="112"/>
      <c r="F42" s="146"/>
      <c r="G42"/>
      <c r="H42"/>
    </row>
    <row r="43" spans="1:8" x14ac:dyDescent="0.25">
      <c r="A43" s="111"/>
      <c r="B43" s="38" t="s">
        <v>425</v>
      </c>
      <c r="C43" s="146" t="s">
        <v>391</v>
      </c>
      <c r="D43" s="15">
        <v>1</v>
      </c>
      <c r="E43" s="112"/>
      <c r="F43" s="146"/>
      <c r="G43"/>
      <c r="H43"/>
    </row>
    <row r="44" spans="1:8" ht="15.75" thickBot="1" x14ac:dyDescent="0.3">
      <c r="A44" s="114"/>
      <c r="B44" s="38" t="s">
        <v>426</v>
      </c>
      <c r="C44" s="158" t="s">
        <v>391</v>
      </c>
      <c r="D44" s="115">
        <v>1</v>
      </c>
      <c r="E44" s="116"/>
      <c r="F44" s="146"/>
      <c r="G44"/>
      <c r="H44"/>
    </row>
    <row r="45" spans="1:8" x14ac:dyDescent="0.25">
      <c r="F45" s="146"/>
    </row>
  </sheetData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C29" r:id="rId4" xr:uid="{16BBC515-0514-4F88-AB3F-01B1E2D2F2C9}"/>
    <hyperlink ref="A12" r:id="rId5" xr:uid="{B5C7BE32-BF08-4AD0-86BD-7FDA34EA2715}"/>
    <hyperlink ref="E12" r:id="rId6" xr:uid="{333D6762-5A43-4D14-875B-F43B8528B146}"/>
    <hyperlink ref="E13" r:id="rId7" xr:uid="{D0E7FF63-3CE4-48AA-BD1A-6A17425DFD50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8"/>
  <headerFooter>
    <oddHeader>&amp;C&amp;"Aptos Black,Regular"&amp;14VALKYRIE V2 - AB GANTRY BOM</oddHeader>
    <oddFooter>&amp;CBETA PRELEASE&amp;R&amp;P of &amp;N</oddFooter>
  </headerFooter>
  <drawing r:id="rId9"/>
  <tableParts count="1">
    <tablePart r:id="rId10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00B050"/>
    <pageSetUpPr fitToPage="1"/>
  </sheetPr>
  <dimension ref="A1:F39"/>
  <sheetViews>
    <sheetView view="pageLayout" topLeftCell="A30" zoomScaleNormal="100" workbookViewId="0">
      <selection activeCell="F12" sqref="F12"/>
    </sheetView>
  </sheetViews>
  <sheetFormatPr defaultColWidth="11.4257812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7109375" style="2" customWidth="1"/>
    <col min="6" max="6" width="54.5703125" style="2" customWidth="1"/>
    <col min="7" max="16361" width="11.42578125" style="2"/>
    <col min="16362" max="16367" width="11.42578125" style="2" bestFit="1" customWidth="1"/>
    <col min="16368" max="16384" width="11.42578125" style="2"/>
  </cols>
  <sheetData>
    <row r="1" spans="1:6" ht="30" customHeight="1" x14ac:dyDescent="0.25">
      <c r="A1" s="53"/>
      <c r="B1" s="66" t="s">
        <v>363</v>
      </c>
      <c r="C1" s="142" t="s">
        <v>364</v>
      </c>
      <c r="D1" s="142" t="s">
        <v>365</v>
      </c>
      <c r="E1" s="50"/>
    </row>
    <row r="2" spans="1:6" x14ac:dyDescent="0.25">
      <c r="A2" s="54" t="s">
        <v>366</v>
      </c>
      <c r="B2" s="146" t="s">
        <v>427</v>
      </c>
      <c r="C2"/>
      <c r="D2" s="15">
        <v>1</v>
      </c>
      <c r="E2" s="55" t="s">
        <v>369</v>
      </c>
    </row>
    <row r="3" spans="1:6" x14ac:dyDescent="0.25">
      <c r="A3" s="51" t="s">
        <v>370</v>
      </c>
      <c r="B3" s="144" t="s">
        <v>338</v>
      </c>
      <c r="C3" s="144"/>
      <c r="D3" s="15">
        <v>1</v>
      </c>
      <c r="E3" s="159" t="s">
        <v>372</v>
      </c>
    </row>
    <row r="4" spans="1:6" x14ac:dyDescent="0.25">
      <c r="A4" s="51" t="s">
        <v>373</v>
      </c>
      <c r="B4" s="144" t="s">
        <v>428</v>
      </c>
      <c r="C4" s="144"/>
      <c r="D4" s="15">
        <v>1</v>
      </c>
      <c r="E4" s="159" t="s">
        <v>375</v>
      </c>
    </row>
    <row r="5" spans="1:6" x14ac:dyDescent="0.25">
      <c r="A5" s="51" t="s">
        <v>376</v>
      </c>
      <c r="B5" t="s">
        <v>134</v>
      </c>
      <c r="C5"/>
      <c r="D5" s="15">
        <v>1</v>
      </c>
      <c r="E5" s="159" t="s">
        <v>379</v>
      </c>
    </row>
    <row r="6" spans="1:6" x14ac:dyDescent="0.25">
      <c r="A6" s="25"/>
      <c r="B6" s="28" t="s">
        <v>429</v>
      </c>
      <c r="C6"/>
      <c r="D6" s="15">
        <v>1</v>
      </c>
      <c r="E6" s="56"/>
      <c r="F6" s="139" t="s">
        <v>430</v>
      </c>
    </row>
    <row r="7" spans="1:6" x14ac:dyDescent="0.25">
      <c r="A7" s="25"/>
      <c r="B7" s="58" t="s">
        <v>75</v>
      </c>
      <c r="C7"/>
      <c r="D7" s="15">
        <v>1</v>
      </c>
      <c r="E7" s="56"/>
    </row>
    <row r="8" spans="1:6" x14ac:dyDescent="0.25">
      <c r="A8" s="25"/>
      <c r="B8" t="s">
        <v>431</v>
      </c>
      <c r="C8" s="67"/>
      <c r="D8" s="15">
        <v>9</v>
      </c>
      <c r="E8" s="56"/>
    </row>
    <row r="9" spans="1:6" x14ac:dyDescent="0.25">
      <c r="A9" s="25"/>
      <c r="B9" t="s">
        <v>432</v>
      </c>
      <c r="C9"/>
      <c r="D9" s="15">
        <v>2</v>
      </c>
      <c r="E9" s="56"/>
    </row>
    <row r="10" spans="1:6" x14ac:dyDescent="0.25">
      <c r="A10" s="25"/>
      <c r="B10" s="1" t="s">
        <v>433</v>
      </c>
      <c r="C10" s="1"/>
      <c r="D10" s="15">
        <v>7</v>
      </c>
      <c r="E10" s="56"/>
    </row>
    <row r="11" spans="1:6" x14ac:dyDescent="0.25">
      <c r="A11" s="25"/>
      <c r="B11" t="s">
        <v>183</v>
      </c>
      <c r="C11"/>
      <c r="D11" s="15">
        <v>6</v>
      </c>
      <c r="E11" s="56"/>
    </row>
    <row r="12" spans="1:6" x14ac:dyDescent="0.25">
      <c r="A12" s="51" t="s">
        <v>387</v>
      </c>
      <c r="B12" s="1" t="s">
        <v>434</v>
      </c>
      <c r="C12" s="1"/>
      <c r="D12" s="15">
        <v>2</v>
      </c>
      <c r="E12" s="56"/>
    </row>
    <row r="13" spans="1:6" x14ac:dyDescent="0.25">
      <c r="A13" s="25"/>
      <c r="B13" s="1" t="s">
        <v>435</v>
      </c>
      <c r="C13" s="1"/>
      <c r="D13" s="15">
        <v>10</v>
      </c>
      <c r="E13" s="56"/>
    </row>
    <row r="14" spans="1:6" x14ac:dyDescent="0.25">
      <c r="A14" s="25"/>
      <c r="B14" t="s">
        <v>436</v>
      </c>
      <c r="C14" s="1"/>
      <c r="D14" s="15">
        <v>1</v>
      </c>
      <c r="E14" s="56"/>
    </row>
    <row r="15" spans="1:6" x14ac:dyDescent="0.25">
      <c r="A15" s="25"/>
      <c r="B15" s="1" t="s">
        <v>437</v>
      </c>
      <c r="C15" s="1"/>
      <c r="D15" s="15">
        <v>1</v>
      </c>
      <c r="E15" s="56"/>
    </row>
    <row r="16" spans="1:6" x14ac:dyDescent="0.25">
      <c r="A16" s="25"/>
      <c r="B16" s="13" t="s">
        <v>252</v>
      </c>
      <c r="C16" s="13"/>
      <c r="D16" s="15">
        <v>4</v>
      </c>
      <c r="E16" s="56"/>
    </row>
    <row r="17" spans="1:5" x14ac:dyDescent="0.25">
      <c r="A17" s="25"/>
      <c r="B17" s="13" t="s">
        <v>438</v>
      </c>
      <c r="C17" s="13"/>
      <c r="D17" s="15">
        <v>1</v>
      </c>
      <c r="E17" s="56"/>
    </row>
    <row r="18" spans="1:5" x14ac:dyDescent="0.25">
      <c r="A18" s="25"/>
      <c r="B18" s="160" t="s">
        <v>439</v>
      </c>
      <c r="C18" s="68" t="s">
        <v>440</v>
      </c>
      <c r="D18" s="57">
        <v>1</v>
      </c>
      <c r="E18" s="56"/>
    </row>
    <row r="19" spans="1:5" x14ac:dyDescent="0.25">
      <c r="A19" s="25"/>
      <c r="B19" s="69" t="s">
        <v>441</v>
      </c>
      <c r="C19" s="69"/>
      <c r="D19" s="15">
        <v>1</v>
      </c>
      <c r="E19" s="56"/>
    </row>
    <row r="20" spans="1:5" x14ac:dyDescent="0.25">
      <c r="A20" s="25"/>
      <c r="B20" s="161" t="s">
        <v>442</v>
      </c>
      <c r="C20" s="161"/>
      <c r="D20" s="15">
        <v>1</v>
      </c>
      <c r="E20" s="56"/>
    </row>
    <row r="21" spans="1:5" x14ac:dyDescent="0.25">
      <c r="A21" s="25"/>
      <c r="B21" s="67" t="s">
        <v>443</v>
      </c>
      <c r="C21" s="67"/>
      <c r="D21" s="15">
        <v>1</v>
      </c>
      <c r="E21" s="56"/>
    </row>
    <row r="22" spans="1:5" x14ac:dyDescent="0.25">
      <c r="A22" s="25"/>
      <c r="B22" s="161" t="s">
        <v>444</v>
      </c>
      <c r="C22" s="161"/>
      <c r="D22" s="15">
        <v>1</v>
      </c>
      <c r="E22" s="56"/>
    </row>
    <row r="23" spans="1:5" x14ac:dyDescent="0.25">
      <c r="A23" s="25"/>
      <c r="B23" s="67" t="s">
        <v>445</v>
      </c>
      <c r="C23" s="67"/>
      <c r="D23" s="15">
        <v>1</v>
      </c>
      <c r="E23" s="56"/>
    </row>
    <row r="24" spans="1:5" x14ac:dyDescent="0.25">
      <c r="A24" s="25"/>
      <c r="B24" s="70" t="s">
        <v>446</v>
      </c>
      <c r="C24" s="70"/>
      <c r="D24" s="15">
        <v>1</v>
      </c>
      <c r="E24" s="56"/>
    </row>
    <row r="25" spans="1:5" x14ac:dyDescent="0.25">
      <c r="A25" s="25"/>
      <c r="B25" s="38" t="s">
        <v>447</v>
      </c>
      <c r="C25" s="70"/>
      <c r="D25" s="15">
        <v>1</v>
      </c>
      <c r="E25" s="56"/>
    </row>
    <row r="26" spans="1:5" x14ac:dyDescent="0.25">
      <c r="A26" s="25"/>
      <c r="B26" s="70" t="s">
        <v>448</v>
      </c>
      <c r="C26" s="67"/>
      <c r="D26" s="15">
        <v>1</v>
      </c>
      <c r="E26" s="56"/>
    </row>
    <row r="27" spans="1:5" ht="15.75" thickBot="1" x14ac:dyDescent="0.3">
      <c r="A27" s="25"/>
      <c r="B27" s="64"/>
      <c r="C27" s="64"/>
      <c r="D27" s="153"/>
      <c r="E27" s="56"/>
    </row>
    <row r="28" spans="1:5" ht="18.75" x14ac:dyDescent="0.3">
      <c r="A28" s="25"/>
      <c r="B28" s="21" t="s">
        <v>449</v>
      </c>
      <c r="C28" s="22"/>
      <c r="D28" s="46"/>
      <c r="E28" s="56"/>
    </row>
    <row r="29" spans="1:5" ht="30" customHeight="1" x14ac:dyDescent="0.25">
      <c r="A29" s="25"/>
      <c r="B29" s="23" t="s">
        <v>363</v>
      </c>
      <c r="C29" s="162" t="s">
        <v>364</v>
      </c>
      <c r="D29" s="163" t="s">
        <v>365</v>
      </c>
      <c r="E29" s="56"/>
    </row>
    <row r="30" spans="1:5" x14ac:dyDescent="0.25">
      <c r="A30" s="25"/>
      <c r="B30" s="20" t="s">
        <v>347</v>
      </c>
      <c r="C30" s="1"/>
      <c r="D30" s="47">
        <v>1</v>
      </c>
      <c r="E30" s="56"/>
    </row>
    <row r="31" spans="1:5" x14ac:dyDescent="0.25">
      <c r="A31" s="25"/>
      <c r="B31" s="20" t="s">
        <v>450</v>
      </c>
      <c r="C31"/>
      <c r="D31" s="47">
        <v>1</v>
      </c>
      <c r="E31" s="56"/>
    </row>
    <row r="32" spans="1:5" x14ac:dyDescent="0.25">
      <c r="A32" s="25"/>
      <c r="B32" s="20" t="s">
        <v>451</v>
      </c>
      <c r="C32" s="1"/>
      <c r="D32" s="47">
        <v>2</v>
      </c>
      <c r="E32" s="56"/>
    </row>
    <row r="33" spans="1:5" x14ac:dyDescent="0.25">
      <c r="A33" s="25"/>
      <c r="B33" s="24" t="s">
        <v>452</v>
      </c>
      <c r="C33" s="67"/>
      <c r="D33" s="47">
        <v>1</v>
      </c>
      <c r="E33" s="56"/>
    </row>
    <row r="34" spans="1:5" x14ac:dyDescent="0.25">
      <c r="A34" s="25"/>
      <c r="B34" s="17" t="s">
        <v>355</v>
      </c>
      <c r="C34" s="13"/>
      <c r="D34" s="47">
        <v>1</v>
      </c>
      <c r="E34" s="56"/>
    </row>
    <row r="35" spans="1:5" x14ac:dyDescent="0.25">
      <c r="A35" s="25"/>
      <c r="B35" s="26" t="s">
        <v>349</v>
      </c>
      <c r="C35" s="69"/>
      <c r="D35" s="47">
        <v>1</v>
      </c>
      <c r="E35" s="56"/>
    </row>
    <row r="36" spans="1:5" x14ac:dyDescent="0.25">
      <c r="A36" s="25"/>
      <c r="B36" s="27" t="s">
        <v>351</v>
      </c>
      <c r="C36" s="161"/>
      <c r="D36" s="47">
        <v>1</v>
      </c>
      <c r="E36" s="56"/>
    </row>
    <row r="37" spans="1:5" x14ac:dyDescent="0.25">
      <c r="A37" s="25"/>
      <c r="B37" s="17" t="s">
        <v>353</v>
      </c>
      <c r="C37" s="13"/>
      <c r="D37" s="47">
        <v>1</v>
      </c>
      <c r="E37" s="56"/>
    </row>
    <row r="38" spans="1:5" x14ac:dyDescent="0.25">
      <c r="A38" s="25"/>
      <c r="B38" s="20" t="s">
        <v>453</v>
      </c>
      <c r="C38" s="1"/>
      <c r="D38" s="47">
        <v>1</v>
      </c>
      <c r="E38" s="56"/>
    </row>
    <row r="39" spans="1:5" ht="15.75" thickBot="1" x14ac:dyDescent="0.3">
      <c r="A39" s="61"/>
      <c r="B39" s="43" t="s">
        <v>344</v>
      </c>
      <c r="C39" s="44"/>
      <c r="D39" s="48">
        <v>1</v>
      </c>
      <c r="E39" s="63"/>
    </row>
  </sheetData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69" orientation="portrait" r:id="rId5"/>
  <headerFooter>
    <oddHeader>&amp;C&amp;"Aptos Black,Regular"&amp;14VALKYRIE V2 - TOOLHEAD BOM</oddHeader>
    <oddFooter>&amp;CBETA PRELEASE&amp;R&amp;P of &amp;N</oddFooter>
  </headerFooter>
  <drawing r:id="rId6"/>
  <tableParts count="2">
    <tablePart r:id="rId7"/>
    <tablePart r:id="rId8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FFC000"/>
    <pageSetUpPr fitToPage="1"/>
  </sheetPr>
  <dimension ref="A1:E47"/>
  <sheetViews>
    <sheetView tabSelected="1" view="pageLayout" zoomScaleNormal="100" workbookViewId="0"/>
  </sheetViews>
  <sheetFormatPr defaultColWidth="11.4257812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85546875" style="2" customWidth="1"/>
    <col min="6" max="16361" width="11.42578125" style="2"/>
    <col min="16362" max="16367" width="11.42578125" style="2" bestFit="1" customWidth="1"/>
    <col min="16368" max="16384" width="11.42578125" style="2"/>
  </cols>
  <sheetData>
    <row r="1" spans="1:5" ht="30" customHeight="1" x14ac:dyDescent="0.25">
      <c r="A1" s="53"/>
      <c r="B1" s="10" t="s">
        <v>363</v>
      </c>
      <c r="C1" s="162" t="s">
        <v>364</v>
      </c>
      <c r="D1" s="162" t="s">
        <v>365</v>
      </c>
      <c r="E1" s="50"/>
    </row>
    <row r="2" spans="1:5" ht="18" customHeight="1" x14ac:dyDescent="0.25">
      <c r="A2" s="54" t="s">
        <v>366</v>
      </c>
      <c r="B2" s="28" t="s">
        <v>164</v>
      </c>
      <c r="D2" s="15">
        <v>12</v>
      </c>
      <c r="E2" s="55" t="s">
        <v>369</v>
      </c>
    </row>
    <row r="3" spans="1:5" ht="18" customHeight="1" x14ac:dyDescent="0.25">
      <c r="A3" s="51" t="s">
        <v>370</v>
      </c>
      <c r="B3" s="146" t="s">
        <v>454</v>
      </c>
      <c r="C3" s="146"/>
      <c r="D3" s="15">
        <v>12</v>
      </c>
      <c r="E3" s="159" t="s">
        <v>372</v>
      </c>
    </row>
    <row r="4" spans="1:5" x14ac:dyDescent="0.25">
      <c r="A4" s="51" t="s">
        <v>373</v>
      </c>
      <c r="B4" s="146" t="s">
        <v>319</v>
      </c>
      <c r="C4" s="146"/>
      <c r="D4" s="15">
        <v>3</v>
      </c>
      <c r="E4" s="159" t="s">
        <v>375</v>
      </c>
    </row>
    <row r="5" spans="1:5" x14ac:dyDescent="0.25">
      <c r="A5" s="51" t="s">
        <v>376</v>
      </c>
      <c r="B5" s="146" t="s">
        <v>322</v>
      </c>
      <c r="C5" s="146"/>
      <c r="D5" s="15">
        <v>6</v>
      </c>
      <c r="E5" s="159" t="s">
        <v>379</v>
      </c>
    </row>
    <row r="6" spans="1:5" x14ac:dyDescent="0.25">
      <c r="A6" s="25"/>
      <c r="B6" s="45" t="s">
        <v>311</v>
      </c>
      <c r="C6" s="146" t="s">
        <v>312</v>
      </c>
      <c r="D6" s="149">
        <v>1</v>
      </c>
      <c r="E6" s="56"/>
    </row>
    <row r="7" spans="1:5" x14ac:dyDescent="0.25">
      <c r="A7" s="25"/>
      <c r="B7" s="13" t="s">
        <v>455</v>
      </c>
      <c r="C7" s="146" t="s">
        <v>456</v>
      </c>
      <c r="D7" s="149">
        <v>28</v>
      </c>
      <c r="E7" s="56"/>
    </row>
    <row r="8" spans="1:5" x14ac:dyDescent="0.25">
      <c r="A8" s="25"/>
      <c r="B8" s="146" t="s">
        <v>457</v>
      </c>
      <c r="C8" s="146"/>
      <c r="D8" s="15">
        <v>1</v>
      </c>
      <c r="E8" s="56"/>
    </row>
    <row r="9" spans="1:5" x14ac:dyDescent="0.25">
      <c r="A9" s="25"/>
      <c r="B9" s="38" t="s">
        <v>458</v>
      </c>
      <c r="D9" s="15">
        <v>3</v>
      </c>
      <c r="E9" s="56"/>
    </row>
    <row r="10" spans="1:5" x14ac:dyDescent="0.25">
      <c r="A10" s="25"/>
      <c r="B10" s="146" t="s">
        <v>244</v>
      </c>
      <c r="C10" s="146"/>
      <c r="D10" s="149">
        <v>6</v>
      </c>
      <c r="E10" s="56"/>
    </row>
    <row r="11" spans="1:5" x14ac:dyDescent="0.25">
      <c r="A11" s="25"/>
      <c r="B11" s="287" t="s">
        <v>872</v>
      </c>
      <c r="C11" s="146"/>
      <c r="D11" s="149">
        <v>3</v>
      </c>
      <c r="E11" s="56"/>
    </row>
    <row r="12" spans="1:5" x14ac:dyDescent="0.25">
      <c r="A12" s="51" t="s">
        <v>387</v>
      </c>
      <c r="B12" s="143" t="s">
        <v>459</v>
      </c>
      <c r="C12" s="146"/>
      <c r="D12" s="15">
        <v>1</v>
      </c>
      <c r="E12" s="56"/>
    </row>
    <row r="13" spans="1:5" x14ac:dyDescent="0.25">
      <c r="A13" s="25"/>
      <c r="B13" s="146" t="s">
        <v>399</v>
      </c>
      <c r="C13" s="146"/>
      <c r="D13" s="15">
        <v>42</v>
      </c>
      <c r="E13" s="56"/>
    </row>
    <row r="14" spans="1:5" x14ac:dyDescent="0.25">
      <c r="A14" s="25"/>
      <c r="B14" s="2" t="s">
        <v>460</v>
      </c>
      <c r="D14" s="15">
        <v>3</v>
      </c>
      <c r="E14" s="56"/>
    </row>
    <row r="15" spans="1:5" x14ac:dyDescent="0.25">
      <c r="A15" s="25"/>
      <c r="B15" s="2" t="s">
        <v>461</v>
      </c>
      <c r="D15" s="15">
        <v>27</v>
      </c>
      <c r="E15" s="56"/>
    </row>
    <row r="16" spans="1:5" x14ac:dyDescent="0.25">
      <c r="A16" s="25"/>
      <c r="B16" s="2" t="s">
        <v>184</v>
      </c>
      <c r="D16" s="15">
        <v>54</v>
      </c>
      <c r="E16" s="56"/>
    </row>
    <row r="17" spans="1:5" x14ac:dyDescent="0.25">
      <c r="A17" s="25"/>
      <c r="B17" s="2" t="s">
        <v>186</v>
      </c>
      <c r="D17" s="15">
        <v>8</v>
      </c>
      <c r="E17" s="56"/>
    </row>
    <row r="18" spans="1:5" x14ac:dyDescent="0.25">
      <c r="A18" s="25"/>
      <c r="B18" s="2" t="s">
        <v>403</v>
      </c>
      <c r="D18" s="15">
        <v>7</v>
      </c>
      <c r="E18" s="56"/>
    </row>
    <row r="19" spans="1:5" x14ac:dyDescent="0.25">
      <c r="A19" s="25"/>
      <c r="B19" s="2" t="s">
        <v>462</v>
      </c>
      <c r="D19" s="15">
        <v>3</v>
      </c>
      <c r="E19" s="56"/>
    </row>
    <row r="20" spans="1:5" x14ac:dyDescent="0.25">
      <c r="A20" s="25"/>
      <c r="B20" s="2" t="s">
        <v>463</v>
      </c>
      <c r="D20" s="15">
        <v>3</v>
      </c>
      <c r="E20" s="56"/>
    </row>
    <row r="21" spans="1:5" x14ac:dyDescent="0.25">
      <c r="A21" s="25"/>
      <c r="B21" s="2" t="s">
        <v>464</v>
      </c>
      <c r="D21" s="15">
        <v>3</v>
      </c>
      <c r="E21" s="56"/>
    </row>
    <row r="22" spans="1:5" x14ac:dyDescent="0.25">
      <c r="A22" s="25"/>
      <c r="B22" s="2" t="s">
        <v>210</v>
      </c>
      <c r="D22" s="15">
        <v>3</v>
      </c>
      <c r="E22" s="56"/>
    </row>
    <row r="23" spans="1:5" x14ac:dyDescent="0.25">
      <c r="A23" s="25"/>
      <c r="B23" s="2" t="s">
        <v>404</v>
      </c>
      <c r="D23" s="15">
        <v>3</v>
      </c>
      <c r="E23" s="56"/>
    </row>
    <row r="24" spans="1:5" x14ac:dyDescent="0.25">
      <c r="A24" s="25"/>
      <c r="B24" s="2" t="s">
        <v>386</v>
      </c>
      <c r="D24" s="15">
        <v>24</v>
      </c>
      <c r="E24" s="56"/>
    </row>
    <row r="25" spans="1:5" x14ac:dyDescent="0.25">
      <c r="A25" s="25"/>
      <c r="B25" s="146" t="s">
        <v>388</v>
      </c>
      <c r="C25" s="146"/>
      <c r="D25" s="15">
        <v>6</v>
      </c>
      <c r="E25" s="56"/>
    </row>
    <row r="26" spans="1:5" x14ac:dyDescent="0.25">
      <c r="A26" s="25"/>
      <c r="B26" s="146" t="s">
        <v>224</v>
      </c>
      <c r="C26" s="146"/>
      <c r="D26" s="15">
        <v>21</v>
      </c>
      <c r="E26" s="56"/>
    </row>
    <row r="27" spans="1:5" x14ac:dyDescent="0.25">
      <c r="A27" s="25"/>
      <c r="B27" s="2" t="s">
        <v>226</v>
      </c>
      <c r="D27" s="15">
        <v>3</v>
      </c>
      <c r="E27" s="56"/>
    </row>
    <row r="28" spans="1:5" x14ac:dyDescent="0.25">
      <c r="A28" s="25"/>
      <c r="B28" s="2" t="s">
        <v>465</v>
      </c>
      <c r="D28" s="15">
        <v>3</v>
      </c>
      <c r="E28" s="56"/>
    </row>
    <row r="29" spans="1:5" x14ac:dyDescent="0.25">
      <c r="A29" s="25"/>
      <c r="B29" s="2" t="s">
        <v>466</v>
      </c>
      <c r="D29" s="15">
        <v>3</v>
      </c>
      <c r="E29" s="56"/>
    </row>
    <row r="30" spans="1:5" x14ac:dyDescent="0.25">
      <c r="A30" s="25"/>
      <c r="B30" s="2" t="s">
        <v>467</v>
      </c>
      <c r="D30" s="15">
        <v>3</v>
      </c>
      <c r="E30" s="56"/>
    </row>
    <row r="31" spans="1:5" x14ac:dyDescent="0.25">
      <c r="A31" s="25"/>
      <c r="B31" s="2" t="s">
        <v>468</v>
      </c>
      <c r="D31" s="15">
        <v>1</v>
      </c>
      <c r="E31" s="56"/>
    </row>
    <row r="32" spans="1:5" x14ac:dyDescent="0.25">
      <c r="A32" s="25"/>
      <c r="B32" s="2" t="s">
        <v>469</v>
      </c>
      <c r="D32" s="15">
        <v>1</v>
      </c>
      <c r="E32" s="56"/>
    </row>
    <row r="33" spans="1:5" x14ac:dyDescent="0.25">
      <c r="A33" s="25"/>
      <c r="B33" s="2" t="s">
        <v>470</v>
      </c>
      <c r="D33" s="15">
        <v>1</v>
      </c>
      <c r="E33" s="56"/>
    </row>
    <row r="34" spans="1:5" x14ac:dyDescent="0.25">
      <c r="A34" s="25"/>
      <c r="B34" s="2" t="s">
        <v>471</v>
      </c>
      <c r="D34" s="15">
        <v>2</v>
      </c>
      <c r="E34" s="56"/>
    </row>
    <row r="35" spans="1:5" x14ac:dyDescent="0.25">
      <c r="A35" s="25"/>
      <c r="B35" s="2" t="s">
        <v>472</v>
      </c>
      <c r="D35" s="15">
        <v>1</v>
      </c>
      <c r="E35" s="56"/>
    </row>
    <row r="36" spans="1:5" x14ac:dyDescent="0.25">
      <c r="A36" s="25"/>
      <c r="B36" s="2" t="s">
        <v>473</v>
      </c>
      <c r="D36" s="15">
        <v>1</v>
      </c>
      <c r="E36" s="56"/>
    </row>
    <row r="37" spans="1:5" x14ac:dyDescent="0.25">
      <c r="A37" s="25"/>
      <c r="B37" s="146" t="s">
        <v>474</v>
      </c>
      <c r="C37" s="146"/>
      <c r="D37" s="15">
        <v>1</v>
      </c>
      <c r="E37" s="56"/>
    </row>
    <row r="38" spans="1:5" x14ac:dyDescent="0.25">
      <c r="A38" s="25"/>
      <c r="B38" s="2" t="s">
        <v>475</v>
      </c>
      <c r="D38" s="15">
        <v>1</v>
      </c>
      <c r="E38" s="56"/>
    </row>
    <row r="39" spans="1:5" x14ac:dyDescent="0.25">
      <c r="A39" s="25"/>
      <c r="B39" s="2" t="s">
        <v>476</v>
      </c>
      <c r="D39" s="15">
        <v>1</v>
      </c>
      <c r="E39" s="56"/>
    </row>
    <row r="40" spans="1:5" x14ac:dyDescent="0.25">
      <c r="A40" s="25"/>
      <c r="B40" s="2" t="s">
        <v>477</v>
      </c>
      <c r="D40" s="15">
        <v>1</v>
      </c>
      <c r="E40" s="56"/>
    </row>
    <row r="41" spans="1:5" x14ac:dyDescent="0.25">
      <c r="A41" s="25"/>
      <c r="B41" s="2" t="s">
        <v>478</v>
      </c>
      <c r="D41" s="15">
        <v>1</v>
      </c>
      <c r="E41" s="56"/>
    </row>
    <row r="42" spans="1:5" x14ac:dyDescent="0.25">
      <c r="A42" s="25"/>
      <c r="B42" s="2" t="s">
        <v>479</v>
      </c>
      <c r="D42" s="15">
        <v>3</v>
      </c>
      <c r="E42" s="56"/>
    </row>
    <row r="43" spans="1:5" x14ac:dyDescent="0.25">
      <c r="A43" s="25"/>
      <c r="B43" s="2" t="s">
        <v>480</v>
      </c>
      <c r="D43" s="15">
        <v>1</v>
      </c>
      <c r="E43" s="56"/>
    </row>
    <row r="44" spans="1:5" ht="15.75" thickBot="1" x14ac:dyDescent="0.3">
      <c r="A44" s="61"/>
      <c r="B44" s="2" t="s">
        <v>481</v>
      </c>
      <c r="D44" s="15">
        <v>1</v>
      </c>
      <c r="E44" s="63"/>
    </row>
    <row r="45" spans="1:5" x14ac:dyDescent="0.25">
      <c r="B45" s="2" t="s">
        <v>482</v>
      </c>
      <c r="D45" s="15">
        <v>1</v>
      </c>
    </row>
    <row r="47" spans="1:5" x14ac:dyDescent="0.25">
      <c r="B47" s="136" t="s">
        <v>483</v>
      </c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Z SYSTEM BOM</oddHeader>
    <oddFooter>&amp;CBETA PRELEASE&amp;R&amp;P of &amp;N</oddFooter>
  </headerFooter>
  <drawing r:id="rId6"/>
  <tableParts count="1"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FFC000"/>
    <pageSetUpPr fitToPage="1"/>
  </sheetPr>
  <dimension ref="A1:E74"/>
  <sheetViews>
    <sheetView view="pageLayout" topLeftCell="B27" zoomScaleNormal="100" workbookViewId="0">
      <selection activeCell="B33" sqref="B33"/>
    </sheetView>
  </sheetViews>
  <sheetFormatPr defaultColWidth="3.710937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5703125" style="2" customWidth="1"/>
    <col min="6" max="16338" width="3.7109375" style="2"/>
    <col min="16339" max="16344" width="11.42578125" style="2" bestFit="1" customWidth="1"/>
    <col min="16345" max="16384" width="3.7109375" style="2"/>
  </cols>
  <sheetData>
    <row r="1" spans="1:5" ht="30" customHeight="1" x14ac:dyDescent="0.25">
      <c r="A1" s="53"/>
      <c r="B1" s="66" t="s">
        <v>363</v>
      </c>
      <c r="C1" s="142" t="s">
        <v>364</v>
      </c>
      <c r="D1" s="142" t="s">
        <v>365</v>
      </c>
      <c r="E1" s="50"/>
    </row>
    <row r="2" spans="1:5" x14ac:dyDescent="0.25">
      <c r="A2" s="54" t="s">
        <v>366</v>
      </c>
      <c r="B2" s="28" t="s">
        <v>164</v>
      </c>
      <c r="C2" s="146"/>
      <c r="D2" s="15">
        <v>14</v>
      </c>
      <c r="E2" s="55" t="s">
        <v>369</v>
      </c>
    </row>
    <row r="3" spans="1:5" x14ac:dyDescent="0.25">
      <c r="A3" s="51" t="s">
        <v>370</v>
      </c>
      <c r="B3" t="s">
        <v>484</v>
      </c>
      <c r="C3" s="146"/>
      <c r="D3" s="15">
        <v>13</v>
      </c>
      <c r="E3" s="159" t="s">
        <v>372</v>
      </c>
    </row>
    <row r="4" spans="1:5" x14ac:dyDescent="0.25">
      <c r="A4" s="51" t="s">
        <v>373</v>
      </c>
      <c r="B4" s="146" t="s">
        <v>169</v>
      </c>
      <c r="C4" s="146"/>
      <c r="D4" s="15">
        <v>2</v>
      </c>
      <c r="E4" s="159" t="s">
        <v>375</v>
      </c>
    </row>
    <row r="5" spans="1:5" x14ac:dyDescent="0.25">
      <c r="A5" s="51" t="s">
        <v>376</v>
      </c>
      <c r="B5" t="s">
        <v>485</v>
      </c>
      <c r="C5" s="146"/>
      <c r="D5" s="15">
        <v>2</v>
      </c>
      <c r="E5" s="159" t="s">
        <v>379</v>
      </c>
    </row>
    <row r="6" spans="1:5" x14ac:dyDescent="0.25">
      <c r="A6" s="25"/>
      <c r="B6" s="146" t="s">
        <v>486</v>
      </c>
      <c r="C6" s="146"/>
      <c r="D6" s="15">
        <v>1</v>
      </c>
      <c r="E6" s="56"/>
    </row>
    <row r="7" spans="1:5" x14ac:dyDescent="0.25">
      <c r="A7" s="25"/>
      <c r="B7" s="146" t="s">
        <v>487</v>
      </c>
      <c r="C7" s="146"/>
      <c r="D7" s="15">
        <v>4</v>
      </c>
      <c r="E7" s="56"/>
    </row>
    <row r="8" spans="1:5" x14ac:dyDescent="0.25">
      <c r="A8" s="25"/>
      <c r="B8" s="1" t="s">
        <v>488</v>
      </c>
      <c r="C8" s="146"/>
      <c r="D8" s="15">
        <v>6</v>
      </c>
      <c r="E8" s="56"/>
    </row>
    <row r="9" spans="1:5" x14ac:dyDescent="0.25">
      <c r="A9" s="25"/>
      <c r="B9" s="1" t="s">
        <v>489</v>
      </c>
      <c r="C9" s="146"/>
      <c r="D9" s="15">
        <v>6</v>
      </c>
      <c r="E9" s="56"/>
    </row>
    <row r="10" spans="1:5" x14ac:dyDescent="0.25">
      <c r="A10" s="25"/>
      <c r="B10" s="13" t="s">
        <v>315</v>
      </c>
      <c r="C10" s="147" t="s">
        <v>490</v>
      </c>
      <c r="D10" s="15">
        <v>2</v>
      </c>
      <c r="E10" s="56"/>
    </row>
    <row r="11" spans="1:5" x14ac:dyDescent="0.25">
      <c r="A11" s="25"/>
      <c r="B11" s="13" t="s">
        <v>491</v>
      </c>
      <c r="C11" s="146"/>
      <c r="D11" s="15">
        <v>1</v>
      </c>
      <c r="E11" s="56"/>
    </row>
    <row r="12" spans="1:5" x14ac:dyDescent="0.25">
      <c r="A12" s="25"/>
      <c r="B12" s="146" t="s">
        <v>66</v>
      </c>
      <c r="C12" s="146"/>
      <c r="D12" s="15">
        <v>1</v>
      </c>
      <c r="E12" s="56"/>
    </row>
    <row r="13" spans="1:5" x14ac:dyDescent="0.25">
      <c r="A13" s="51" t="s">
        <v>387</v>
      </c>
      <c r="B13" s="146" t="s">
        <v>69</v>
      </c>
      <c r="C13" s="146"/>
      <c r="D13" s="15">
        <v>1</v>
      </c>
      <c r="E13" s="56"/>
    </row>
    <row r="14" spans="1:5" x14ac:dyDescent="0.25">
      <c r="A14" s="25"/>
      <c r="B14" t="s">
        <v>431</v>
      </c>
      <c r="C14" s="1"/>
      <c r="D14" s="15">
        <v>29</v>
      </c>
      <c r="E14" s="56"/>
    </row>
    <row r="15" spans="1:5" x14ac:dyDescent="0.25">
      <c r="A15" s="25"/>
      <c r="B15" t="s">
        <v>492</v>
      </c>
      <c r="C15" s="1"/>
      <c r="D15" s="15">
        <v>19</v>
      </c>
      <c r="E15" s="56"/>
    </row>
    <row r="16" spans="1:5" x14ac:dyDescent="0.25">
      <c r="A16" s="25"/>
      <c r="B16" t="s">
        <v>493</v>
      </c>
      <c r="C16" s="146"/>
      <c r="D16" s="15">
        <v>4</v>
      </c>
      <c r="E16" s="56"/>
    </row>
    <row r="17" spans="1:5" x14ac:dyDescent="0.25">
      <c r="A17" s="25"/>
      <c r="B17" s="2" t="s">
        <v>434</v>
      </c>
      <c r="C17" s="146"/>
      <c r="D17" s="15">
        <v>19</v>
      </c>
      <c r="E17" s="56"/>
    </row>
    <row r="18" spans="1:5" x14ac:dyDescent="0.25">
      <c r="A18" s="25"/>
      <c r="B18" s="65" t="s">
        <v>188</v>
      </c>
      <c r="C18" s="146"/>
      <c r="D18" s="15">
        <v>6</v>
      </c>
      <c r="E18" s="56"/>
    </row>
    <row r="19" spans="1:5" x14ac:dyDescent="0.25">
      <c r="A19" s="25"/>
      <c r="B19" s="2" t="s">
        <v>463</v>
      </c>
      <c r="C19" s="146"/>
      <c r="D19" s="15">
        <v>13</v>
      </c>
      <c r="E19" s="56"/>
    </row>
    <row r="20" spans="1:5" x14ac:dyDescent="0.25">
      <c r="A20" s="25"/>
      <c r="B20" s="146" t="s">
        <v>494</v>
      </c>
      <c r="C20" s="146"/>
      <c r="D20" s="15">
        <v>4</v>
      </c>
      <c r="E20" s="56"/>
    </row>
    <row r="21" spans="1:5" x14ac:dyDescent="0.25">
      <c r="A21" s="25"/>
      <c r="B21" s="146" t="s">
        <v>495</v>
      </c>
      <c r="C21" s="146"/>
      <c r="D21" s="15">
        <v>6</v>
      </c>
      <c r="E21" s="56"/>
    </row>
    <row r="22" spans="1:5" x14ac:dyDescent="0.25">
      <c r="A22" s="25"/>
      <c r="B22" s="28" t="s">
        <v>202</v>
      </c>
      <c r="C22" s="146"/>
      <c r="D22" s="15">
        <v>4</v>
      </c>
      <c r="E22" s="56"/>
    </row>
    <row r="23" spans="1:5" x14ac:dyDescent="0.25">
      <c r="A23" s="25"/>
      <c r="B23" t="s">
        <v>496</v>
      </c>
      <c r="C23" s="146"/>
      <c r="D23" s="15">
        <v>6</v>
      </c>
      <c r="E23" s="56"/>
    </row>
    <row r="24" spans="1:5" x14ac:dyDescent="0.25">
      <c r="A24" s="25"/>
      <c r="B24" s="28" t="s">
        <v>208</v>
      </c>
      <c r="C24" s="146"/>
      <c r="D24" s="15">
        <v>4</v>
      </c>
      <c r="E24" s="56"/>
    </row>
    <row r="25" spans="1:5" x14ac:dyDescent="0.25">
      <c r="A25" s="25"/>
      <c r="B25" s="28" t="s">
        <v>214</v>
      </c>
      <c r="C25" s="146"/>
      <c r="D25" s="15">
        <v>4</v>
      </c>
      <c r="E25" s="56"/>
    </row>
    <row r="26" spans="1:5" x14ac:dyDescent="0.25">
      <c r="A26" s="25"/>
      <c r="B26" s="146" t="s">
        <v>497</v>
      </c>
      <c r="C26" s="146"/>
      <c r="D26" s="15">
        <v>1</v>
      </c>
      <c r="E26" s="56"/>
    </row>
    <row r="27" spans="1:5" x14ac:dyDescent="0.25">
      <c r="A27" s="25"/>
      <c r="B27" s="146" t="s">
        <v>218</v>
      </c>
      <c r="C27" s="146"/>
      <c r="D27" s="15">
        <v>16</v>
      </c>
      <c r="E27" s="56"/>
    </row>
    <row r="28" spans="1:5" x14ac:dyDescent="0.25">
      <c r="A28" s="25"/>
      <c r="B28" s="2" t="s">
        <v>386</v>
      </c>
      <c r="C28" s="146"/>
      <c r="D28" s="15">
        <v>52</v>
      </c>
      <c r="E28" s="56"/>
    </row>
    <row r="29" spans="1:5" x14ac:dyDescent="0.25">
      <c r="A29" s="25"/>
      <c r="B29" s="2" t="s">
        <v>388</v>
      </c>
      <c r="C29" s="146"/>
      <c r="D29" s="15">
        <v>77</v>
      </c>
      <c r="E29" s="56"/>
    </row>
    <row r="30" spans="1:5" x14ac:dyDescent="0.25">
      <c r="A30" s="25"/>
      <c r="B30" s="2" t="s">
        <v>224</v>
      </c>
      <c r="C30" s="146"/>
      <c r="D30" s="15">
        <v>16</v>
      </c>
      <c r="E30" s="56"/>
    </row>
    <row r="31" spans="1:5" x14ac:dyDescent="0.25">
      <c r="A31" s="25"/>
      <c r="B31" s="146" t="s">
        <v>498</v>
      </c>
      <c r="C31" s="146"/>
      <c r="D31" s="15">
        <v>44</v>
      </c>
      <c r="E31" s="56"/>
    </row>
    <row r="32" spans="1:5" x14ac:dyDescent="0.25">
      <c r="A32" s="25"/>
      <c r="B32" s="146" t="s">
        <v>499</v>
      </c>
      <c r="C32" s="146"/>
      <c r="D32" s="15">
        <v>17</v>
      </c>
      <c r="E32" s="56"/>
    </row>
    <row r="33" spans="1:5" x14ac:dyDescent="0.25">
      <c r="A33" s="25"/>
      <c r="B33" s="2" t="s">
        <v>500</v>
      </c>
      <c r="C33" s="2" t="s">
        <v>501</v>
      </c>
      <c r="D33" s="15">
        <v>1</v>
      </c>
      <c r="E33" s="56"/>
    </row>
    <row r="34" spans="1:5" x14ac:dyDescent="0.25">
      <c r="A34" s="25"/>
      <c r="B34" s="146" t="s">
        <v>502</v>
      </c>
      <c r="C34" s="146" t="s">
        <v>503</v>
      </c>
      <c r="D34" s="15">
        <v>1</v>
      </c>
      <c r="E34" s="56"/>
    </row>
    <row r="35" spans="1:5" x14ac:dyDescent="0.25">
      <c r="A35" s="25"/>
      <c r="B35" s="146" t="s">
        <v>504</v>
      </c>
      <c r="C35" s="2" t="s">
        <v>501</v>
      </c>
      <c r="D35" s="15">
        <v>2</v>
      </c>
      <c r="E35" s="56"/>
    </row>
    <row r="36" spans="1:5" x14ac:dyDescent="0.25">
      <c r="A36" s="25"/>
      <c r="B36" s="2" t="s">
        <v>505</v>
      </c>
      <c r="C36" s="2" t="s">
        <v>501</v>
      </c>
      <c r="D36" s="15">
        <v>1</v>
      </c>
      <c r="E36" s="56"/>
    </row>
    <row r="37" spans="1:5" x14ac:dyDescent="0.25">
      <c r="A37" s="25"/>
      <c r="B37" s="2" t="s">
        <v>506</v>
      </c>
      <c r="C37" s="2" t="s">
        <v>501</v>
      </c>
      <c r="D37" s="15">
        <v>1</v>
      </c>
      <c r="E37" s="56"/>
    </row>
    <row r="38" spans="1:5" x14ac:dyDescent="0.25">
      <c r="A38" s="25"/>
      <c r="B38" s="160" t="s">
        <v>507</v>
      </c>
      <c r="C38" s="160" t="s">
        <v>508</v>
      </c>
      <c r="D38" s="57">
        <v>1</v>
      </c>
      <c r="E38" s="56"/>
    </row>
    <row r="39" spans="1:5" x14ac:dyDescent="0.25">
      <c r="A39" s="25"/>
      <c r="B39" s="2" t="s">
        <v>509</v>
      </c>
      <c r="C39" s="2" t="s">
        <v>501</v>
      </c>
      <c r="D39" s="15">
        <v>4</v>
      </c>
      <c r="E39" s="56"/>
    </row>
    <row r="40" spans="1:5" x14ac:dyDescent="0.25">
      <c r="A40" s="25"/>
      <c r="B40" s="146" t="s">
        <v>510</v>
      </c>
      <c r="C40" s="2" t="s">
        <v>501</v>
      </c>
      <c r="D40" s="15">
        <v>2</v>
      </c>
      <c r="E40" s="56"/>
    </row>
    <row r="41" spans="1:5" x14ac:dyDescent="0.25">
      <c r="A41" s="25"/>
      <c r="B41" s="2" t="s">
        <v>511</v>
      </c>
      <c r="C41" s="2" t="s">
        <v>501</v>
      </c>
      <c r="D41" s="15">
        <v>1</v>
      </c>
      <c r="E41" s="56"/>
    </row>
    <row r="42" spans="1:5" x14ac:dyDescent="0.25">
      <c r="A42" s="25"/>
      <c r="B42" s="2" t="s">
        <v>512</v>
      </c>
      <c r="C42" s="2" t="s">
        <v>501</v>
      </c>
      <c r="D42" s="15">
        <v>1</v>
      </c>
      <c r="E42" s="56"/>
    </row>
    <row r="43" spans="1:5" x14ac:dyDescent="0.25">
      <c r="A43" s="25"/>
      <c r="B43" s="2" t="s">
        <v>513</v>
      </c>
      <c r="C43" s="2" t="s">
        <v>501</v>
      </c>
      <c r="D43" s="15">
        <v>2</v>
      </c>
      <c r="E43" s="56"/>
    </row>
    <row r="44" spans="1:5" x14ac:dyDescent="0.25">
      <c r="A44" s="25"/>
      <c r="B44" s="2" t="s">
        <v>514</v>
      </c>
      <c r="C44" s="2" t="s">
        <v>501</v>
      </c>
      <c r="D44" s="15">
        <v>1</v>
      </c>
      <c r="E44" s="56"/>
    </row>
    <row r="45" spans="1:5" x14ac:dyDescent="0.25">
      <c r="A45" s="25"/>
      <c r="B45" s="2" t="s">
        <v>515</v>
      </c>
      <c r="C45" s="2" t="s">
        <v>501</v>
      </c>
      <c r="D45" s="15">
        <v>1</v>
      </c>
      <c r="E45" s="56"/>
    </row>
    <row r="46" spans="1:5" x14ac:dyDescent="0.25">
      <c r="A46" s="25"/>
      <c r="B46" s="2" t="s">
        <v>516</v>
      </c>
      <c r="C46" s="2" t="s">
        <v>501</v>
      </c>
      <c r="D46" s="15">
        <v>1</v>
      </c>
      <c r="E46" s="56"/>
    </row>
    <row r="47" spans="1:5" x14ac:dyDescent="0.25">
      <c r="A47" s="25"/>
      <c r="B47" s="2" t="s">
        <v>517</v>
      </c>
      <c r="C47" s="2" t="s">
        <v>501</v>
      </c>
      <c r="D47" s="15">
        <v>1</v>
      </c>
      <c r="E47" s="56"/>
    </row>
    <row r="48" spans="1:5" x14ac:dyDescent="0.25">
      <c r="A48" s="25"/>
      <c r="B48" s="146" t="s">
        <v>518</v>
      </c>
      <c r="C48" s="2" t="s">
        <v>501</v>
      </c>
      <c r="D48" s="15">
        <v>1</v>
      </c>
      <c r="E48" s="56"/>
    </row>
    <row r="49" spans="1:5" x14ac:dyDescent="0.25">
      <c r="A49" s="25"/>
      <c r="B49" s="146" t="s">
        <v>519</v>
      </c>
      <c r="C49" s="2" t="s">
        <v>501</v>
      </c>
      <c r="D49" s="15">
        <v>1</v>
      </c>
      <c r="E49" s="56"/>
    </row>
    <row r="50" spans="1:5" x14ac:dyDescent="0.25">
      <c r="A50" s="25"/>
      <c r="B50" s="146" t="s">
        <v>520</v>
      </c>
      <c r="C50" s="2" t="s">
        <v>501</v>
      </c>
      <c r="D50" s="15">
        <v>1</v>
      </c>
      <c r="E50" s="56"/>
    </row>
    <row r="51" spans="1:5" x14ac:dyDescent="0.25">
      <c r="A51" s="25"/>
      <c r="B51" s="146" t="s">
        <v>521</v>
      </c>
      <c r="C51" s="2" t="s">
        <v>501</v>
      </c>
      <c r="D51" s="15">
        <v>1</v>
      </c>
      <c r="E51" s="56"/>
    </row>
    <row r="52" spans="1:5" x14ac:dyDescent="0.25">
      <c r="A52" s="25"/>
      <c r="B52" s="2" t="s">
        <v>522</v>
      </c>
      <c r="C52" s="2" t="s">
        <v>501</v>
      </c>
      <c r="D52" s="15">
        <v>1</v>
      </c>
      <c r="E52" s="56"/>
    </row>
    <row r="53" spans="1:5" x14ac:dyDescent="0.25">
      <c r="A53" s="25"/>
      <c r="B53" s="2" t="s">
        <v>523</v>
      </c>
      <c r="C53" s="2" t="s">
        <v>501</v>
      </c>
      <c r="D53" s="15">
        <v>1</v>
      </c>
      <c r="E53" s="56"/>
    </row>
    <row r="54" spans="1:5" x14ac:dyDescent="0.25">
      <c r="A54" s="25"/>
      <c r="B54" s="2" t="s">
        <v>524</v>
      </c>
      <c r="C54" s="2" t="s">
        <v>525</v>
      </c>
      <c r="D54" s="15">
        <v>1</v>
      </c>
      <c r="E54" s="56"/>
    </row>
    <row r="55" spans="1:5" x14ac:dyDescent="0.25">
      <c r="A55" s="25"/>
      <c r="B55" s="2" t="s">
        <v>526</v>
      </c>
      <c r="C55" s="2" t="s">
        <v>525</v>
      </c>
      <c r="D55" s="15">
        <v>1</v>
      </c>
      <c r="E55" s="56"/>
    </row>
    <row r="56" spans="1:5" x14ac:dyDescent="0.25">
      <c r="A56" s="25"/>
      <c r="B56" s="2" t="s">
        <v>527</v>
      </c>
      <c r="C56" s="2" t="s">
        <v>525</v>
      </c>
      <c r="D56" s="15">
        <v>1</v>
      </c>
      <c r="E56" s="56"/>
    </row>
    <row r="57" spans="1:5" x14ac:dyDescent="0.25">
      <c r="A57" s="25"/>
      <c r="B57" s="2" t="s">
        <v>528</v>
      </c>
      <c r="C57" s="2" t="s">
        <v>525</v>
      </c>
      <c r="D57" s="15">
        <v>1</v>
      </c>
      <c r="E57" s="56"/>
    </row>
    <row r="58" spans="1:5" x14ac:dyDescent="0.25">
      <c r="A58" s="25"/>
      <c r="B58" s="2" t="s">
        <v>529</v>
      </c>
      <c r="C58" s="2" t="s">
        <v>525</v>
      </c>
      <c r="D58" s="15">
        <v>1</v>
      </c>
      <c r="E58" s="56"/>
    </row>
    <row r="59" spans="1:5" x14ac:dyDescent="0.25">
      <c r="A59" s="25"/>
      <c r="B59" s="2" t="s">
        <v>530</v>
      </c>
      <c r="C59" s="2" t="s">
        <v>525</v>
      </c>
      <c r="D59" s="15">
        <v>1</v>
      </c>
      <c r="E59" s="56"/>
    </row>
    <row r="60" spans="1:5" x14ac:dyDescent="0.25">
      <c r="A60" s="25"/>
      <c r="B60" s="2" t="s">
        <v>531</v>
      </c>
      <c r="C60" s="2" t="s">
        <v>532</v>
      </c>
      <c r="D60" s="15">
        <v>1</v>
      </c>
      <c r="E60" s="56"/>
    </row>
    <row r="61" spans="1:5" x14ac:dyDescent="0.25">
      <c r="A61" s="25"/>
      <c r="B61" s="2" t="s">
        <v>533</v>
      </c>
      <c r="C61" s="2" t="s">
        <v>532</v>
      </c>
      <c r="D61" s="15">
        <v>2</v>
      </c>
      <c r="E61" s="56"/>
    </row>
    <row r="62" spans="1:5" x14ac:dyDescent="0.25">
      <c r="A62" s="25"/>
      <c r="B62" s="2" t="s">
        <v>534</v>
      </c>
      <c r="C62" s="2" t="s">
        <v>532</v>
      </c>
      <c r="D62" s="15">
        <v>1</v>
      </c>
      <c r="E62" s="56"/>
    </row>
    <row r="63" spans="1:5" x14ac:dyDescent="0.25">
      <c r="A63" s="25"/>
      <c r="B63" s="2" t="s">
        <v>535</v>
      </c>
      <c r="C63" s="2" t="s">
        <v>532</v>
      </c>
      <c r="D63" s="15">
        <v>1</v>
      </c>
      <c r="E63" s="56"/>
    </row>
    <row r="64" spans="1:5" x14ac:dyDescent="0.25">
      <c r="A64" s="25"/>
      <c r="B64" s="2" t="s">
        <v>536</v>
      </c>
      <c r="C64" s="2" t="s">
        <v>532</v>
      </c>
      <c r="D64" s="15">
        <v>1</v>
      </c>
      <c r="E64" s="56"/>
    </row>
    <row r="65" spans="1:5" x14ac:dyDescent="0.25">
      <c r="A65" s="25"/>
      <c r="B65" s="2" t="s">
        <v>537</v>
      </c>
      <c r="C65" s="2" t="s">
        <v>532</v>
      </c>
      <c r="D65" s="15">
        <v>1</v>
      </c>
      <c r="E65" s="56"/>
    </row>
    <row r="66" spans="1:5" x14ac:dyDescent="0.25">
      <c r="A66" s="25"/>
      <c r="B66" s="2" t="s">
        <v>538</v>
      </c>
      <c r="C66" s="2" t="s">
        <v>532</v>
      </c>
      <c r="D66" s="15">
        <v>1</v>
      </c>
      <c r="E66" s="56"/>
    </row>
    <row r="67" spans="1:5" x14ac:dyDescent="0.25">
      <c r="A67" s="25"/>
      <c r="B67" s="2" t="s">
        <v>539</v>
      </c>
      <c r="C67" s="2" t="s">
        <v>532</v>
      </c>
      <c r="D67" s="15">
        <v>1</v>
      </c>
      <c r="E67" s="56"/>
    </row>
    <row r="68" spans="1:5" x14ac:dyDescent="0.25">
      <c r="A68" s="25"/>
      <c r="B68" s="2" t="s">
        <v>540</v>
      </c>
      <c r="C68" s="2" t="s">
        <v>532</v>
      </c>
      <c r="D68" s="15">
        <v>1</v>
      </c>
      <c r="E68" s="56"/>
    </row>
    <row r="69" spans="1:5" x14ac:dyDescent="0.25">
      <c r="A69" s="25"/>
      <c r="B69" s="146" t="s">
        <v>541</v>
      </c>
      <c r="C69" s="2" t="s">
        <v>501</v>
      </c>
      <c r="D69" s="15">
        <v>6</v>
      </c>
      <c r="E69" s="56"/>
    </row>
    <row r="70" spans="1:5" x14ac:dyDescent="0.25">
      <c r="A70" s="25"/>
      <c r="B70" s="2" t="s">
        <v>542</v>
      </c>
      <c r="C70" s="2" t="s">
        <v>532</v>
      </c>
      <c r="D70" s="15">
        <v>1</v>
      </c>
      <c r="E70" s="56"/>
    </row>
    <row r="71" spans="1:5" x14ac:dyDescent="0.25">
      <c r="A71" s="25"/>
      <c r="B71" s="1" t="s">
        <v>543</v>
      </c>
      <c r="C71" s="146" t="s">
        <v>501</v>
      </c>
      <c r="D71" s="15">
        <v>1</v>
      </c>
      <c r="E71" s="56"/>
    </row>
    <row r="72" spans="1:5" x14ac:dyDescent="0.25">
      <c r="A72" s="25"/>
      <c r="B72" t="s">
        <v>544</v>
      </c>
      <c r="C72" s="146" t="s">
        <v>501</v>
      </c>
      <c r="D72" s="15">
        <v>1</v>
      </c>
      <c r="E72" s="56"/>
    </row>
    <row r="73" spans="1:5" x14ac:dyDescent="0.25">
      <c r="A73" s="25"/>
      <c r="B73" s="2" t="s">
        <v>545</v>
      </c>
      <c r="C73" s="2" t="s">
        <v>501</v>
      </c>
      <c r="D73" s="15">
        <v>2</v>
      </c>
      <c r="E73" s="56"/>
    </row>
    <row r="74" spans="1:5" ht="15.75" thickBot="1" x14ac:dyDescent="0.3">
      <c r="A74" s="61"/>
      <c r="B74" s="52" t="s">
        <v>546</v>
      </c>
      <c r="C74" s="52" t="s">
        <v>501</v>
      </c>
      <c r="D74" s="62">
        <v>1</v>
      </c>
      <c r="E74" s="63"/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72" orientation="portrait" r:id="rId5"/>
  <headerFooter>
    <oddHeader>&amp;C&amp;"Aptos Black,Regular"&amp;14VALKYRIE V2 - ENCLOSURE BOM</oddHeader>
    <oddFooter>&amp;CBETA PRELEASE&amp;R&amp;P of &amp;N</oddFooter>
  </headerFooter>
  <drawing r:id="rId6"/>
  <tableParts count="1"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FFC000"/>
    <pageSetUpPr fitToPage="1"/>
  </sheetPr>
  <dimension ref="A1:F46"/>
  <sheetViews>
    <sheetView view="pageLayout" topLeftCell="A28" zoomScaleNormal="100" workbookViewId="0">
      <selection activeCell="C46" sqref="C46"/>
    </sheetView>
  </sheetViews>
  <sheetFormatPr defaultColWidth="11.4257812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359" width="11.42578125" style="2"/>
    <col min="16360" max="16365" width="11.42578125" style="2" bestFit="1" customWidth="1"/>
    <col min="16366" max="16384" width="11.42578125" style="2"/>
  </cols>
  <sheetData>
    <row r="1" spans="1:5" ht="30" customHeight="1" x14ac:dyDescent="0.25">
      <c r="A1" s="53"/>
      <c r="B1" s="10" t="s">
        <v>363</v>
      </c>
      <c r="C1" s="162" t="s">
        <v>364</v>
      </c>
      <c r="D1" s="162" t="s">
        <v>365</v>
      </c>
      <c r="E1" s="50"/>
    </row>
    <row r="2" spans="1:5" x14ac:dyDescent="0.25">
      <c r="A2" s="54" t="s">
        <v>366</v>
      </c>
      <c r="B2" s="13" t="s">
        <v>547</v>
      </c>
      <c r="C2" s="162" t="s">
        <v>548</v>
      </c>
      <c r="D2" s="164" t="s">
        <v>549</v>
      </c>
      <c r="E2" s="55" t="s">
        <v>369</v>
      </c>
    </row>
    <row r="3" spans="1:5" x14ac:dyDescent="0.25">
      <c r="A3" s="51" t="s">
        <v>370</v>
      </c>
      <c r="B3" s="146" t="s">
        <v>161</v>
      </c>
      <c r="C3" s="146" t="s">
        <v>548</v>
      </c>
      <c r="D3" s="146">
        <v>1</v>
      </c>
      <c r="E3" s="159" t="s">
        <v>372</v>
      </c>
    </row>
    <row r="4" spans="1:5" x14ac:dyDescent="0.25">
      <c r="A4" s="51" t="s">
        <v>373</v>
      </c>
      <c r="B4" t="s">
        <v>484</v>
      </c>
      <c r="C4" s="146" t="s">
        <v>548</v>
      </c>
      <c r="D4" s="146">
        <v>4</v>
      </c>
      <c r="E4" s="159" t="s">
        <v>375</v>
      </c>
    </row>
    <row r="5" spans="1:5" x14ac:dyDescent="0.25">
      <c r="A5" s="51" t="s">
        <v>376</v>
      </c>
      <c r="B5" s="146" t="s">
        <v>319</v>
      </c>
      <c r="C5" s="146" t="s">
        <v>548</v>
      </c>
      <c r="D5" s="146">
        <v>3</v>
      </c>
      <c r="E5" s="159" t="s">
        <v>379</v>
      </c>
    </row>
    <row r="6" spans="1:5" x14ac:dyDescent="0.25">
      <c r="A6" s="25"/>
      <c r="B6" s="13" t="s">
        <v>550</v>
      </c>
      <c r="C6" s="146" t="s">
        <v>548</v>
      </c>
      <c r="D6" s="146">
        <v>1</v>
      </c>
      <c r="E6" s="56"/>
    </row>
    <row r="7" spans="1:5" x14ac:dyDescent="0.25">
      <c r="A7" s="25"/>
      <c r="B7" s="146" t="s">
        <v>551</v>
      </c>
      <c r="C7" s="146" t="s">
        <v>548</v>
      </c>
      <c r="D7" s="2">
        <v>2</v>
      </c>
      <c r="E7" s="56"/>
    </row>
    <row r="8" spans="1:5" x14ac:dyDescent="0.25">
      <c r="A8" s="25"/>
      <c r="B8" s="146" t="s">
        <v>552</v>
      </c>
      <c r="C8" s="146" t="s">
        <v>553</v>
      </c>
      <c r="D8" s="146">
        <v>1</v>
      </c>
      <c r="E8" s="56"/>
    </row>
    <row r="9" spans="1:5" x14ac:dyDescent="0.25">
      <c r="A9" s="25"/>
      <c r="B9" s="148" t="s">
        <v>59</v>
      </c>
      <c r="C9" s="146" t="s">
        <v>553</v>
      </c>
      <c r="D9" s="146">
        <v>1</v>
      </c>
      <c r="E9" s="56"/>
    </row>
    <row r="10" spans="1:5" x14ac:dyDescent="0.25">
      <c r="A10" s="25"/>
      <c r="B10" s="2" t="s">
        <v>55</v>
      </c>
      <c r="C10" s="146" t="s">
        <v>553</v>
      </c>
      <c r="D10" s="146">
        <v>1</v>
      </c>
      <c r="E10" s="56"/>
    </row>
    <row r="11" spans="1:5" x14ac:dyDescent="0.25">
      <c r="A11" s="25"/>
      <c r="B11" s="28" t="s">
        <v>554</v>
      </c>
      <c r="C11" s="146" t="s">
        <v>553</v>
      </c>
      <c r="D11" s="146">
        <v>1</v>
      </c>
      <c r="E11" s="56"/>
    </row>
    <row r="12" spans="1:5" x14ac:dyDescent="0.25">
      <c r="A12" s="51" t="s">
        <v>387</v>
      </c>
      <c r="B12" s="2" t="s">
        <v>183</v>
      </c>
      <c r="C12" s="146" t="s">
        <v>548</v>
      </c>
      <c r="D12" s="146">
        <v>10</v>
      </c>
      <c r="E12" s="56"/>
    </row>
    <row r="13" spans="1:5" x14ac:dyDescent="0.25">
      <c r="A13" s="25"/>
      <c r="B13" s="146" t="s">
        <v>186</v>
      </c>
      <c r="C13" s="146" t="s">
        <v>548</v>
      </c>
      <c r="D13" s="146">
        <v>1</v>
      </c>
      <c r="E13" s="56"/>
    </row>
    <row r="14" spans="1:5" x14ac:dyDescent="0.25">
      <c r="A14" s="25"/>
      <c r="B14" s="2" t="s">
        <v>555</v>
      </c>
      <c r="C14" s="146" t="s">
        <v>548</v>
      </c>
      <c r="D14" s="146">
        <v>2</v>
      </c>
      <c r="E14" s="56"/>
    </row>
    <row r="15" spans="1:5" x14ac:dyDescent="0.25">
      <c r="A15" s="25"/>
      <c r="B15" s="2" t="s">
        <v>556</v>
      </c>
      <c r="C15" s="146" t="s">
        <v>548</v>
      </c>
      <c r="D15" s="146">
        <v>7</v>
      </c>
      <c r="E15" s="56"/>
    </row>
    <row r="16" spans="1:5" x14ac:dyDescent="0.25">
      <c r="A16" s="25"/>
      <c r="B16" s="2" t="s">
        <v>204</v>
      </c>
      <c r="C16" s="146" t="s">
        <v>548</v>
      </c>
      <c r="D16" s="146">
        <v>3</v>
      </c>
      <c r="E16" s="56"/>
    </row>
    <row r="17" spans="1:6" x14ac:dyDescent="0.25">
      <c r="A17" s="25"/>
      <c r="B17" s="146" t="s">
        <v>557</v>
      </c>
      <c r="C17" s="146" t="s">
        <v>548</v>
      </c>
      <c r="D17" s="2">
        <v>2</v>
      </c>
      <c r="E17" s="56"/>
    </row>
    <row r="18" spans="1:6" x14ac:dyDescent="0.25">
      <c r="A18" s="25"/>
      <c r="B18" s="146" t="s">
        <v>216</v>
      </c>
      <c r="C18" s="146" t="s">
        <v>548</v>
      </c>
      <c r="D18" s="146">
        <v>1</v>
      </c>
      <c r="E18" s="56"/>
    </row>
    <row r="19" spans="1:6" x14ac:dyDescent="0.25">
      <c r="A19" s="25"/>
      <c r="B19" t="s">
        <v>558</v>
      </c>
      <c r="C19" s="146" t="s">
        <v>548</v>
      </c>
      <c r="D19" s="146">
        <v>2</v>
      </c>
      <c r="E19" s="56"/>
    </row>
    <row r="20" spans="1:6" x14ac:dyDescent="0.25">
      <c r="A20" s="25"/>
      <c r="B20" t="s">
        <v>559</v>
      </c>
      <c r="C20" s="146" t="s">
        <v>548</v>
      </c>
      <c r="D20" s="146">
        <v>2</v>
      </c>
      <c r="E20" s="56"/>
    </row>
    <row r="21" spans="1:6" x14ac:dyDescent="0.25">
      <c r="A21" s="25"/>
      <c r="B21" s="146" t="s">
        <v>560</v>
      </c>
      <c r="C21" s="146" t="s">
        <v>553</v>
      </c>
      <c r="D21" s="2">
        <v>1</v>
      </c>
      <c r="E21" s="56"/>
      <c r="F21" s="2" t="s">
        <v>561</v>
      </c>
    </row>
    <row r="22" spans="1:6" x14ac:dyDescent="0.25">
      <c r="A22" s="25"/>
      <c r="B22" t="s">
        <v>562</v>
      </c>
      <c r="C22" s="146" t="s">
        <v>391</v>
      </c>
      <c r="D22" s="2">
        <v>1</v>
      </c>
      <c r="E22" s="56"/>
    </row>
    <row r="23" spans="1:6" x14ac:dyDescent="0.25">
      <c r="A23" s="25"/>
      <c r="B23" t="s">
        <v>563</v>
      </c>
      <c r="C23" s="146" t="s">
        <v>391</v>
      </c>
      <c r="D23" s="2">
        <v>2</v>
      </c>
      <c r="E23" s="56"/>
    </row>
    <row r="24" spans="1:6" x14ac:dyDescent="0.25">
      <c r="A24" s="25"/>
      <c r="B24" t="s">
        <v>564</v>
      </c>
      <c r="C24" s="146" t="s">
        <v>391</v>
      </c>
      <c r="D24" s="2">
        <v>1</v>
      </c>
      <c r="E24" s="56"/>
    </row>
    <row r="25" spans="1:6" x14ac:dyDescent="0.25">
      <c r="A25" s="25"/>
      <c r="B25" t="s">
        <v>565</v>
      </c>
      <c r="C25" s="146" t="s">
        <v>391</v>
      </c>
      <c r="D25" s="146">
        <v>1</v>
      </c>
      <c r="E25" s="56"/>
    </row>
    <row r="26" spans="1:6" x14ac:dyDescent="0.25">
      <c r="A26" s="25"/>
      <c r="B26" t="s">
        <v>566</v>
      </c>
      <c r="C26" s="146" t="s">
        <v>391</v>
      </c>
      <c r="D26" s="1">
        <v>1</v>
      </c>
      <c r="E26" s="56"/>
    </row>
    <row r="27" spans="1:6" x14ac:dyDescent="0.25">
      <c r="A27" s="25"/>
      <c r="B27" t="s">
        <v>567</v>
      </c>
      <c r="C27" s="146" t="s">
        <v>391</v>
      </c>
      <c r="D27" s="1">
        <v>1</v>
      </c>
      <c r="E27" s="56"/>
    </row>
    <row r="28" spans="1:6" x14ac:dyDescent="0.25">
      <c r="A28" s="25"/>
      <c r="B28" s="1" t="s">
        <v>568</v>
      </c>
      <c r="C28" s="146" t="s">
        <v>391</v>
      </c>
      <c r="D28" s="146">
        <v>2</v>
      </c>
      <c r="E28" s="56"/>
    </row>
    <row r="29" spans="1:6" x14ac:dyDescent="0.25">
      <c r="A29" s="25"/>
      <c r="B29" s="146" t="s">
        <v>569</v>
      </c>
      <c r="C29" s="146" t="s">
        <v>391</v>
      </c>
      <c r="D29" s="2">
        <v>4</v>
      </c>
      <c r="E29" s="56"/>
    </row>
    <row r="30" spans="1:6" x14ac:dyDescent="0.25">
      <c r="A30" s="25"/>
      <c r="B30" s="146" t="s">
        <v>570</v>
      </c>
      <c r="C30" s="146" t="s">
        <v>532</v>
      </c>
      <c r="D30" s="2">
        <v>1</v>
      </c>
      <c r="E30" s="56"/>
    </row>
    <row r="31" spans="1:6" x14ac:dyDescent="0.25">
      <c r="A31" s="25"/>
      <c r="B31" t="s">
        <v>571</v>
      </c>
      <c r="C31" s="146" t="s">
        <v>391</v>
      </c>
      <c r="D31" s="146">
        <v>1</v>
      </c>
      <c r="E31" s="56"/>
    </row>
    <row r="32" spans="1:6" x14ac:dyDescent="0.25">
      <c r="A32" s="25"/>
      <c r="B32" s="1" t="s">
        <v>572</v>
      </c>
      <c r="C32" s="146" t="s">
        <v>573</v>
      </c>
      <c r="D32" s="146">
        <v>2</v>
      </c>
      <c r="E32" s="56"/>
    </row>
    <row r="33" spans="1:5" x14ac:dyDescent="0.25">
      <c r="A33" s="25"/>
      <c r="B33" t="s">
        <v>574</v>
      </c>
      <c r="C33" s="146" t="s">
        <v>575</v>
      </c>
      <c r="D33" s="146">
        <v>2</v>
      </c>
      <c r="E33" s="56"/>
    </row>
    <row r="34" spans="1:5" x14ac:dyDescent="0.25">
      <c r="A34" s="25"/>
      <c r="B34" s="1" t="s">
        <v>576</v>
      </c>
      <c r="C34" s="146" t="s">
        <v>577</v>
      </c>
      <c r="D34" s="146">
        <v>2</v>
      </c>
      <c r="E34" s="56"/>
    </row>
    <row r="35" spans="1:5" x14ac:dyDescent="0.25">
      <c r="A35" s="25"/>
      <c r="B35" s="1" t="s">
        <v>578</v>
      </c>
      <c r="C35" s="146" t="s">
        <v>573</v>
      </c>
      <c r="D35" s="146">
        <v>2</v>
      </c>
      <c r="E35" s="56"/>
    </row>
    <row r="36" spans="1:5" x14ac:dyDescent="0.25">
      <c r="A36" s="25"/>
      <c r="B36" s="146" t="s">
        <v>579</v>
      </c>
      <c r="C36" s="146" t="s">
        <v>580</v>
      </c>
      <c r="D36" s="146">
        <v>2</v>
      </c>
      <c r="E36" s="56"/>
    </row>
    <row r="37" spans="1:5" x14ac:dyDescent="0.25">
      <c r="A37" s="25"/>
      <c r="B37" s="146" t="s">
        <v>581</v>
      </c>
      <c r="C37" s="146" t="s">
        <v>577</v>
      </c>
      <c r="D37" s="146">
        <v>2</v>
      </c>
      <c r="E37" s="56"/>
    </row>
    <row r="38" spans="1:5" x14ac:dyDescent="0.25">
      <c r="A38" s="25"/>
      <c r="B38" s="1" t="s">
        <v>582</v>
      </c>
      <c r="C38" s="146" t="s">
        <v>391</v>
      </c>
      <c r="D38" s="146">
        <v>1</v>
      </c>
      <c r="E38" s="56"/>
    </row>
    <row r="39" spans="1:5" x14ac:dyDescent="0.25">
      <c r="A39" s="25"/>
      <c r="B39" s="146" t="s">
        <v>583</v>
      </c>
      <c r="C39" s="146" t="s">
        <v>391</v>
      </c>
      <c r="D39" s="2">
        <v>1</v>
      </c>
      <c r="E39" s="56"/>
    </row>
    <row r="40" spans="1:5" x14ac:dyDescent="0.25">
      <c r="A40" s="25"/>
      <c r="B40" s="146" t="s">
        <v>584</v>
      </c>
      <c r="C40" s="146" t="s">
        <v>391</v>
      </c>
      <c r="D40" s="2">
        <v>1</v>
      </c>
      <c r="E40" s="56"/>
    </row>
    <row r="41" spans="1:5" x14ac:dyDescent="0.25">
      <c r="A41" s="25"/>
      <c r="B41" s="146" t="s">
        <v>585</v>
      </c>
      <c r="C41" s="146" t="s">
        <v>391</v>
      </c>
      <c r="D41" s="2">
        <v>1</v>
      </c>
      <c r="E41" s="56"/>
    </row>
    <row r="42" spans="1:5" x14ac:dyDescent="0.25">
      <c r="A42" s="25"/>
      <c r="B42" s="146" t="s">
        <v>586</v>
      </c>
      <c r="C42" s="146" t="s">
        <v>391</v>
      </c>
      <c r="D42" s="2">
        <v>1</v>
      </c>
      <c r="E42" s="56"/>
    </row>
    <row r="43" spans="1:5" x14ac:dyDescent="0.25">
      <c r="A43" s="25"/>
      <c r="B43" s="146" t="s">
        <v>587</v>
      </c>
      <c r="C43" s="146" t="s">
        <v>391</v>
      </c>
      <c r="D43" s="146">
        <v>1</v>
      </c>
      <c r="E43" s="56"/>
    </row>
    <row r="44" spans="1:5" ht="15.75" thickBot="1" x14ac:dyDescent="0.3">
      <c r="A44" s="61"/>
      <c r="B44" s="146" t="s">
        <v>588</v>
      </c>
      <c r="C44" s="146" t="s">
        <v>391</v>
      </c>
      <c r="D44" s="2">
        <v>1</v>
      </c>
      <c r="E44" s="63"/>
    </row>
    <row r="45" spans="1:5" x14ac:dyDescent="0.25">
      <c r="C45" s="153"/>
    </row>
    <row r="46" spans="1:5" ht="30" x14ac:dyDescent="0.25">
      <c r="B46" s="167" t="s">
        <v>589</v>
      </c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2" r:id="rId4" xr:uid="{D01EBC21-93B3-46AE-A6B8-DF0ED8566BBA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99" orientation="portrait" r:id="rId5"/>
  <headerFooter>
    <oddHeader>&amp;C&amp;"Aptos Black,Regular"&amp;14VALKYRIE V2 - DRYBOX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00B050"/>
    <pageSetUpPr fitToPage="1"/>
  </sheetPr>
  <dimension ref="A1:E18"/>
  <sheetViews>
    <sheetView view="pageLayout" zoomScaleNormal="100" workbookViewId="0">
      <selection activeCell="B3" sqref="B3"/>
    </sheetView>
  </sheetViews>
  <sheetFormatPr defaultColWidth="11.4257812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" style="2" customWidth="1"/>
    <col min="6" max="16355" width="11.42578125" style="2"/>
    <col min="16356" max="16361" width="11.42578125" style="2" bestFit="1" customWidth="1"/>
    <col min="16362" max="16384" width="11.42578125" style="2"/>
  </cols>
  <sheetData>
    <row r="1" spans="1:5" ht="30" customHeight="1" x14ac:dyDescent="0.25">
      <c r="A1" s="53"/>
      <c r="B1" s="66" t="s">
        <v>363</v>
      </c>
      <c r="C1" s="142" t="s">
        <v>364</v>
      </c>
      <c r="D1" s="142" t="s">
        <v>365</v>
      </c>
      <c r="E1" s="50"/>
    </row>
    <row r="2" spans="1:5" x14ac:dyDescent="0.25">
      <c r="A2" s="54" t="s">
        <v>366</v>
      </c>
      <c r="B2" s="13" t="s">
        <v>590</v>
      </c>
      <c r="C2" s="146"/>
      <c r="D2" s="146">
        <v>6</v>
      </c>
      <c r="E2" s="55" t="s">
        <v>369</v>
      </c>
    </row>
    <row r="3" spans="1:5" x14ac:dyDescent="0.25">
      <c r="A3" s="51" t="s">
        <v>370</v>
      </c>
      <c r="B3" s="145" t="s">
        <v>270</v>
      </c>
      <c r="D3" s="146">
        <v>1</v>
      </c>
      <c r="E3" s="159" t="s">
        <v>372</v>
      </c>
    </row>
    <row r="4" spans="1:5" x14ac:dyDescent="0.25">
      <c r="A4" s="51" t="s">
        <v>373</v>
      </c>
      <c r="B4" s="146" t="s">
        <v>591</v>
      </c>
      <c r="C4" s="146"/>
      <c r="D4" s="146">
        <v>1</v>
      </c>
      <c r="E4" s="159" t="s">
        <v>375</v>
      </c>
    </row>
    <row r="5" spans="1:5" x14ac:dyDescent="0.25">
      <c r="A5" s="51" t="s">
        <v>376</v>
      </c>
      <c r="B5" s="145" t="s">
        <v>279</v>
      </c>
      <c r="C5" s="146"/>
      <c r="D5" s="146">
        <v>1</v>
      </c>
      <c r="E5" s="159" t="s">
        <v>379</v>
      </c>
    </row>
    <row r="6" spans="1:5" x14ac:dyDescent="0.25">
      <c r="A6" s="25"/>
      <c r="B6" s="145" t="s">
        <v>592</v>
      </c>
      <c r="D6" s="146">
        <v>1</v>
      </c>
      <c r="E6" s="56"/>
    </row>
    <row r="7" spans="1:5" x14ac:dyDescent="0.25">
      <c r="A7" s="25"/>
      <c r="B7" s="146" t="s">
        <v>593</v>
      </c>
      <c r="C7" s="146"/>
      <c r="D7" s="146">
        <v>1</v>
      </c>
      <c r="E7" s="56"/>
    </row>
    <row r="8" spans="1:5" x14ac:dyDescent="0.25">
      <c r="A8" s="25"/>
      <c r="B8" t="s">
        <v>171</v>
      </c>
      <c r="C8" s="146"/>
      <c r="D8" s="146">
        <v>4</v>
      </c>
      <c r="E8" s="56"/>
    </row>
    <row r="9" spans="1:5" x14ac:dyDescent="0.25">
      <c r="A9" s="25"/>
      <c r="B9" t="s">
        <v>175</v>
      </c>
      <c r="D9" s="146">
        <v>12</v>
      </c>
      <c r="E9" s="56"/>
    </row>
    <row r="10" spans="1:5" x14ac:dyDescent="0.25">
      <c r="A10" s="25"/>
      <c r="B10" t="s">
        <v>594</v>
      </c>
      <c r="D10" s="146">
        <v>4</v>
      </c>
      <c r="E10" s="56"/>
    </row>
    <row r="11" spans="1:5" x14ac:dyDescent="0.25">
      <c r="A11" s="25"/>
      <c r="B11" t="s">
        <v>435</v>
      </c>
      <c r="D11" s="146">
        <v>4</v>
      </c>
      <c r="E11" s="56"/>
    </row>
    <row r="12" spans="1:5" x14ac:dyDescent="0.25">
      <c r="A12" s="51" t="s">
        <v>387</v>
      </c>
      <c r="B12" t="s">
        <v>386</v>
      </c>
      <c r="D12" s="146">
        <v>2</v>
      </c>
      <c r="E12" s="56"/>
    </row>
    <row r="13" spans="1:5" x14ac:dyDescent="0.25">
      <c r="A13" s="25"/>
      <c r="B13" s="1" t="s">
        <v>388</v>
      </c>
      <c r="D13" s="146">
        <v>2</v>
      </c>
      <c r="E13" s="56"/>
    </row>
    <row r="14" spans="1:5" x14ac:dyDescent="0.25">
      <c r="A14" s="25"/>
      <c r="B14" s="2" t="s">
        <v>224</v>
      </c>
      <c r="D14" s="146">
        <v>6</v>
      </c>
      <c r="E14" s="56"/>
    </row>
    <row r="15" spans="1:5" x14ac:dyDescent="0.25">
      <c r="A15" s="25"/>
      <c r="B15" t="s">
        <v>595</v>
      </c>
      <c r="D15" s="146">
        <v>1</v>
      </c>
      <c r="E15" s="56"/>
    </row>
    <row r="16" spans="1:5" x14ac:dyDescent="0.25">
      <c r="A16" s="25"/>
      <c r="B16" s="143" t="s">
        <v>596</v>
      </c>
      <c r="D16" s="146">
        <v>1</v>
      </c>
      <c r="E16" s="56"/>
    </row>
    <row r="17" spans="1:5" x14ac:dyDescent="0.25">
      <c r="A17" s="25"/>
      <c r="B17" s="28" t="s">
        <v>597</v>
      </c>
      <c r="D17" s="146">
        <v>1</v>
      </c>
      <c r="E17" s="56"/>
    </row>
    <row r="18" spans="1:5" ht="15.75" thickBot="1" x14ac:dyDescent="0.3">
      <c r="A18" s="61"/>
      <c r="B18" s="52" t="s">
        <v>598</v>
      </c>
      <c r="C18" s="52"/>
      <c r="D18" s="165">
        <v>1</v>
      </c>
      <c r="E18" s="63"/>
    </row>
  </sheetData>
  <phoneticPr fontId="33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2" r:id="rId4" xr:uid="{4ACA5512-5D4F-4A27-8CBB-7F9B30E93290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LC BOM</oddHeader>
    <oddFooter>&amp;CBETA PRELEASE&amp;R&amp;P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FFC000"/>
    <pageSetUpPr fitToPage="1"/>
  </sheetPr>
  <dimension ref="A1:E49"/>
  <sheetViews>
    <sheetView view="pageLayout" topLeftCell="A40" zoomScaleNormal="100" workbookViewId="0">
      <selection activeCell="B51" sqref="B51"/>
    </sheetView>
  </sheetViews>
  <sheetFormatPr defaultColWidth="10.2851562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233" width="10.28515625" style="2"/>
    <col min="16234" max="16239" width="11.42578125" style="2" bestFit="1" customWidth="1"/>
    <col min="16240" max="16384" width="10.28515625" style="2"/>
  </cols>
  <sheetData>
    <row r="1" spans="1:5" ht="30" customHeight="1" x14ac:dyDescent="0.25">
      <c r="A1" s="53"/>
      <c r="B1" s="19" t="s">
        <v>363</v>
      </c>
      <c r="C1" s="142" t="s">
        <v>364</v>
      </c>
      <c r="D1" s="142" t="s">
        <v>365</v>
      </c>
      <c r="E1" s="50"/>
    </row>
    <row r="2" spans="1:5" x14ac:dyDescent="0.25">
      <c r="A2" s="54" t="s">
        <v>366</v>
      </c>
      <c r="B2" s="31" t="s">
        <v>599</v>
      </c>
      <c r="C2" s="2" t="s">
        <v>600</v>
      </c>
      <c r="D2" s="15">
        <v>1</v>
      </c>
      <c r="E2" s="55" t="s">
        <v>369</v>
      </c>
    </row>
    <row r="3" spans="1:5" x14ac:dyDescent="0.25">
      <c r="A3" s="51" t="s">
        <v>370</v>
      </c>
      <c r="B3" s="31" t="s">
        <v>599</v>
      </c>
      <c r="C3" s="2" t="s">
        <v>601</v>
      </c>
      <c r="D3" s="15">
        <v>1</v>
      </c>
      <c r="E3" s="159" t="s">
        <v>372</v>
      </c>
    </row>
    <row r="4" spans="1:5" x14ac:dyDescent="0.25">
      <c r="A4" s="51" t="s">
        <v>373</v>
      </c>
      <c r="B4" s="31" t="s">
        <v>599</v>
      </c>
      <c r="C4" s="2" t="s">
        <v>602</v>
      </c>
      <c r="D4" s="15">
        <v>1</v>
      </c>
      <c r="E4" s="159" t="s">
        <v>375</v>
      </c>
    </row>
    <row r="5" spans="1:5" x14ac:dyDescent="0.25">
      <c r="A5" s="51" t="s">
        <v>376</v>
      </c>
      <c r="B5" s="30" t="s">
        <v>603</v>
      </c>
      <c r="C5" s="146" t="s">
        <v>604</v>
      </c>
      <c r="D5" s="149">
        <v>2</v>
      </c>
      <c r="E5" s="159" t="s">
        <v>379</v>
      </c>
    </row>
    <row r="6" spans="1:5" x14ac:dyDescent="0.25">
      <c r="A6" s="25"/>
      <c r="B6" s="150" t="s">
        <v>603</v>
      </c>
      <c r="C6" s="146" t="s">
        <v>605</v>
      </c>
      <c r="D6" s="149">
        <v>5</v>
      </c>
      <c r="E6" s="56"/>
    </row>
    <row r="7" spans="1:5" x14ac:dyDescent="0.25">
      <c r="A7" s="25"/>
      <c r="B7" s="20" t="s">
        <v>606</v>
      </c>
      <c r="C7" s="146" t="s">
        <v>604</v>
      </c>
      <c r="D7" s="149">
        <v>2</v>
      </c>
      <c r="E7" s="56"/>
    </row>
    <row r="8" spans="1:5" x14ac:dyDescent="0.25">
      <c r="A8" s="25"/>
      <c r="B8" s="20" t="s">
        <v>606</v>
      </c>
      <c r="C8" s="146" t="s">
        <v>605</v>
      </c>
      <c r="D8" s="15">
        <v>2</v>
      </c>
      <c r="E8" s="56"/>
    </row>
    <row r="9" spans="1:5" x14ac:dyDescent="0.25">
      <c r="A9" s="25"/>
      <c r="B9" s="166" t="s">
        <v>144</v>
      </c>
      <c r="C9" s="146" t="s">
        <v>607</v>
      </c>
      <c r="D9" s="15">
        <v>1</v>
      </c>
      <c r="E9" s="56"/>
    </row>
    <row r="10" spans="1:5" x14ac:dyDescent="0.25">
      <c r="A10" s="25"/>
      <c r="B10" s="30" t="s">
        <v>608</v>
      </c>
      <c r="C10" s="146" t="s">
        <v>604</v>
      </c>
      <c r="D10" s="149">
        <v>2</v>
      </c>
      <c r="E10" s="56"/>
    </row>
    <row r="11" spans="1:5" x14ac:dyDescent="0.25">
      <c r="A11" s="25"/>
      <c r="B11" s="30" t="s">
        <v>608</v>
      </c>
      <c r="C11" s="146" t="s">
        <v>605</v>
      </c>
      <c r="D11" s="15">
        <v>2</v>
      </c>
      <c r="E11" s="56"/>
    </row>
    <row r="12" spans="1:5" x14ac:dyDescent="0.25">
      <c r="A12" s="51" t="s">
        <v>387</v>
      </c>
      <c r="B12" s="166" t="s">
        <v>609</v>
      </c>
      <c r="C12" s="146" t="s">
        <v>610</v>
      </c>
      <c r="D12" s="15">
        <v>5</v>
      </c>
      <c r="E12" s="56"/>
    </row>
    <row r="13" spans="1:5" x14ac:dyDescent="0.25">
      <c r="A13" s="25"/>
      <c r="B13" s="30" t="s">
        <v>611</v>
      </c>
      <c r="C13" s="146" t="s">
        <v>604</v>
      </c>
      <c r="D13" s="149">
        <v>2</v>
      </c>
      <c r="E13" s="56"/>
    </row>
    <row r="14" spans="1:5" x14ac:dyDescent="0.25">
      <c r="A14" s="25"/>
      <c r="B14" s="30" t="s">
        <v>611</v>
      </c>
      <c r="C14" s="146" t="s">
        <v>605</v>
      </c>
      <c r="D14" s="149">
        <v>5</v>
      </c>
      <c r="E14" s="56"/>
    </row>
    <row r="15" spans="1:5" x14ac:dyDescent="0.25">
      <c r="A15" s="25"/>
      <c r="B15" s="166" t="s">
        <v>612</v>
      </c>
      <c r="C15" s="146" t="s">
        <v>613</v>
      </c>
      <c r="D15" s="149">
        <v>5</v>
      </c>
      <c r="E15" s="56"/>
    </row>
    <row r="16" spans="1:5" x14ac:dyDescent="0.25">
      <c r="A16" s="25"/>
      <c r="B16" s="166" t="s">
        <v>612</v>
      </c>
      <c r="C16" s="146" t="s">
        <v>605</v>
      </c>
      <c r="D16" s="149">
        <v>5</v>
      </c>
      <c r="E16" s="56"/>
    </row>
    <row r="17" spans="1:5" x14ac:dyDescent="0.25">
      <c r="A17" s="25"/>
      <c r="B17" s="30" t="s">
        <v>611</v>
      </c>
      <c r="C17" s="2" t="s">
        <v>614</v>
      </c>
      <c r="D17" s="15">
        <v>2</v>
      </c>
      <c r="E17" s="56"/>
    </row>
    <row r="18" spans="1:5" x14ac:dyDescent="0.25">
      <c r="A18" s="25"/>
      <c r="B18" s="150" t="s">
        <v>603</v>
      </c>
      <c r="C18" s="2" t="s">
        <v>614</v>
      </c>
      <c r="D18" s="15">
        <v>2</v>
      </c>
      <c r="E18" s="56"/>
    </row>
    <row r="19" spans="1:5" x14ac:dyDescent="0.25">
      <c r="A19" s="25"/>
      <c r="B19" s="160" t="s">
        <v>615</v>
      </c>
      <c r="C19" s="160" t="s">
        <v>440</v>
      </c>
      <c r="D19" s="57"/>
      <c r="E19" s="56"/>
    </row>
    <row r="20" spans="1:5" x14ac:dyDescent="0.25">
      <c r="A20" s="25"/>
      <c r="B20" s="146" t="s">
        <v>141</v>
      </c>
      <c r="C20" s="146" t="s">
        <v>616</v>
      </c>
      <c r="D20" s="146">
        <v>1</v>
      </c>
      <c r="E20" s="56"/>
    </row>
    <row r="21" spans="1:5" x14ac:dyDescent="0.25">
      <c r="A21" s="25"/>
      <c r="B21" s="146" t="s">
        <v>617</v>
      </c>
      <c r="D21" s="15">
        <v>1</v>
      </c>
      <c r="E21" s="56"/>
    </row>
    <row r="22" spans="1:5" x14ac:dyDescent="0.25">
      <c r="A22" s="25"/>
      <c r="B22" s="58" t="s">
        <v>75</v>
      </c>
      <c r="D22" s="15">
        <v>1</v>
      </c>
      <c r="E22" s="56"/>
    </row>
    <row r="23" spans="1:5" ht="14.25" customHeight="1" x14ac:dyDescent="0.25">
      <c r="A23" s="25"/>
      <c r="B23" s="59" t="s">
        <v>82</v>
      </c>
      <c r="C23" s="60"/>
      <c r="D23" s="60">
        <v>1</v>
      </c>
      <c r="E23" s="56"/>
    </row>
    <row r="24" spans="1:5" ht="15.75" customHeight="1" x14ac:dyDescent="0.25">
      <c r="A24" s="25"/>
      <c r="B24" s="59" t="s">
        <v>85</v>
      </c>
      <c r="C24" s="60"/>
      <c r="D24" s="60">
        <v>1</v>
      </c>
      <c r="E24" s="56"/>
    </row>
    <row r="25" spans="1:5" ht="15" customHeight="1" x14ac:dyDescent="0.25">
      <c r="A25" s="25"/>
      <c r="B25" s="59" t="s">
        <v>87</v>
      </c>
      <c r="C25" s="60"/>
      <c r="D25" s="60">
        <v>2</v>
      </c>
      <c r="E25" s="56"/>
    </row>
    <row r="26" spans="1:5" ht="14.25" customHeight="1" x14ac:dyDescent="0.25">
      <c r="A26" s="25"/>
      <c r="B26" s="59" t="s">
        <v>89</v>
      </c>
      <c r="C26" s="60"/>
      <c r="D26" s="60">
        <v>2</v>
      </c>
      <c r="E26" s="56"/>
    </row>
    <row r="27" spans="1:5" x14ac:dyDescent="0.25">
      <c r="A27" s="25"/>
      <c r="B27" s="145" t="s">
        <v>45</v>
      </c>
      <c r="D27" s="146">
        <v>1</v>
      </c>
      <c r="E27" s="56"/>
    </row>
    <row r="28" spans="1:5" x14ac:dyDescent="0.25">
      <c r="A28" s="25"/>
      <c r="B28" t="s">
        <v>171</v>
      </c>
      <c r="C28" s="28"/>
      <c r="D28">
        <v>6</v>
      </c>
      <c r="E28" s="56"/>
    </row>
    <row r="29" spans="1:5" x14ac:dyDescent="0.25">
      <c r="A29" s="25"/>
      <c r="B29" t="s">
        <v>175</v>
      </c>
      <c r="C29" s="28"/>
      <c r="D29">
        <v>20</v>
      </c>
      <c r="E29" s="56"/>
    </row>
    <row r="30" spans="1:5" x14ac:dyDescent="0.25">
      <c r="A30" s="25"/>
      <c r="B30" s="18" t="s">
        <v>594</v>
      </c>
      <c r="C30" s="28"/>
      <c r="D30">
        <v>12</v>
      </c>
      <c r="E30" s="56"/>
    </row>
    <row r="31" spans="1:5" x14ac:dyDescent="0.25">
      <c r="A31" s="25"/>
      <c r="B31" s="18" t="s">
        <v>435</v>
      </c>
      <c r="C31" s="28"/>
      <c r="D31">
        <v>6</v>
      </c>
      <c r="E31" s="56"/>
    </row>
    <row r="32" spans="1:5" x14ac:dyDescent="0.25">
      <c r="A32" s="25"/>
      <c r="B32" s="18" t="s">
        <v>218</v>
      </c>
      <c r="C32" s="28"/>
      <c r="D32">
        <v>3</v>
      </c>
      <c r="E32" s="56"/>
    </row>
    <row r="33" spans="1:5" x14ac:dyDescent="0.25">
      <c r="A33" s="25"/>
      <c r="B33" s="18" t="s">
        <v>386</v>
      </c>
      <c r="C33" s="28"/>
      <c r="D33">
        <v>14</v>
      </c>
      <c r="E33" s="56"/>
    </row>
    <row r="34" spans="1:5" x14ac:dyDescent="0.25">
      <c r="A34" s="25"/>
      <c r="B34" s="18" t="s">
        <v>388</v>
      </c>
      <c r="C34" s="28"/>
      <c r="D34">
        <v>15</v>
      </c>
      <c r="E34" s="56"/>
    </row>
    <row r="35" spans="1:5" x14ac:dyDescent="0.25">
      <c r="A35" s="25"/>
      <c r="B35" s="18" t="s">
        <v>224</v>
      </c>
      <c r="C35" s="28"/>
      <c r="D35">
        <v>17</v>
      </c>
      <c r="E35" s="56"/>
    </row>
    <row r="36" spans="1:5" x14ac:dyDescent="0.25">
      <c r="A36" s="25"/>
      <c r="B36" s="166" t="s">
        <v>48</v>
      </c>
      <c r="C36" s="146" t="s">
        <v>618</v>
      </c>
      <c r="D36" s="15">
        <v>2</v>
      </c>
      <c r="E36" s="56"/>
    </row>
    <row r="37" spans="1:5" ht="15" customHeight="1" x14ac:dyDescent="0.25">
      <c r="A37" s="25"/>
      <c r="B37" s="166" t="s">
        <v>51</v>
      </c>
      <c r="C37" s="146" t="s">
        <v>618</v>
      </c>
      <c r="D37" s="15">
        <v>1</v>
      </c>
      <c r="E37" s="56"/>
    </row>
    <row r="38" spans="1:5" x14ac:dyDescent="0.25">
      <c r="A38" s="25"/>
      <c r="B38" s="25" t="s">
        <v>619</v>
      </c>
      <c r="C38" s="146" t="s">
        <v>618</v>
      </c>
      <c r="D38" s="15">
        <v>1</v>
      </c>
      <c r="E38" s="56"/>
    </row>
    <row r="39" spans="1:5" x14ac:dyDescent="0.25">
      <c r="A39" s="25"/>
      <c r="B39" s="166" t="s">
        <v>91</v>
      </c>
      <c r="C39" s="146" t="s">
        <v>620</v>
      </c>
      <c r="D39" s="15">
        <v>1</v>
      </c>
      <c r="E39" s="56"/>
    </row>
    <row r="40" spans="1:5" x14ac:dyDescent="0.25">
      <c r="A40" s="25"/>
      <c r="B40" s="17" t="s">
        <v>621</v>
      </c>
      <c r="C40" s="146" t="s">
        <v>622</v>
      </c>
      <c r="D40" s="146">
        <v>1</v>
      </c>
      <c r="E40" s="56"/>
    </row>
    <row r="41" spans="1:5" x14ac:dyDescent="0.25">
      <c r="A41" s="25"/>
      <c r="B41" s="166" t="s">
        <v>129</v>
      </c>
      <c r="C41" s="146" t="s">
        <v>623</v>
      </c>
      <c r="D41" s="146">
        <v>1</v>
      </c>
      <c r="E41" s="56"/>
    </row>
    <row r="42" spans="1:5" x14ac:dyDescent="0.25">
      <c r="A42" s="25"/>
      <c r="B42" s="2" t="s">
        <v>78</v>
      </c>
      <c r="C42" s="146" t="s">
        <v>624</v>
      </c>
      <c r="D42" s="15">
        <v>3</v>
      </c>
      <c r="E42" s="56"/>
    </row>
    <row r="43" spans="1:5" ht="16.5" customHeight="1" x14ac:dyDescent="0.25">
      <c r="A43" s="25"/>
      <c r="B43" t="s">
        <v>625</v>
      </c>
      <c r="C43" s="146" t="s">
        <v>626</v>
      </c>
      <c r="D43" s="15">
        <v>1</v>
      </c>
      <c r="E43" s="56"/>
    </row>
    <row r="44" spans="1:5" ht="16.5" customHeight="1" x14ac:dyDescent="0.25">
      <c r="A44" s="25"/>
      <c r="B44" t="s">
        <v>627</v>
      </c>
      <c r="C44" s="146" t="s">
        <v>628</v>
      </c>
      <c r="D44" s="15">
        <v>1</v>
      </c>
      <c r="E44" s="56"/>
    </row>
    <row r="45" spans="1:5" ht="16.5" customHeight="1" x14ac:dyDescent="0.25">
      <c r="A45" s="25"/>
      <c r="B45" s="146" t="s">
        <v>629</v>
      </c>
      <c r="C45" s="146" t="s">
        <v>630</v>
      </c>
      <c r="D45" s="15">
        <v>2</v>
      </c>
      <c r="E45" s="56"/>
    </row>
    <row r="46" spans="1:5" ht="16.5" customHeight="1" thickBot="1" x14ac:dyDescent="0.3">
      <c r="A46" s="61"/>
      <c r="B46" s="49" t="s">
        <v>631</v>
      </c>
      <c r="C46" s="165" t="s">
        <v>626</v>
      </c>
      <c r="D46" s="62">
        <v>1</v>
      </c>
      <c r="E46" s="63"/>
    </row>
    <row r="48" spans="1:5" ht="60" x14ac:dyDescent="0.25">
      <c r="B48" s="2" t="s">
        <v>632</v>
      </c>
      <c r="C48" s="139" t="s">
        <v>633</v>
      </c>
      <c r="E48" s="173" t="s">
        <v>634</v>
      </c>
    </row>
    <row r="49" spans="2:2" x14ac:dyDescent="0.25">
      <c r="B49" s="2" t="s">
        <v>635</v>
      </c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  <hyperlink ref="E48" r:id="rId5" xr:uid="{0775AE39-3E92-45EA-995C-11171C29A6B8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77" fitToHeight="0" orientation="portrait" r:id="rId6"/>
  <headerFooter>
    <oddHeader>&amp;C&amp;"Aptos Black,Regular"&amp;14VALKYRIE V2 - Electronics BOM</oddHeader>
    <oddFooter>&amp;CBETA PRELEASE&amp;R&amp;P of &amp;N</oddFooter>
  </headerFooter>
  <drawing r:id="rId7"/>
  <tableParts count="1">
    <tablePart r:id="rId8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FFFF00"/>
  </sheetPr>
  <dimension ref="A1:M92"/>
  <sheetViews>
    <sheetView workbookViewId="0">
      <pane ySplit="1" topLeftCell="A2" activePane="bottomLeft" state="frozen"/>
      <selection pane="bottomLeft" activeCell="A2" sqref="A2"/>
    </sheetView>
  </sheetViews>
  <sheetFormatPr defaultRowHeight="15" x14ac:dyDescent="0.25"/>
  <cols>
    <col min="1" max="1" width="16.85546875" customWidth="1"/>
    <col min="2" max="2" width="31.7109375" bestFit="1" customWidth="1"/>
    <col min="3" max="3" width="9.7109375" bestFit="1" customWidth="1"/>
    <col min="4" max="4" width="12.140625" bestFit="1" customWidth="1"/>
    <col min="5" max="5" width="8.28515625" bestFit="1" customWidth="1"/>
    <col min="6" max="6" width="12.42578125" customWidth="1"/>
    <col min="7" max="7" width="11.5703125" bestFit="1" customWidth="1"/>
    <col min="8" max="9" width="16.140625" bestFit="1" customWidth="1"/>
    <col min="10" max="10" width="14" bestFit="1" customWidth="1"/>
    <col min="11" max="11" width="13.42578125" bestFit="1" customWidth="1"/>
    <col min="13" max="13" width="16" bestFit="1" customWidth="1"/>
  </cols>
  <sheetData>
    <row r="1" spans="1:13" x14ac:dyDescent="0.25">
      <c r="A1" s="1" t="s">
        <v>636</v>
      </c>
      <c r="B1" s="1" t="s">
        <v>1</v>
      </c>
      <c r="C1" s="1" t="s">
        <v>637</v>
      </c>
      <c r="D1" s="1" t="s">
        <v>638</v>
      </c>
      <c r="E1" s="1" t="s">
        <v>639</v>
      </c>
      <c r="F1" s="117" t="s">
        <v>640</v>
      </c>
      <c r="G1" s="1" t="s">
        <v>641</v>
      </c>
      <c r="H1" s="1" t="s">
        <v>642</v>
      </c>
      <c r="J1" s="1" t="s">
        <v>643</v>
      </c>
      <c r="K1" s="1" t="s">
        <v>644</v>
      </c>
      <c r="L1" s="1" t="s">
        <v>645</v>
      </c>
      <c r="M1" s="1" t="s">
        <v>646</v>
      </c>
    </row>
    <row r="2" spans="1:13" x14ac:dyDescent="0.25">
      <c r="A2" s="1" t="s">
        <v>647</v>
      </c>
      <c r="B2" s="38" t="s">
        <v>411</v>
      </c>
      <c r="D2" s="129">
        <v>98</v>
      </c>
      <c r="E2" s="38">
        <v>1</v>
      </c>
      <c r="F2" s="123">
        <f>SUM(Table6[[#This Row],[Weight]]*Table6[[#This Row],[Items]])</f>
        <v>98</v>
      </c>
      <c r="G2" s="119">
        <f>$K$2/1000*Table6[[#This Row],[Weight]]*Table6[[#This Row],[Items]]</f>
        <v>12.74</v>
      </c>
      <c r="H2" s="121"/>
      <c r="J2" s="1" t="s">
        <v>648</v>
      </c>
      <c r="K2" s="1">
        <v>130</v>
      </c>
      <c r="L2">
        <v>1.3</v>
      </c>
    </row>
    <row r="3" spans="1:13" x14ac:dyDescent="0.25">
      <c r="A3" s="1" t="s">
        <v>647</v>
      </c>
      <c r="B3" s="38" t="s">
        <v>412</v>
      </c>
      <c r="D3" s="129"/>
      <c r="E3" s="38">
        <v>4</v>
      </c>
      <c r="F3" s="123">
        <f>SUM(Table6[[#This Row],[Weight]]*Table6[[#This Row],[Items]])</f>
        <v>0</v>
      </c>
      <c r="G3" s="119">
        <f>$K$2/1000*Table6[[#This Row],[Weight]]*Table6[[#This Row],[Items]]</f>
        <v>0</v>
      </c>
      <c r="H3" s="121"/>
      <c r="J3" s="1" t="s">
        <v>649</v>
      </c>
      <c r="K3">
        <v>130</v>
      </c>
      <c r="L3">
        <v>1.3</v>
      </c>
    </row>
    <row r="4" spans="1:13" x14ac:dyDescent="0.25">
      <c r="A4" s="1" t="s">
        <v>647</v>
      </c>
      <c r="B4" s="1" t="s">
        <v>413</v>
      </c>
      <c r="D4" s="129">
        <v>49</v>
      </c>
      <c r="E4" s="1">
        <v>1</v>
      </c>
      <c r="F4" s="124">
        <f>SUM(Table6[[#This Row],[Weight]]*Table6[[#This Row],[Items]])</f>
        <v>49</v>
      </c>
      <c r="G4" s="119">
        <f>$K$2/1000*Table6[[#This Row],[Weight]]*Table6[[#This Row],[Items]]</f>
        <v>6.37</v>
      </c>
      <c r="H4" s="121"/>
      <c r="J4" s="1" t="s">
        <v>650</v>
      </c>
      <c r="K4" s="1">
        <v>155</v>
      </c>
      <c r="L4">
        <v>1.3</v>
      </c>
    </row>
    <row r="5" spans="1:13" x14ac:dyDescent="0.25">
      <c r="A5" s="1" t="s">
        <v>647</v>
      </c>
      <c r="B5" s="1" t="s">
        <v>414</v>
      </c>
      <c r="D5" s="129">
        <v>47</v>
      </c>
      <c r="E5" s="1">
        <v>1</v>
      </c>
      <c r="F5" s="124">
        <f>SUM(Table6[[#This Row],[Weight]]*Table6[[#This Row],[Items]])</f>
        <v>47</v>
      </c>
      <c r="G5" s="119">
        <f>$K$2/1000*Table6[[#This Row],[Weight]]*Table6[[#This Row],[Items]]</f>
        <v>6.11</v>
      </c>
      <c r="H5" s="121"/>
      <c r="J5" s="1" t="s">
        <v>651</v>
      </c>
      <c r="K5" s="1">
        <v>150</v>
      </c>
      <c r="L5">
        <v>1.25</v>
      </c>
    </row>
    <row r="6" spans="1:13" x14ac:dyDescent="0.25">
      <c r="A6" s="1" t="s">
        <v>647</v>
      </c>
      <c r="B6" s="38" t="s">
        <v>415</v>
      </c>
      <c r="D6" s="129">
        <v>11</v>
      </c>
      <c r="E6" s="38">
        <v>2</v>
      </c>
      <c r="F6" s="123">
        <f>SUM(Table6[[#This Row],[Weight]]*Table6[[#This Row],[Items]])</f>
        <v>22</v>
      </c>
      <c r="G6" s="119">
        <f>$K$2/1000*Table6[[#This Row],[Weight]]*Table6[[#This Row],[Items]]</f>
        <v>2.8600000000000003</v>
      </c>
      <c r="H6" s="121"/>
      <c r="J6" s="1"/>
      <c r="M6" s="1"/>
    </row>
    <row r="7" spans="1:13" x14ac:dyDescent="0.25">
      <c r="A7" s="1" t="s">
        <v>647</v>
      </c>
      <c r="B7" s="1" t="s">
        <v>416</v>
      </c>
      <c r="D7" s="129">
        <v>200</v>
      </c>
      <c r="E7" s="1">
        <v>1</v>
      </c>
      <c r="F7" s="124">
        <f>SUM(Table6[[#This Row],[Weight]]*Table6[[#This Row],[Items]])</f>
        <v>200</v>
      </c>
      <c r="G7" s="119">
        <f>$K$2/1000*Table6[[#This Row],[Weight]]*Table6[[#This Row],[Items]]</f>
        <v>26</v>
      </c>
      <c r="H7" s="121">
        <v>0.29166666666666669</v>
      </c>
    </row>
    <row r="8" spans="1:13" x14ac:dyDescent="0.25">
      <c r="A8" s="1" t="s">
        <v>647</v>
      </c>
      <c r="B8" s="1" t="s">
        <v>417</v>
      </c>
      <c r="D8" s="129">
        <v>28</v>
      </c>
      <c r="E8" s="1">
        <v>1</v>
      </c>
      <c r="F8" s="124">
        <f>SUM(Table6[[#This Row],[Weight]]*Table6[[#This Row],[Items]])</f>
        <v>28</v>
      </c>
      <c r="G8" s="119">
        <f>$K$2/1000*Table6[[#This Row],[Weight]]*Table6[[#This Row],[Items]]</f>
        <v>3.64</v>
      </c>
      <c r="H8" s="121"/>
      <c r="J8" s="1" t="s">
        <v>652</v>
      </c>
    </row>
    <row r="9" spans="1:13" x14ac:dyDescent="0.25">
      <c r="A9" s="1" t="s">
        <v>647</v>
      </c>
      <c r="B9" s="1" t="s">
        <v>418</v>
      </c>
      <c r="D9" s="129">
        <v>15</v>
      </c>
      <c r="E9" s="1">
        <v>1</v>
      </c>
      <c r="F9" s="124">
        <f>SUM(Table6[[#This Row],[Weight]]*Table6[[#This Row],[Items]])</f>
        <v>15</v>
      </c>
      <c r="G9" s="119">
        <f>$K$2/1000*Table6[[#This Row],[Weight]]*Table6[[#This Row],[Items]]</f>
        <v>1.9500000000000002</v>
      </c>
      <c r="H9" s="121"/>
      <c r="J9" s="131" t="s">
        <v>653</v>
      </c>
      <c r="K9" s="131">
        <v>3</v>
      </c>
    </row>
    <row r="10" spans="1:13" x14ac:dyDescent="0.25">
      <c r="A10" s="1" t="s">
        <v>647</v>
      </c>
      <c r="B10" s="38" t="s">
        <v>419</v>
      </c>
      <c r="D10" s="129"/>
      <c r="E10" s="38">
        <v>1</v>
      </c>
      <c r="F10" s="123">
        <f>SUM(Table6[[#This Row],[Weight]]*Table6[[#This Row],[Items]])</f>
        <v>0</v>
      </c>
      <c r="G10" s="119">
        <f>$K$2/1000*Table6[[#This Row],[Weight]]*Table6[[#This Row],[Items]]</f>
        <v>0</v>
      </c>
      <c r="H10" s="121"/>
      <c r="J10" s="1" t="s">
        <v>654</v>
      </c>
      <c r="K10">
        <v>0.25</v>
      </c>
    </row>
    <row r="11" spans="1:13" x14ac:dyDescent="0.25">
      <c r="A11" s="1" t="s">
        <v>647</v>
      </c>
      <c r="B11" s="38" t="s">
        <v>420</v>
      </c>
      <c r="D11" s="129"/>
      <c r="E11" s="38">
        <v>1</v>
      </c>
      <c r="F11" s="123">
        <f>SUM(Table6[[#This Row],[Weight]]*Table6[[#This Row],[Items]])</f>
        <v>0</v>
      </c>
      <c r="G11" s="119">
        <f>$K$2/1000*Table6[[#This Row],[Weight]]*Table6[[#This Row],[Items]]</f>
        <v>0</v>
      </c>
      <c r="H11" s="121"/>
      <c r="J11" s="1" t="s">
        <v>655</v>
      </c>
      <c r="K11">
        <f>K9/K10</f>
        <v>12</v>
      </c>
    </row>
    <row r="12" spans="1:13" x14ac:dyDescent="0.25">
      <c r="A12" s="1" t="s">
        <v>647</v>
      </c>
      <c r="B12" s="38" t="s">
        <v>421</v>
      </c>
      <c r="D12" s="129"/>
      <c r="E12" s="38">
        <v>2</v>
      </c>
      <c r="F12" s="123">
        <f>SUM(Table6[[#This Row],[Weight]]*Table6[[#This Row],[Items]])</f>
        <v>0</v>
      </c>
      <c r="G12" s="119">
        <f>$K$2/1000*Table6[[#This Row],[Weight]]*Table6[[#This Row],[Items]]</f>
        <v>0</v>
      </c>
      <c r="H12" s="121"/>
      <c r="J12" s="1" t="s">
        <v>656</v>
      </c>
      <c r="K12">
        <f>K9/K10</f>
        <v>12</v>
      </c>
    </row>
    <row r="13" spans="1:13" x14ac:dyDescent="0.25">
      <c r="A13" s="1" t="s">
        <v>647</v>
      </c>
      <c r="B13" s="38" t="s">
        <v>422</v>
      </c>
      <c r="D13" s="129"/>
      <c r="E13" s="38">
        <v>2</v>
      </c>
      <c r="F13" s="123">
        <f>SUM(Table6[[#This Row],[Weight]]*Table6[[#This Row],[Items]])</f>
        <v>0</v>
      </c>
      <c r="G13" s="119">
        <f>$K$2/1000*Table6[[#This Row],[Weight]]*Table6[[#This Row],[Items]]</f>
        <v>0</v>
      </c>
      <c r="H13" s="121"/>
      <c r="J13" s="1" t="s">
        <v>657</v>
      </c>
      <c r="K13">
        <v>0.6</v>
      </c>
    </row>
    <row r="14" spans="1:13" x14ac:dyDescent="0.25">
      <c r="A14" s="1" t="s">
        <v>647</v>
      </c>
      <c r="B14" s="1" t="s">
        <v>423</v>
      </c>
      <c r="D14" s="129"/>
      <c r="E14" s="1">
        <v>1</v>
      </c>
      <c r="F14" s="124">
        <f>SUM(Table6[[#This Row],[Weight]]*Table6[[#This Row],[Items]])</f>
        <v>0</v>
      </c>
      <c r="G14" s="119">
        <f>$K$2/1000*Table6[[#This Row],[Weight]]*Table6[[#This Row],[Items]]</f>
        <v>0</v>
      </c>
      <c r="H14" s="121"/>
      <c r="J14" s="1" t="s">
        <v>658</v>
      </c>
      <c r="K14" s="129">
        <f>K9/K13</f>
        <v>5</v>
      </c>
    </row>
    <row r="15" spans="1:13" x14ac:dyDescent="0.25">
      <c r="A15" s="1" t="s">
        <v>647</v>
      </c>
      <c r="B15" s="1" t="s">
        <v>424</v>
      </c>
      <c r="D15" s="129"/>
      <c r="E15" s="1">
        <v>1</v>
      </c>
      <c r="F15" s="124">
        <f>SUM(Table6[[#This Row],[Weight]]*Table6[[#This Row],[Items]])</f>
        <v>0</v>
      </c>
      <c r="G15" s="119">
        <f>$K$2/1000*Table6[[#This Row],[Weight]]*Table6[[#This Row],[Items]]</f>
        <v>0</v>
      </c>
      <c r="H15" s="121"/>
      <c r="J15" s="1" t="s">
        <v>659</v>
      </c>
      <c r="K15" s="130">
        <v>0.25</v>
      </c>
    </row>
    <row r="16" spans="1:13" x14ac:dyDescent="0.25">
      <c r="A16" s="1" t="s">
        <v>647</v>
      </c>
      <c r="B16" s="38" t="s">
        <v>425</v>
      </c>
      <c r="D16" s="129"/>
      <c r="E16" s="38">
        <v>1</v>
      </c>
      <c r="F16" s="123">
        <f>SUM(Table6[[#This Row],[Weight]]*Table6[[#This Row],[Items]])</f>
        <v>0</v>
      </c>
      <c r="G16" s="119">
        <f>$K$2/1000*Table6[[#This Row],[Weight]]*Table6[[#This Row],[Items]]</f>
        <v>0</v>
      </c>
      <c r="H16" s="121"/>
      <c r="J16" s="1" t="s">
        <v>660</v>
      </c>
      <c r="K16" s="1" t="s">
        <v>661</v>
      </c>
    </row>
    <row r="17" spans="1:8" x14ac:dyDescent="0.25">
      <c r="A17" s="1" t="s">
        <v>647</v>
      </c>
      <c r="B17" s="38" t="s">
        <v>426</v>
      </c>
      <c r="D17" s="129"/>
      <c r="E17" s="38">
        <v>1</v>
      </c>
      <c r="F17" s="123">
        <f>SUM(Table6[[#This Row],[Weight]]*Table6[[#This Row],[Items]])</f>
        <v>0</v>
      </c>
      <c r="G17" s="119">
        <f>$K$2/1000*Table6[[#This Row],[Weight]]*Table6[[#This Row],[Items]]</f>
        <v>0</v>
      </c>
      <c r="H17" s="121"/>
    </row>
    <row r="18" spans="1:8" x14ac:dyDescent="0.25">
      <c r="A18" s="1" t="s">
        <v>662</v>
      </c>
      <c r="B18" s="1" t="s">
        <v>562</v>
      </c>
      <c r="D18" s="129"/>
      <c r="E18" s="1">
        <v>1</v>
      </c>
      <c r="F18" s="124">
        <f>SUM(Table6[[#This Row],[Weight]]*Table6[[#This Row],[Items]])</f>
        <v>0</v>
      </c>
      <c r="G18" s="119">
        <f>$K$2/1000*Table6[[#This Row],[Weight]]*Table6[[#This Row],[Items]]</f>
        <v>0</v>
      </c>
      <c r="H18" s="121"/>
    </row>
    <row r="19" spans="1:8" x14ac:dyDescent="0.25">
      <c r="A19" s="1" t="s">
        <v>662</v>
      </c>
      <c r="B19" s="1" t="s">
        <v>563</v>
      </c>
      <c r="D19" s="129"/>
      <c r="E19" s="1">
        <v>1</v>
      </c>
      <c r="F19" s="124">
        <f>SUM(Table6[[#This Row],[Weight]]*Table6[[#This Row],[Items]])</f>
        <v>0</v>
      </c>
      <c r="G19" s="119">
        <f>$K$2/1000*Table6[[#This Row],[Weight]]*Table6[[#This Row],[Items]]</f>
        <v>0</v>
      </c>
      <c r="H19" s="121"/>
    </row>
    <row r="20" spans="1:8" x14ac:dyDescent="0.25">
      <c r="A20" s="1" t="s">
        <v>662</v>
      </c>
      <c r="B20" s="1" t="s">
        <v>564</v>
      </c>
      <c r="D20" s="129"/>
      <c r="E20" s="1">
        <v>1</v>
      </c>
      <c r="F20" s="124">
        <f>SUM(Table6[[#This Row],[Weight]]*Table6[[#This Row],[Items]])</f>
        <v>0</v>
      </c>
      <c r="G20" s="119">
        <f>$K$2/1000*Table6[[#This Row],[Weight]]*Table6[[#This Row],[Items]]</f>
        <v>0</v>
      </c>
      <c r="H20" s="121"/>
    </row>
    <row r="21" spans="1:8" x14ac:dyDescent="0.25">
      <c r="A21" s="1" t="s">
        <v>662</v>
      </c>
      <c r="B21" s="1" t="s">
        <v>565</v>
      </c>
      <c r="D21" s="129"/>
      <c r="E21" s="1">
        <v>1</v>
      </c>
      <c r="F21" s="124">
        <f>SUM(Table6[[#This Row],[Weight]]*Table6[[#This Row],[Items]])</f>
        <v>0</v>
      </c>
      <c r="G21" s="119">
        <f>$K$2/1000*Table6[[#This Row],[Weight]]*Table6[[#This Row],[Items]]</f>
        <v>0</v>
      </c>
      <c r="H21" s="121"/>
    </row>
    <row r="22" spans="1:8" x14ac:dyDescent="0.25">
      <c r="A22" s="1" t="s">
        <v>662</v>
      </c>
      <c r="B22" s="1" t="s">
        <v>566</v>
      </c>
      <c r="D22" s="129"/>
      <c r="E22" s="1">
        <v>1</v>
      </c>
      <c r="F22" s="124">
        <f>SUM(Table6[[#This Row],[Weight]]*Table6[[#This Row],[Items]])</f>
        <v>0</v>
      </c>
      <c r="G22" s="119">
        <f>$K$2/1000*Table6[[#This Row],[Weight]]*Table6[[#This Row],[Items]]</f>
        <v>0</v>
      </c>
      <c r="H22" s="121"/>
    </row>
    <row r="23" spans="1:8" x14ac:dyDescent="0.25">
      <c r="A23" s="1" t="s">
        <v>662</v>
      </c>
      <c r="B23" s="1" t="s">
        <v>567</v>
      </c>
      <c r="D23" s="129"/>
      <c r="E23" s="1">
        <v>1</v>
      </c>
      <c r="F23" s="124">
        <f>SUM(Table6[[#This Row],[Weight]]*Table6[[#This Row],[Items]])</f>
        <v>0</v>
      </c>
      <c r="G23" s="119">
        <f>$K$2/1000*Table6[[#This Row],[Weight]]*Table6[[#This Row],[Items]]</f>
        <v>0</v>
      </c>
      <c r="H23" s="121"/>
    </row>
    <row r="24" spans="1:8" x14ac:dyDescent="0.25">
      <c r="A24" s="1" t="s">
        <v>662</v>
      </c>
      <c r="B24" s="1" t="s">
        <v>568</v>
      </c>
      <c r="D24" s="129"/>
      <c r="E24" s="1">
        <v>2</v>
      </c>
      <c r="F24" s="124">
        <f>SUM(Table6[[#This Row],[Weight]]*Table6[[#This Row],[Items]])</f>
        <v>0</v>
      </c>
      <c r="G24" s="119">
        <f>$K$2/1000*Table6[[#This Row],[Weight]]*Table6[[#This Row],[Items]]</f>
        <v>0</v>
      </c>
      <c r="H24" s="121"/>
    </row>
    <row r="25" spans="1:8" x14ac:dyDescent="0.25">
      <c r="A25" s="1" t="s">
        <v>662</v>
      </c>
      <c r="B25" s="38" t="s">
        <v>569</v>
      </c>
      <c r="D25" s="129"/>
      <c r="E25" s="38">
        <v>4</v>
      </c>
      <c r="F25" s="123">
        <f>SUM(Table6[[#This Row],[Weight]]*Table6[[#This Row],[Items]])</f>
        <v>0</v>
      </c>
      <c r="G25" s="119">
        <f>$K$2/1000*Table6[[#This Row],[Weight]]*Table6[[#This Row],[Items]]</f>
        <v>0</v>
      </c>
      <c r="H25" s="121"/>
    </row>
    <row r="26" spans="1:8" x14ac:dyDescent="0.25">
      <c r="A26" s="1" t="s">
        <v>662</v>
      </c>
      <c r="B26" s="1" t="s">
        <v>571</v>
      </c>
      <c r="D26" s="129"/>
      <c r="E26" s="1">
        <v>1</v>
      </c>
      <c r="F26" s="124">
        <f>SUM(Table6[[#This Row],[Weight]]*Table6[[#This Row],[Items]])</f>
        <v>0</v>
      </c>
      <c r="G26" s="119">
        <f>$K$2/1000*Table6[[#This Row],[Weight]]*Table6[[#This Row],[Items]]</f>
        <v>0</v>
      </c>
      <c r="H26" s="121"/>
    </row>
    <row r="27" spans="1:8" x14ac:dyDescent="0.25">
      <c r="A27" s="1" t="s">
        <v>662</v>
      </c>
      <c r="B27" s="1" t="s">
        <v>582</v>
      </c>
      <c r="D27" s="129"/>
      <c r="E27" s="1">
        <v>1</v>
      </c>
      <c r="F27" s="124">
        <f>SUM(Table6[[#This Row],[Weight]]*Table6[[#This Row],[Items]])</f>
        <v>0</v>
      </c>
      <c r="G27" s="119">
        <f>$K$2/1000*Table6[[#This Row],[Weight]]*Table6[[#This Row],[Items]]</f>
        <v>0</v>
      </c>
      <c r="H27" s="121"/>
    </row>
    <row r="28" spans="1:8" x14ac:dyDescent="0.25">
      <c r="A28" s="1" t="s">
        <v>662</v>
      </c>
      <c r="B28" s="38" t="s">
        <v>583</v>
      </c>
      <c r="D28" s="129"/>
      <c r="E28" s="38">
        <v>1</v>
      </c>
      <c r="F28" s="123">
        <f>SUM(Table6[[#This Row],[Weight]]*Table6[[#This Row],[Items]])</f>
        <v>0</v>
      </c>
      <c r="G28" s="119">
        <f>$K$2/1000*Table6[[#This Row],[Weight]]*Table6[[#This Row],[Items]]</f>
        <v>0</v>
      </c>
      <c r="H28" s="121"/>
    </row>
    <row r="29" spans="1:8" x14ac:dyDescent="0.25">
      <c r="A29" s="1" t="s">
        <v>662</v>
      </c>
      <c r="B29" s="38" t="s">
        <v>584</v>
      </c>
      <c r="D29" s="129"/>
      <c r="E29" s="38">
        <v>1</v>
      </c>
      <c r="F29" s="123">
        <f>SUM(Table6[[#This Row],[Weight]]*Table6[[#This Row],[Items]])</f>
        <v>0</v>
      </c>
      <c r="G29" s="119">
        <f>$K$2/1000*Table6[[#This Row],[Weight]]*Table6[[#This Row],[Items]]</f>
        <v>0</v>
      </c>
      <c r="H29" s="121"/>
    </row>
    <row r="30" spans="1:8" x14ac:dyDescent="0.25">
      <c r="A30" s="1" t="s">
        <v>662</v>
      </c>
      <c r="B30" s="38" t="s">
        <v>585</v>
      </c>
      <c r="D30" s="129"/>
      <c r="E30" s="38">
        <v>1</v>
      </c>
      <c r="F30" s="123">
        <f>SUM(Table6[[#This Row],[Weight]]*Table6[[#This Row],[Items]])</f>
        <v>0</v>
      </c>
      <c r="G30" s="119">
        <f>$K$2/1000*Table6[[#This Row],[Weight]]*Table6[[#This Row],[Items]]</f>
        <v>0</v>
      </c>
      <c r="H30" s="121"/>
    </row>
    <row r="31" spans="1:8" x14ac:dyDescent="0.25">
      <c r="A31" s="1" t="s">
        <v>662</v>
      </c>
      <c r="B31" s="38" t="s">
        <v>586</v>
      </c>
      <c r="D31" s="129"/>
      <c r="E31" s="38">
        <v>1</v>
      </c>
      <c r="F31" s="123">
        <f>SUM(Table6[[#This Row],[Weight]]*Table6[[#This Row],[Items]])</f>
        <v>0</v>
      </c>
      <c r="G31" s="119">
        <f>$K$2/1000*Table6[[#This Row],[Weight]]*Table6[[#This Row],[Items]]</f>
        <v>0</v>
      </c>
      <c r="H31" s="121"/>
    </row>
    <row r="32" spans="1:8" x14ac:dyDescent="0.25">
      <c r="A32" s="1" t="s">
        <v>662</v>
      </c>
      <c r="B32" s="38" t="s">
        <v>587</v>
      </c>
      <c r="D32" s="129"/>
      <c r="E32" s="38">
        <v>1</v>
      </c>
      <c r="F32" s="123">
        <f>SUM(Table6[[#This Row],[Weight]]*Table6[[#This Row],[Items]])</f>
        <v>0</v>
      </c>
      <c r="G32" s="119">
        <f>$K$2/1000*Table6[[#This Row],[Weight]]*Table6[[#This Row],[Items]]</f>
        <v>0</v>
      </c>
      <c r="H32" s="121"/>
    </row>
    <row r="33" spans="1:8" x14ac:dyDescent="0.25">
      <c r="A33" s="1" t="s">
        <v>662</v>
      </c>
      <c r="B33" s="38" t="s">
        <v>588</v>
      </c>
      <c r="D33" s="129"/>
      <c r="E33" s="38">
        <v>1</v>
      </c>
      <c r="F33" s="123">
        <f>SUM(Table6[[#This Row],[Weight]]*Table6[[#This Row],[Items]])</f>
        <v>0</v>
      </c>
      <c r="G33" s="119">
        <f>$K$2/1000*Table6[[#This Row],[Weight]]*Table6[[#This Row],[Items]]</f>
        <v>0</v>
      </c>
      <c r="H33" s="121"/>
    </row>
    <row r="34" spans="1:8" x14ac:dyDescent="0.25">
      <c r="A34" s="1" t="s">
        <v>663</v>
      </c>
      <c r="B34" s="38" t="s">
        <v>500</v>
      </c>
      <c r="D34" s="129"/>
      <c r="E34" s="38">
        <v>1</v>
      </c>
      <c r="F34" s="123">
        <f>SUM(Table6[[#This Row],[Weight]]*Table6[[#This Row],[Items]])</f>
        <v>0</v>
      </c>
      <c r="G34" s="119">
        <f>$K$2/1000*Table6[[#This Row],[Weight]]*Table6[[#This Row],[Items]]</f>
        <v>0</v>
      </c>
      <c r="H34" s="121"/>
    </row>
    <row r="35" spans="1:8" x14ac:dyDescent="0.25">
      <c r="A35" s="1" t="s">
        <v>663</v>
      </c>
      <c r="B35" s="38" t="s">
        <v>502</v>
      </c>
      <c r="D35" s="129"/>
      <c r="E35" s="38">
        <v>1</v>
      </c>
      <c r="F35" s="123">
        <f>SUM(Table6[[#This Row],[Weight]]*Table6[[#This Row],[Items]])</f>
        <v>0</v>
      </c>
      <c r="G35" s="119">
        <f>$K$2/1000*Table6[[#This Row],[Weight]]*Table6[[#This Row],[Items]]</f>
        <v>0</v>
      </c>
      <c r="H35" s="121"/>
    </row>
    <row r="36" spans="1:8" x14ac:dyDescent="0.25">
      <c r="A36" s="1" t="s">
        <v>663</v>
      </c>
      <c r="B36" s="38" t="s">
        <v>505</v>
      </c>
      <c r="D36" s="129"/>
      <c r="E36" s="38">
        <v>1</v>
      </c>
      <c r="F36" s="123">
        <f>SUM(Table6[[#This Row],[Weight]]*Table6[[#This Row],[Items]])</f>
        <v>0</v>
      </c>
      <c r="G36" s="119">
        <f>$K$2/1000*Table6[[#This Row],[Weight]]*Table6[[#This Row],[Items]]</f>
        <v>0</v>
      </c>
      <c r="H36" s="121"/>
    </row>
    <row r="37" spans="1:8" x14ac:dyDescent="0.25">
      <c r="A37" s="1" t="s">
        <v>663</v>
      </c>
      <c r="B37" s="38" t="s">
        <v>506</v>
      </c>
      <c r="D37" s="129"/>
      <c r="E37" s="38">
        <v>1</v>
      </c>
      <c r="F37" s="123">
        <f>SUM(Table6[[#This Row],[Weight]]*Table6[[#This Row],[Items]])</f>
        <v>0</v>
      </c>
      <c r="G37" s="119">
        <f>$K$2/1000*Table6[[#This Row],[Weight]]*Table6[[#This Row],[Items]]</f>
        <v>0</v>
      </c>
      <c r="H37" s="121"/>
    </row>
    <row r="38" spans="1:8" x14ac:dyDescent="0.25">
      <c r="A38" s="1" t="s">
        <v>663</v>
      </c>
      <c r="B38" s="120" t="s">
        <v>507</v>
      </c>
      <c r="D38" s="129"/>
      <c r="E38" s="120">
        <v>1</v>
      </c>
      <c r="F38" s="125">
        <f>SUM(Table6[[#This Row],[Weight]]*Table6[[#This Row],[Items]])</f>
        <v>0</v>
      </c>
      <c r="G38" s="119">
        <f>$K$2/1000*Table6[[#This Row],[Weight]]*Table6[[#This Row],[Items]]</f>
        <v>0</v>
      </c>
      <c r="H38" s="121"/>
    </row>
    <row r="39" spans="1:8" x14ac:dyDescent="0.25">
      <c r="A39" s="1" t="s">
        <v>663</v>
      </c>
      <c r="B39" s="38" t="s">
        <v>509</v>
      </c>
      <c r="D39" s="129"/>
      <c r="E39" s="38">
        <v>4</v>
      </c>
      <c r="F39" s="123">
        <f>SUM(Table6[[#This Row],[Weight]]*Table6[[#This Row],[Items]])</f>
        <v>0</v>
      </c>
      <c r="G39" s="119">
        <f>$K$2/1000*Table6[[#This Row],[Weight]]*Table6[[#This Row],[Items]]</f>
        <v>0</v>
      </c>
      <c r="H39" s="121"/>
    </row>
    <row r="40" spans="1:8" x14ac:dyDescent="0.25">
      <c r="A40" s="1" t="s">
        <v>663</v>
      </c>
      <c r="B40" s="38" t="s">
        <v>510</v>
      </c>
      <c r="D40" s="129"/>
      <c r="E40" s="38">
        <v>2</v>
      </c>
      <c r="F40" s="123">
        <f>SUM(Table6[[#This Row],[Weight]]*Table6[[#This Row],[Items]])</f>
        <v>0</v>
      </c>
      <c r="G40" s="119">
        <f>$K$2/1000*Table6[[#This Row],[Weight]]*Table6[[#This Row],[Items]]</f>
        <v>0</v>
      </c>
      <c r="H40" s="121"/>
    </row>
    <row r="41" spans="1:8" x14ac:dyDescent="0.25">
      <c r="A41" s="1" t="s">
        <v>663</v>
      </c>
      <c r="B41" s="38" t="s">
        <v>511</v>
      </c>
      <c r="D41" s="129"/>
      <c r="E41" s="38">
        <v>1</v>
      </c>
      <c r="F41" s="123">
        <f>SUM(Table6[[#This Row],[Weight]]*Table6[[#This Row],[Items]])</f>
        <v>0</v>
      </c>
      <c r="G41" s="119">
        <f>$K$2/1000*Table6[[#This Row],[Weight]]*Table6[[#This Row],[Items]]</f>
        <v>0</v>
      </c>
      <c r="H41" s="121"/>
    </row>
    <row r="42" spans="1:8" x14ac:dyDescent="0.25">
      <c r="A42" s="1" t="s">
        <v>663</v>
      </c>
      <c r="B42" s="38" t="s">
        <v>512</v>
      </c>
      <c r="D42" s="129"/>
      <c r="E42" s="38">
        <v>1</v>
      </c>
      <c r="F42" s="123">
        <f>SUM(Table6[[#This Row],[Weight]]*Table6[[#This Row],[Items]])</f>
        <v>0</v>
      </c>
      <c r="G42" s="119">
        <f>$K$2/1000*Table6[[#This Row],[Weight]]*Table6[[#This Row],[Items]]</f>
        <v>0</v>
      </c>
      <c r="H42" s="121"/>
    </row>
    <row r="43" spans="1:8" x14ac:dyDescent="0.25">
      <c r="A43" s="1" t="s">
        <v>663</v>
      </c>
      <c r="B43" s="38" t="s">
        <v>513</v>
      </c>
      <c r="D43" s="129"/>
      <c r="E43" s="38">
        <v>2</v>
      </c>
      <c r="F43" s="123">
        <f>SUM(Table6[[#This Row],[Weight]]*Table6[[#This Row],[Items]])</f>
        <v>0</v>
      </c>
      <c r="G43" s="119">
        <f>$K$2/1000*Table6[[#This Row],[Weight]]*Table6[[#This Row],[Items]]</f>
        <v>0</v>
      </c>
      <c r="H43" s="121"/>
    </row>
    <row r="44" spans="1:8" x14ac:dyDescent="0.25">
      <c r="A44" s="1" t="s">
        <v>663</v>
      </c>
      <c r="B44" s="38" t="s">
        <v>514</v>
      </c>
      <c r="D44" s="129"/>
      <c r="E44" s="38">
        <v>1</v>
      </c>
      <c r="F44" s="123">
        <f>SUM(Table6[[#This Row],[Weight]]*Table6[[#This Row],[Items]])</f>
        <v>0</v>
      </c>
      <c r="G44" s="119">
        <f>$K$2/1000*Table6[[#This Row],[Weight]]*Table6[[#This Row],[Items]]</f>
        <v>0</v>
      </c>
      <c r="H44" s="121"/>
    </row>
    <row r="45" spans="1:8" x14ac:dyDescent="0.25">
      <c r="A45" s="1" t="s">
        <v>663</v>
      </c>
      <c r="B45" s="38" t="s">
        <v>515</v>
      </c>
      <c r="D45" s="129"/>
      <c r="E45" s="38">
        <v>1</v>
      </c>
      <c r="F45" s="123">
        <f>SUM(Table6[[#This Row],[Weight]]*Table6[[#This Row],[Items]])</f>
        <v>0</v>
      </c>
      <c r="G45" s="119">
        <f>$K$2/1000*Table6[[#This Row],[Weight]]*Table6[[#This Row],[Items]]</f>
        <v>0</v>
      </c>
      <c r="H45" s="121"/>
    </row>
    <row r="46" spans="1:8" x14ac:dyDescent="0.25">
      <c r="A46" s="1" t="s">
        <v>663</v>
      </c>
      <c r="B46" s="38" t="s">
        <v>516</v>
      </c>
      <c r="D46" s="129"/>
      <c r="E46" s="38">
        <v>1</v>
      </c>
      <c r="F46" s="123">
        <f>SUM(Table6[[#This Row],[Weight]]*Table6[[#This Row],[Items]])</f>
        <v>0</v>
      </c>
      <c r="G46" s="119">
        <f>$K$2/1000*Table6[[#This Row],[Weight]]*Table6[[#This Row],[Items]]</f>
        <v>0</v>
      </c>
      <c r="H46" s="121"/>
    </row>
    <row r="47" spans="1:8" x14ac:dyDescent="0.25">
      <c r="A47" s="1" t="s">
        <v>663</v>
      </c>
      <c r="B47" s="38" t="s">
        <v>517</v>
      </c>
      <c r="D47" s="129"/>
      <c r="E47" s="38">
        <v>1</v>
      </c>
      <c r="F47" s="123">
        <f>SUM(Table6[[#This Row],[Weight]]*Table6[[#This Row],[Items]])</f>
        <v>0</v>
      </c>
      <c r="G47" s="119">
        <f>$K$2/1000*Table6[[#This Row],[Weight]]*Table6[[#This Row],[Items]]</f>
        <v>0</v>
      </c>
      <c r="H47" s="121"/>
    </row>
    <row r="48" spans="1:8" x14ac:dyDescent="0.25">
      <c r="A48" s="1" t="s">
        <v>663</v>
      </c>
      <c r="B48" s="38" t="s">
        <v>518</v>
      </c>
      <c r="D48" s="129"/>
      <c r="E48" s="38">
        <v>1</v>
      </c>
      <c r="F48" s="123">
        <f>SUM(Table6[[#This Row],[Weight]]*Table6[[#This Row],[Items]])</f>
        <v>0</v>
      </c>
      <c r="G48" s="119">
        <f>$K$2/1000*Table6[[#This Row],[Weight]]*Table6[[#This Row],[Items]]</f>
        <v>0</v>
      </c>
      <c r="H48" s="121"/>
    </row>
    <row r="49" spans="1:8" x14ac:dyDescent="0.25">
      <c r="A49" s="1" t="s">
        <v>663</v>
      </c>
      <c r="B49" s="38" t="s">
        <v>519</v>
      </c>
      <c r="D49" s="129"/>
      <c r="E49" s="38">
        <v>1</v>
      </c>
      <c r="F49" s="123">
        <f>SUM(Table6[[#This Row],[Weight]]*Table6[[#This Row],[Items]])</f>
        <v>0</v>
      </c>
      <c r="G49" s="119">
        <f>$K$2/1000*Table6[[#This Row],[Weight]]*Table6[[#This Row],[Items]]</f>
        <v>0</v>
      </c>
      <c r="H49" s="121"/>
    </row>
    <row r="50" spans="1:8" x14ac:dyDescent="0.25">
      <c r="A50" s="1" t="s">
        <v>663</v>
      </c>
      <c r="B50" s="38" t="s">
        <v>520</v>
      </c>
      <c r="D50" s="129"/>
      <c r="E50" s="38">
        <v>1</v>
      </c>
      <c r="F50" s="123">
        <f>SUM(Table6[[#This Row],[Weight]]*Table6[[#This Row],[Items]])</f>
        <v>0</v>
      </c>
      <c r="G50" s="119">
        <f>$K$2/1000*Table6[[#This Row],[Weight]]*Table6[[#This Row],[Items]]</f>
        <v>0</v>
      </c>
      <c r="H50" s="121"/>
    </row>
    <row r="51" spans="1:8" x14ac:dyDescent="0.25">
      <c r="A51" s="1" t="s">
        <v>663</v>
      </c>
      <c r="B51" s="38" t="s">
        <v>521</v>
      </c>
      <c r="D51" s="129"/>
      <c r="E51" s="38">
        <v>1</v>
      </c>
      <c r="F51" s="123">
        <f>SUM(Table6[[#This Row],[Weight]]*Table6[[#This Row],[Items]])</f>
        <v>0</v>
      </c>
      <c r="G51" s="119">
        <f>$K$2/1000*Table6[[#This Row],[Weight]]*Table6[[#This Row],[Items]]</f>
        <v>0</v>
      </c>
      <c r="H51" s="121"/>
    </row>
    <row r="52" spans="1:8" x14ac:dyDescent="0.25">
      <c r="A52" s="1" t="s">
        <v>663</v>
      </c>
      <c r="B52" s="38" t="s">
        <v>522</v>
      </c>
      <c r="D52" s="129"/>
      <c r="E52" s="38">
        <v>1</v>
      </c>
      <c r="F52" s="123">
        <f>SUM(Table6[[#This Row],[Weight]]*Table6[[#This Row],[Items]])</f>
        <v>0</v>
      </c>
      <c r="G52" s="119">
        <f>$K$2/1000*Table6[[#This Row],[Weight]]*Table6[[#This Row],[Items]]</f>
        <v>0</v>
      </c>
      <c r="H52" s="121"/>
    </row>
    <row r="53" spans="1:8" x14ac:dyDescent="0.25">
      <c r="A53" s="1" t="s">
        <v>663</v>
      </c>
      <c r="B53" s="38" t="s">
        <v>523</v>
      </c>
      <c r="D53" s="129"/>
      <c r="E53" s="38">
        <v>1</v>
      </c>
      <c r="F53" s="123">
        <f>SUM(Table6[[#This Row],[Weight]]*Table6[[#This Row],[Items]])</f>
        <v>0</v>
      </c>
      <c r="G53" s="119">
        <f>$K$2/1000*Table6[[#This Row],[Weight]]*Table6[[#This Row],[Items]]</f>
        <v>0</v>
      </c>
      <c r="H53" s="121"/>
    </row>
    <row r="54" spans="1:8" x14ac:dyDescent="0.25">
      <c r="A54" s="1" t="s">
        <v>663</v>
      </c>
      <c r="B54" s="38" t="s">
        <v>541</v>
      </c>
      <c r="D54" s="129"/>
      <c r="E54" s="38">
        <v>6</v>
      </c>
      <c r="F54" s="123">
        <f>SUM(Table6[[#This Row],[Weight]]*Table6[[#This Row],[Items]])</f>
        <v>0</v>
      </c>
      <c r="G54" s="119">
        <f>$K$2/1000*Table6[[#This Row],[Weight]]*Table6[[#This Row],[Items]]</f>
        <v>0</v>
      </c>
      <c r="H54" s="121"/>
    </row>
    <row r="55" spans="1:8" x14ac:dyDescent="0.25">
      <c r="A55" s="1" t="s">
        <v>663</v>
      </c>
      <c r="B55" s="1" t="s">
        <v>543</v>
      </c>
      <c r="D55" s="129"/>
      <c r="E55" s="1">
        <v>1</v>
      </c>
      <c r="F55" s="124">
        <f>SUM(Table6[[#This Row],[Weight]]*Table6[[#This Row],[Items]])</f>
        <v>0</v>
      </c>
      <c r="G55" s="119">
        <f>$K$2/1000*Table6[[#This Row],[Weight]]*Table6[[#This Row],[Items]]</f>
        <v>0</v>
      </c>
      <c r="H55" s="121"/>
    </row>
    <row r="56" spans="1:8" x14ac:dyDescent="0.25">
      <c r="A56" s="1" t="s">
        <v>663</v>
      </c>
      <c r="B56" s="1" t="s">
        <v>544</v>
      </c>
      <c r="D56" s="129"/>
      <c r="E56" s="1">
        <v>1</v>
      </c>
      <c r="F56" s="124">
        <f>SUM(Table6[[#This Row],[Weight]]*Table6[[#This Row],[Items]])</f>
        <v>0</v>
      </c>
      <c r="G56" s="119">
        <f>$K$2/1000*Table6[[#This Row],[Weight]]*Table6[[#This Row],[Items]]</f>
        <v>0</v>
      </c>
      <c r="H56" s="121"/>
    </row>
    <row r="57" spans="1:8" x14ac:dyDescent="0.25">
      <c r="A57" s="1" t="s">
        <v>663</v>
      </c>
      <c r="B57" s="38" t="s">
        <v>545</v>
      </c>
      <c r="D57" s="129"/>
      <c r="E57" s="38">
        <v>2</v>
      </c>
      <c r="F57" s="123">
        <f>SUM(Table6[[#This Row],[Weight]]*Table6[[#This Row],[Items]])</f>
        <v>0</v>
      </c>
      <c r="G57" s="119">
        <f>$K$2/1000*Table6[[#This Row],[Weight]]*Table6[[#This Row],[Items]]</f>
        <v>0</v>
      </c>
      <c r="H57" s="121"/>
    </row>
    <row r="58" spans="1:8" x14ac:dyDescent="0.25">
      <c r="A58" s="1" t="s">
        <v>663</v>
      </c>
      <c r="B58" s="38" t="s">
        <v>546</v>
      </c>
      <c r="D58" s="129"/>
      <c r="E58" s="38">
        <v>1</v>
      </c>
      <c r="F58" s="123">
        <f>SUM(Table6[[#This Row],[Weight]]*Table6[[#This Row],[Items]])</f>
        <v>0</v>
      </c>
      <c r="G58" s="119">
        <f>$K$2/1000*Table6[[#This Row],[Weight]]*Table6[[#This Row],[Items]]</f>
        <v>0</v>
      </c>
      <c r="H58" s="121"/>
    </row>
    <row r="59" spans="1:8" x14ac:dyDescent="0.25">
      <c r="A59" s="1" t="s">
        <v>664</v>
      </c>
      <c r="B59" s="1" t="s">
        <v>390</v>
      </c>
      <c r="D59" s="129">
        <v>17</v>
      </c>
      <c r="E59" s="1">
        <v>1</v>
      </c>
      <c r="F59" s="124">
        <f>SUM(Table6[[#This Row],[Weight]]*Table6[[#This Row],[Items]])</f>
        <v>17</v>
      </c>
      <c r="G59" s="119">
        <f>$K$2/1000*Table6[[#This Row],[Weight]]*Table6[[#This Row],[Items]]</f>
        <v>2.21</v>
      </c>
      <c r="H59" s="121">
        <v>1.7361111111111112E-2</v>
      </c>
    </row>
    <row r="60" spans="1:8" x14ac:dyDescent="0.25">
      <c r="A60" s="1" t="s">
        <v>664</v>
      </c>
      <c r="B60" s="1" t="s">
        <v>392</v>
      </c>
      <c r="D60" s="129"/>
      <c r="E60" s="1">
        <v>4</v>
      </c>
      <c r="F60" s="124">
        <f>SUM(Table6[[#This Row],[Weight]]*Table6[[#This Row],[Items]])</f>
        <v>0</v>
      </c>
      <c r="G60" s="119">
        <f>$K$2/1000*Table6[[#This Row],[Weight]]*Table6[[#This Row],[Items]]</f>
        <v>0</v>
      </c>
      <c r="H60" s="121"/>
    </row>
    <row r="61" spans="1:8" x14ac:dyDescent="0.25">
      <c r="A61" s="1" t="s">
        <v>664</v>
      </c>
      <c r="B61" s="1" t="s">
        <v>394</v>
      </c>
      <c r="D61" s="129">
        <v>6</v>
      </c>
      <c r="E61" s="1">
        <v>4</v>
      </c>
      <c r="F61" s="124">
        <f>SUM(Table6[[#This Row],[Weight]]*Table6[[#This Row],[Items]])</f>
        <v>24</v>
      </c>
      <c r="G61" s="119">
        <f>$K$2/1000*Table6[[#This Row],[Weight]]*Table6[[#This Row],[Items]]</f>
        <v>3.12</v>
      </c>
      <c r="H61" s="121"/>
    </row>
    <row r="62" spans="1:8" x14ac:dyDescent="0.25">
      <c r="A62" s="1" t="s">
        <v>664</v>
      </c>
      <c r="B62" s="1" t="s">
        <v>395</v>
      </c>
      <c r="D62" s="129">
        <v>9</v>
      </c>
      <c r="E62" s="1">
        <v>4</v>
      </c>
      <c r="F62" s="124">
        <f>SUM(Table6[[#This Row],[Weight]]*Table6[[#This Row],[Items]])</f>
        <v>36</v>
      </c>
      <c r="G62" s="119">
        <f>$K$2/1000*Table6[[#This Row],[Weight]]*Table6[[#This Row],[Items]]</f>
        <v>4.68</v>
      </c>
      <c r="H62" s="121"/>
    </row>
    <row r="63" spans="1:8" x14ac:dyDescent="0.25">
      <c r="A63" s="1" t="s">
        <v>665</v>
      </c>
      <c r="B63" s="1" t="s">
        <v>595</v>
      </c>
      <c r="D63" s="129"/>
      <c r="E63" s="1">
        <v>1</v>
      </c>
      <c r="F63" s="124">
        <f>SUM(Table6[[#This Row],[Weight]]*Table6[[#This Row],[Items]])</f>
        <v>0</v>
      </c>
      <c r="G63" s="119">
        <f>$K$2/1000*Table6[[#This Row],[Weight]]*Table6[[#This Row],[Items]]</f>
        <v>0</v>
      </c>
      <c r="H63" s="121"/>
    </row>
    <row r="64" spans="1:8" x14ac:dyDescent="0.25">
      <c r="A64" s="1" t="s">
        <v>665</v>
      </c>
      <c r="B64" s="45" t="s">
        <v>596</v>
      </c>
      <c r="D64" s="129"/>
      <c r="E64" s="45">
        <v>1</v>
      </c>
      <c r="F64" s="126">
        <f>SUM(Table6[[#This Row],[Weight]]*Table6[[#This Row],[Items]])</f>
        <v>0</v>
      </c>
      <c r="G64" s="119">
        <f>$K$2/1000*Table6[[#This Row],[Weight]]*Table6[[#This Row],[Items]]</f>
        <v>0</v>
      </c>
      <c r="H64" s="121"/>
    </row>
    <row r="65" spans="1:8" x14ac:dyDescent="0.25">
      <c r="A65" s="1" t="s">
        <v>665</v>
      </c>
      <c r="B65" s="38" t="s">
        <v>597</v>
      </c>
      <c r="D65" s="129"/>
      <c r="E65" s="38">
        <v>1</v>
      </c>
      <c r="F65" s="123">
        <f>SUM(Table6[[#This Row],[Weight]]*Table6[[#This Row],[Items]])</f>
        <v>0</v>
      </c>
      <c r="G65" s="119">
        <f>$K$2/1000*Table6[[#This Row],[Weight]]*Table6[[#This Row],[Items]]</f>
        <v>0</v>
      </c>
      <c r="H65" s="121"/>
    </row>
    <row r="66" spans="1:8" x14ac:dyDescent="0.25">
      <c r="A66" s="1" t="s">
        <v>665</v>
      </c>
      <c r="B66" s="38" t="s">
        <v>666</v>
      </c>
      <c r="D66" s="129"/>
      <c r="E66" s="38">
        <v>1</v>
      </c>
      <c r="F66" s="123">
        <f>SUM(Table6[[#This Row],[Weight]]*Table6[[#This Row],[Items]])</f>
        <v>0</v>
      </c>
      <c r="G66" s="119">
        <f>$K$2/1000*Table6[[#This Row],[Weight]]*Table6[[#This Row],[Items]]</f>
        <v>0</v>
      </c>
      <c r="H66" s="121"/>
    </row>
    <row r="67" spans="1:8" x14ac:dyDescent="0.25">
      <c r="A67" s="1" t="s">
        <v>667</v>
      </c>
      <c r="B67" s="120" t="s">
        <v>439</v>
      </c>
      <c r="D67" s="129"/>
      <c r="E67" s="120">
        <v>1</v>
      </c>
      <c r="F67" s="125">
        <f>SUM(Table6[[#This Row],[Weight]]*Table6[[#This Row],[Items]])</f>
        <v>0</v>
      </c>
      <c r="G67" s="119">
        <f>$K$2/1000*Table6[[#This Row],[Weight]]*Table6[[#This Row],[Items]]</f>
        <v>0</v>
      </c>
      <c r="H67" s="121"/>
    </row>
    <row r="68" spans="1:8" x14ac:dyDescent="0.25">
      <c r="A68" s="1" t="s">
        <v>667</v>
      </c>
      <c r="B68" s="69" t="s">
        <v>441</v>
      </c>
      <c r="D68" s="129"/>
      <c r="E68" s="69">
        <v>1</v>
      </c>
      <c r="F68" s="127">
        <f>SUM(Table6[[#This Row],[Weight]]*Table6[[#This Row],[Items]])</f>
        <v>0</v>
      </c>
      <c r="G68" s="119">
        <f>$K$2/1000*Table6[[#This Row],[Weight]]*Table6[[#This Row],[Items]]</f>
        <v>0</v>
      </c>
      <c r="H68" s="121">
        <v>1.1111111111111112E-2</v>
      </c>
    </row>
    <row r="69" spans="1:8" x14ac:dyDescent="0.25">
      <c r="A69" s="1" t="s">
        <v>667</v>
      </c>
      <c r="B69" s="69" t="s">
        <v>442</v>
      </c>
      <c r="D69" s="129">
        <v>2</v>
      </c>
      <c r="E69" s="69">
        <v>1</v>
      </c>
      <c r="F69" s="127">
        <f>SUM(Table6[[#This Row],[Weight]]*Table6[[#This Row],[Items]])</f>
        <v>2</v>
      </c>
      <c r="G69" s="119">
        <f>$K$2/1000*Table6[[#This Row],[Weight]]*Table6[[#This Row],[Items]]</f>
        <v>0.26</v>
      </c>
      <c r="H69" s="121"/>
    </row>
    <row r="70" spans="1:8" x14ac:dyDescent="0.25">
      <c r="A70" s="1" t="s">
        <v>667</v>
      </c>
      <c r="B70" s="69" t="s">
        <v>443</v>
      </c>
      <c r="D70" s="129">
        <v>9</v>
      </c>
      <c r="E70" s="69">
        <v>1</v>
      </c>
      <c r="F70" s="127">
        <f>SUM(Table6[[#This Row],[Weight]]*Table6[[#This Row],[Items]])</f>
        <v>9</v>
      </c>
      <c r="G70" s="119">
        <f>$K$2/1000*Table6[[#This Row],[Weight]]*Table6[[#This Row],[Items]]</f>
        <v>1.17</v>
      </c>
      <c r="H70" s="121"/>
    </row>
    <row r="71" spans="1:8" x14ac:dyDescent="0.25">
      <c r="A71" s="1" t="s">
        <v>667</v>
      </c>
      <c r="B71" s="69" t="s">
        <v>444</v>
      </c>
      <c r="D71" s="129"/>
      <c r="E71" s="69">
        <v>1</v>
      </c>
      <c r="F71" s="127">
        <f>SUM(Table6[[#This Row],[Weight]]*Table6[[#This Row],[Items]])</f>
        <v>0</v>
      </c>
      <c r="G71" s="119">
        <f>$K$2/1000*Table6[[#This Row],[Weight]]*Table6[[#This Row],[Items]]</f>
        <v>0</v>
      </c>
      <c r="H71" s="121"/>
    </row>
    <row r="72" spans="1:8" x14ac:dyDescent="0.25">
      <c r="A72" s="1" t="s">
        <v>667</v>
      </c>
      <c r="B72" s="69" t="s">
        <v>445</v>
      </c>
      <c r="D72" s="129"/>
      <c r="E72" s="69">
        <v>1</v>
      </c>
      <c r="F72" s="127">
        <f>SUM(Table6[[#This Row],[Weight]]*Table6[[#This Row],[Items]])</f>
        <v>0</v>
      </c>
      <c r="G72" s="119">
        <f>$K$2/1000*Table6[[#This Row],[Weight]]*Table6[[#This Row],[Items]]</f>
        <v>0</v>
      </c>
      <c r="H72" s="121"/>
    </row>
    <row r="73" spans="1:8" x14ac:dyDescent="0.25">
      <c r="A73" s="1" t="s">
        <v>667</v>
      </c>
      <c r="B73" s="69" t="s">
        <v>448</v>
      </c>
      <c r="C73">
        <v>12.38</v>
      </c>
      <c r="D73" s="129">
        <v>40</v>
      </c>
      <c r="E73" s="69">
        <v>1</v>
      </c>
      <c r="F73" s="127">
        <f>SUM(Table6[[#This Row],[Weight]]*Table6[[#This Row],[Items]])</f>
        <v>40</v>
      </c>
      <c r="G73" s="119">
        <f>$K$2/1000*Table6[[#This Row],[Weight]]*Table6[[#This Row],[Items]]</f>
        <v>5.2</v>
      </c>
      <c r="H73" s="121">
        <v>8.3333333333333329E-2</v>
      </c>
    </row>
    <row r="74" spans="1:8" x14ac:dyDescent="0.25">
      <c r="A74" s="1" t="s">
        <v>667</v>
      </c>
      <c r="B74" s="38" t="s">
        <v>447</v>
      </c>
      <c r="C74">
        <v>12.68</v>
      </c>
      <c r="D74" s="129">
        <v>40</v>
      </c>
      <c r="E74" s="38">
        <v>1</v>
      </c>
      <c r="F74" s="123">
        <f>SUM(Table6[[#This Row],[Weight]]*Table6[[#This Row],[Items]])</f>
        <v>40</v>
      </c>
      <c r="G74" s="119">
        <f>$K$2/1000*Table6[[#This Row],[Weight]]*Table6[[#This Row],[Items]]</f>
        <v>5.2</v>
      </c>
      <c r="H74" s="121">
        <v>8.3333333333333329E-2</v>
      </c>
    </row>
    <row r="75" spans="1:8" x14ac:dyDescent="0.25">
      <c r="A75" s="1" t="s">
        <v>667</v>
      </c>
      <c r="B75" s="69" t="s">
        <v>446</v>
      </c>
      <c r="D75" s="129">
        <v>45</v>
      </c>
      <c r="E75" s="69">
        <v>1</v>
      </c>
      <c r="F75" s="127">
        <f>SUM(Table6[[#This Row],[Weight]]*Table6[[#This Row],[Items]])</f>
        <v>45</v>
      </c>
      <c r="G75" s="119">
        <f>$K$2/1000*Table6[[#This Row],[Weight]]*Table6[[#This Row],[Items]]</f>
        <v>5.8500000000000005</v>
      </c>
      <c r="H75" s="121">
        <v>0.6069444444444444</v>
      </c>
    </row>
    <row r="76" spans="1:8" x14ac:dyDescent="0.25">
      <c r="A76" s="1" t="s">
        <v>668</v>
      </c>
      <c r="B76" s="38" t="s">
        <v>669</v>
      </c>
      <c r="C76">
        <v>7.45</v>
      </c>
      <c r="D76" s="129">
        <v>23</v>
      </c>
      <c r="E76" s="69">
        <v>1</v>
      </c>
      <c r="F76" s="127">
        <f>SUM(Table6[[#This Row],[Weight]]*Table6[[#This Row],[Items]])</f>
        <v>23</v>
      </c>
      <c r="G76" s="119">
        <f>$K$2/1000*Table6[[#This Row],[Weight]]*Table6[[#This Row],[Items]]</f>
        <v>2.99</v>
      </c>
      <c r="H76" s="121">
        <v>4.027777777777778E-2</v>
      </c>
    </row>
    <row r="77" spans="1:8" x14ac:dyDescent="0.25">
      <c r="A77" s="1" t="s">
        <v>670</v>
      </c>
      <c r="B77" s="38" t="s">
        <v>468</v>
      </c>
      <c r="D77" s="129"/>
      <c r="E77" s="69">
        <v>1</v>
      </c>
      <c r="F77" s="127">
        <f>SUM(Table6[[#This Row],[Weight]]*Table6[[#This Row],[Items]])</f>
        <v>0</v>
      </c>
      <c r="G77" s="119">
        <f>$K$2/1000*Table6[[#This Row],[Weight]]*Table6[[#This Row],[Items]]</f>
        <v>0</v>
      </c>
      <c r="H77" s="121"/>
    </row>
    <row r="78" spans="1:8" x14ac:dyDescent="0.25">
      <c r="A78" s="1" t="s">
        <v>670</v>
      </c>
      <c r="B78" s="38" t="s">
        <v>469</v>
      </c>
      <c r="D78" s="129"/>
      <c r="E78" s="69">
        <v>1</v>
      </c>
      <c r="F78" s="127">
        <f>SUM(Table6[[#This Row],[Weight]]*Table6[[#This Row],[Items]])</f>
        <v>0</v>
      </c>
      <c r="G78" s="119">
        <f>$K$2/1000*Table6[[#This Row],[Weight]]*Table6[[#This Row],[Items]]</f>
        <v>0</v>
      </c>
      <c r="H78" s="121"/>
    </row>
    <row r="79" spans="1:8" x14ac:dyDescent="0.25">
      <c r="A79" s="1" t="s">
        <v>670</v>
      </c>
      <c r="B79" s="38" t="s">
        <v>470</v>
      </c>
      <c r="D79" s="129"/>
      <c r="E79" s="69">
        <v>1</v>
      </c>
      <c r="F79" s="127">
        <f>SUM(Table6[[#This Row],[Weight]]*Table6[[#This Row],[Items]])</f>
        <v>0</v>
      </c>
      <c r="G79" s="119">
        <f>$K$2/1000*Table6[[#This Row],[Weight]]*Table6[[#This Row],[Items]]</f>
        <v>0</v>
      </c>
      <c r="H79" s="121"/>
    </row>
    <row r="80" spans="1:8" x14ac:dyDescent="0.25">
      <c r="A80" s="1" t="s">
        <v>670</v>
      </c>
      <c r="B80" s="38" t="s">
        <v>471</v>
      </c>
      <c r="D80" s="129"/>
      <c r="E80" s="69">
        <v>2</v>
      </c>
      <c r="F80" s="127">
        <f>SUM(Table6[[#This Row],[Weight]]*Table6[[#This Row],[Items]])</f>
        <v>0</v>
      </c>
      <c r="G80" s="119">
        <f>$K$2/1000*Table6[[#This Row],[Weight]]*Table6[[#This Row],[Items]]</f>
        <v>0</v>
      </c>
      <c r="H80" s="121"/>
    </row>
    <row r="81" spans="1:8" x14ac:dyDescent="0.25">
      <c r="A81" s="1" t="s">
        <v>670</v>
      </c>
      <c r="B81" s="38" t="s">
        <v>472</v>
      </c>
      <c r="D81" s="129"/>
      <c r="E81" s="69">
        <v>1</v>
      </c>
      <c r="F81" s="127">
        <f>SUM(Table6[[#This Row],[Weight]]*Table6[[#This Row],[Items]])</f>
        <v>0</v>
      </c>
      <c r="G81" s="119">
        <f>$K$2/1000*Table6[[#This Row],[Weight]]*Table6[[#This Row],[Items]]</f>
        <v>0</v>
      </c>
      <c r="H81" s="121"/>
    </row>
    <row r="82" spans="1:8" x14ac:dyDescent="0.25">
      <c r="A82" s="1" t="s">
        <v>670</v>
      </c>
      <c r="B82" s="38" t="s">
        <v>473</v>
      </c>
      <c r="D82" s="129"/>
      <c r="E82" s="69">
        <v>1</v>
      </c>
      <c r="F82" s="127">
        <f>SUM(Table6[[#This Row],[Weight]]*Table6[[#This Row],[Items]])</f>
        <v>0</v>
      </c>
      <c r="G82" s="119">
        <f>$K$2/1000*Table6[[#This Row],[Weight]]*Table6[[#This Row],[Items]]</f>
        <v>0</v>
      </c>
      <c r="H82" s="121"/>
    </row>
    <row r="83" spans="1:8" x14ac:dyDescent="0.25">
      <c r="A83" s="1" t="s">
        <v>670</v>
      </c>
      <c r="B83" s="38" t="s">
        <v>474</v>
      </c>
      <c r="D83" s="129"/>
      <c r="E83" s="69">
        <v>1</v>
      </c>
      <c r="F83" s="127">
        <f>SUM(Table6[[#This Row],[Weight]]*Table6[[#This Row],[Items]])</f>
        <v>0</v>
      </c>
      <c r="G83" s="119">
        <f>$K$2/1000*Table6[[#This Row],[Weight]]*Table6[[#This Row],[Items]]</f>
        <v>0</v>
      </c>
      <c r="H83" s="121"/>
    </row>
    <row r="84" spans="1:8" x14ac:dyDescent="0.25">
      <c r="A84" s="1" t="s">
        <v>670</v>
      </c>
      <c r="B84" s="38" t="s">
        <v>475</v>
      </c>
      <c r="D84" s="129"/>
      <c r="E84" s="69">
        <v>1</v>
      </c>
      <c r="F84" s="127">
        <f>SUM(Table6[[#This Row],[Weight]]*Table6[[#This Row],[Items]])</f>
        <v>0</v>
      </c>
      <c r="G84" s="119">
        <f>$K$2/1000*Table6[[#This Row],[Weight]]*Table6[[#This Row],[Items]]</f>
        <v>0</v>
      </c>
      <c r="H84" s="121"/>
    </row>
    <row r="85" spans="1:8" x14ac:dyDescent="0.25">
      <c r="A85" s="1" t="s">
        <v>670</v>
      </c>
      <c r="B85" s="38" t="s">
        <v>476</v>
      </c>
      <c r="D85" s="129"/>
      <c r="E85" s="69">
        <v>1</v>
      </c>
      <c r="F85" s="127">
        <f>SUM(Table6[[#This Row],[Weight]]*Table6[[#This Row],[Items]])</f>
        <v>0</v>
      </c>
      <c r="G85" s="119">
        <f>$K$2/1000*Table6[[#This Row],[Weight]]*Table6[[#This Row],[Items]]</f>
        <v>0</v>
      </c>
      <c r="H85" s="121"/>
    </row>
    <row r="86" spans="1:8" x14ac:dyDescent="0.25">
      <c r="A86" s="1" t="s">
        <v>670</v>
      </c>
      <c r="B86" s="38" t="s">
        <v>477</v>
      </c>
      <c r="D86" s="129"/>
      <c r="E86" s="69">
        <v>1</v>
      </c>
      <c r="F86" s="127">
        <f>SUM(Table6[[#This Row],[Weight]]*Table6[[#This Row],[Items]])</f>
        <v>0</v>
      </c>
      <c r="G86" s="119">
        <f>$K$2/1000*Table6[[#This Row],[Weight]]*Table6[[#This Row],[Items]]</f>
        <v>0</v>
      </c>
      <c r="H86" s="121"/>
    </row>
    <row r="87" spans="1:8" x14ac:dyDescent="0.25">
      <c r="A87" s="1" t="s">
        <v>670</v>
      </c>
      <c r="B87" s="38" t="s">
        <v>478</v>
      </c>
      <c r="D87" s="129"/>
      <c r="E87" s="69">
        <v>1</v>
      </c>
      <c r="F87" s="127">
        <f>SUM(Table6[[#This Row],[Weight]]*Table6[[#This Row],[Items]])</f>
        <v>0</v>
      </c>
      <c r="G87" s="119">
        <f>$K$2/1000*Table6[[#This Row],[Weight]]*Table6[[#This Row],[Items]]</f>
        <v>0</v>
      </c>
      <c r="H87" s="121"/>
    </row>
    <row r="88" spans="1:8" x14ac:dyDescent="0.25">
      <c r="A88" s="1" t="s">
        <v>670</v>
      </c>
      <c r="B88" s="38" t="s">
        <v>479</v>
      </c>
      <c r="D88" s="129"/>
      <c r="E88" s="69">
        <v>3</v>
      </c>
      <c r="F88" s="127">
        <f>SUM(Table6[[#This Row],[Weight]]*Table6[[#This Row],[Items]])</f>
        <v>0</v>
      </c>
      <c r="G88" s="119">
        <f>$K$2/1000*Table6[[#This Row],[Weight]]*Table6[[#This Row],[Items]]</f>
        <v>0</v>
      </c>
      <c r="H88" s="121"/>
    </row>
    <row r="89" spans="1:8" x14ac:dyDescent="0.25">
      <c r="A89" s="1" t="s">
        <v>670</v>
      </c>
      <c r="B89" s="38" t="s">
        <v>480</v>
      </c>
      <c r="D89" s="129"/>
      <c r="E89" s="69">
        <v>1</v>
      </c>
      <c r="F89" s="127">
        <f>SUM(Table6[[#This Row],[Weight]]*Table6[[#This Row],[Items]])</f>
        <v>0</v>
      </c>
      <c r="G89" s="119">
        <f>$K$2/1000*Table6[[#This Row],[Weight]]*Table6[[#This Row],[Items]]</f>
        <v>0</v>
      </c>
      <c r="H89" s="121"/>
    </row>
    <row r="90" spans="1:8" x14ac:dyDescent="0.25">
      <c r="A90" s="1" t="s">
        <v>670</v>
      </c>
      <c r="B90" s="38" t="s">
        <v>481</v>
      </c>
      <c r="D90" s="129"/>
      <c r="E90" s="69">
        <v>1</v>
      </c>
      <c r="F90" s="127">
        <f>SUM(Table6[[#This Row],[Weight]]*Table6[[#This Row],[Items]])</f>
        <v>0</v>
      </c>
      <c r="G90" s="119">
        <f>$K$2/1000*Table6[[#This Row],[Weight]]*Table6[[#This Row],[Items]]</f>
        <v>0</v>
      </c>
      <c r="H90" s="121"/>
    </row>
    <row r="91" spans="1:8" x14ac:dyDescent="0.25">
      <c r="A91" s="1" t="s">
        <v>670</v>
      </c>
      <c r="B91" s="38" t="s">
        <v>482</v>
      </c>
      <c r="D91" s="129"/>
      <c r="E91" s="69">
        <v>1</v>
      </c>
      <c r="F91" s="127">
        <f>SUM(Table6[[#This Row],[Weight]]*Table6[[#This Row],[Items]])</f>
        <v>0</v>
      </c>
      <c r="G91" s="119">
        <f>$K$2/1000*Table6[[#This Row],[Weight]]*Table6[[#This Row],[Items]]</f>
        <v>0</v>
      </c>
      <c r="H91" s="121"/>
    </row>
    <row r="92" spans="1:8" x14ac:dyDescent="0.25">
      <c r="A92" s="1"/>
      <c r="B92" s="1"/>
      <c r="E92" s="1">
        <f>SUBTOTAL(109,Table6[Items])</f>
        <v>123</v>
      </c>
      <c r="F92" s="122" t="str">
        <f>SUBTOTAL(109,Table6[weight Tot])&amp;"g"</f>
        <v>695g</v>
      </c>
      <c r="G92" s="119">
        <f>SUBTOTAL(109,Table6[Cost/part])</f>
        <v>90.350000000000009</v>
      </c>
      <c r="H92" s="128">
        <f>SUBTOTAL(109,Table6[Time estimate])</f>
        <v>1.1340277777777779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7F9FE-E228-49B6-B000-7B946B665A04}">
  <sheetPr>
    <pageSetUpPr fitToPage="1"/>
  </sheetPr>
  <dimension ref="B1:F29"/>
  <sheetViews>
    <sheetView view="pageLayout" zoomScaleNormal="100" workbookViewId="0"/>
  </sheetViews>
  <sheetFormatPr defaultRowHeight="15" x14ac:dyDescent="0.25"/>
  <cols>
    <col min="2" max="2" width="11" customWidth="1"/>
    <col min="3" max="3" width="11.140625" bestFit="1" customWidth="1"/>
    <col min="4" max="4" width="16.5703125" bestFit="1" customWidth="1"/>
    <col min="5" max="5" width="30.28515625" bestFit="1" customWidth="1"/>
    <col min="6" max="6" width="57.5703125" customWidth="1"/>
  </cols>
  <sheetData>
    <row r="1" spans="2:6" x14ac:dyDescent="0.25">
      <c r="B1" s="175" t="s">
        <v>671</v>
      </c>
      <c r="C1" s="176"/>
      <c r="D1" s="176"/>
      <c r="E1" s="177"/>
      <c r="F1" s="42"/>
    </row>
    <row r="2" spans="2:6" x14ac:dyDescent="0.25">
      <c r="B2" s="40" t="s">
        <v>672</v>
      </c>
      <c r="C2" s="42" t="s">
        <v>673</v>
      </c>
      <c r="D2" s="6" t="s">
        <v>674</v>
      </c>
      <c r="E2" s="85" t="s">
        <v>675</v>
      </c>
      <c r="F2" s="42"/>
    </row>
    <row r="3" spans="2:6" x14ac:dyDescent="0.25">
      <c r="B3" s="40" t="s">
        <v>676</v>
      </c>
      <c r="C3" s="42"/>
      <c r="E3" s="39"/>
      <c r="F3" s="9"/>
    </row>
    <row r="4" spans="2:6" x14ac:dyDescent="0.25">
      <c r="B4" s="40">
        <v>1</v>
      </c>
      <c r="C4" s="42" t="s">
        <v>677</v>
      </c>
      <c r="D4" s="6" t="s">
        <v>678</v>
      </c>
      <c r="E4" s="85" t="s">
        <v>679</v>
      </c>
      <c r="F4" s="42"/>
    </row>
    <row r="5" spans="2:6" x14ac:dyDescent="0.25">
      <c r="B5" s="40">
        <v>2</v>
      </c>
      <c r="C5" s="42" t="s">
        <v>680</v>
      </c>
      <c r="D5" s="6" t="s">
        <v>678</v>
      </c>
      <c r="E5" s="85" t="s">
        <v>681</v>
      </c>
      <c r="F5" s="42"/>
    </row>
    <row r="6" spans="2:6" x14ac:dyDescent="0.25">
      <c r="B6" s="40">
        <v>3</v>
      </c>
      <c r="C6" s="42" t="s">
        <v>682</v>
      </c>
      <c r="D6" s="6" t="s">
        <v>678</v>
      </c>
      <c r="E6" s="85" t="s">
        <v>683</v>
      </c>
      <c r="F6" s="42"/>
    </row>
    <row r="7" spans="2:6" x14ac:dyDescent="0.25">
      <c r="B7" s="40">
        <v>4</v>
      </c>
      <c r="C7" s="42" t="s">
        <v>684</v>
      </c>
      <c r="D7" s="6"/>
      <c r="E7" s="85"/>
      <c r="F7" s="42"/>
    </row>
    <row r="8" spans="2:6" x14ac:dyDescent="0.25">
      <c r="B8" s="40"/>
      <c r="C8" s="42"/>
      <c r="D8" s="6"/>
      <c r="E8" s="85"/>
      <c r="F8" s="42"/>
    </row>
    <row r="9" spans="2:6" x14ac:dyDescent="0.25">
      <c r="B9" s="40"/>
      <c r="C9" s="42"/>
      <c r="D9" s="6"/>
      <c r="E9" s="85"/>
      <c r="F9" s="42"/>
    </row>
    <row r="10" spans="2:6" x14ac:dyDescent="0.25">
      <c r="B10" s="40" t="s">
        <v>685</v>
      </c>
      <c r="C10" s="42"/>
      <c r="D10" s="6"/>
      <c r="E10" s="85"/>
      <c r="F10" s="42"/>
    </row>
    <row r="11" spans="2:6" x14ac:dyDescent="0.25">
      <c r="B11" s="40">
        <v>1</v>
      </c>
      <c r="C11" s="42"/>
      <c r="D11" s="6" t="s">
        <v>686</v>
      </c>
      <c r="E11" s="85" t="s">
        <v>687</v>
      </c>
      <c r="F11" s="42"/>
    </row>
    <row r="12" spans="2:6" x14ac:dyDescent="0.25">
      <c r="B12" s="40">
        <v>2</v>
      </c>
      <c r="C12" s="42"/>
      <c r="D12" s="6" t="s">
        <v>686</v>
      </c>
      <c r="E12" s="85" t="s">
        <v>687</v>
      </c>
      <c r="F12" s="42"/>
    </row>
    <row r="13" spans="2:6" x14ac:dyDescent="0.25">
      <c r="B13" s="40">
        <v>3</v>
      </c>
      <c r="C13" s="42"/>
      <c r="D13" s="6" t="s">
        <v>688</v>
      </c>
      <c r="E13" s="85" t="s">
        <v>689</v>
      </c>
      <c r="F13" s="42"/>
    </row>
    <row r="14" spans="2:6" x14ac:dyDescent="0.25">
      <c r="B14" s="40">
        <v>4</v>
      </c>
      <c r="C14" s="42"/>
      <c r="D14" s="6" t="s">
        <v>688</v>
      </c>
      <c r="E14" s="85" t="s">
        <v>690</v>
      </c>
      <c r="F14" s="42"/>
    </row>
    <row r="15" spans="2:6" x14ac:dyDescent="0.25">
      <c r="B15" s="40">
        <v>5</v>
      </c>
      <c r="C15" s="42"/>
      <c r="D15" s="6" t="s">
        <v>691</v>
      </c>
      <c r="E15" s="85" t="s">
        <v>692</v>
      </c>
      <c r="F15" s="42"/>
    </row>
    <row r="16" spans="2:6" x14ac:dyDescent="0.25">
      <c r="B16" s="40">
        <v>6</v>
      </c>
      <c r="C16" s="42"/>
      <c r="D16" s="6" t="s">
        <v>691</v>
      </c>
      <c r="E16" s="85" t="s">
        <v>692</v>
      </c>
      <c r="F16" s="42"/>
    </row>
    <row r="17" spans="2:6" x14ac:dyDescent="0.25">
      <c r="B17" s="40">
        <v>7</v>
      </c>
      <c r="C17" s="42"/>
      <c r="D17" s="6"/>
      <c r="E17" s="41" t="s">
        <v>693</v>
      </c>
      <c r="F17" s="42"/>
    </row>
    <row r="18" spans="2:6" x14ac:dyDescent="0.25">
      <c r="B18" s="40">
        <v>8</v>
      </c>
      <c r="C18" s="42"/>
      <c r="D18" s="6"/>
      <c r="E18" s="41" t="s">
        <v>694</v>
      </c>
      <c r="F18" s="42"/>
    </row>
    <row r="19" spans="2:6" x14ac:dyDescent="0.25">
      <c r="B19" s="40">
        <v>9</v>
      </c>
      <c r="C19" s="42"/>
      <c r="D19" s="6" t="s">
        <v>688</v>
      </c>
      <c r="E19" s="85" t="s">
        <v>695</v>
      </c>
      <c r="F19" s="42"/>
    </row>
    <row r="20" spans="2:6" x14ac:dyDescent="0.25">
      <c r="B20" s="40">
        <v>10</v>
      </c>
      <c r="C20" s="42"/>
      <c r="D20" s="6" t="s">
        <v>688</v>
      </c>
      <c r="E20" s="85" t="s">
        <v>696</v>
      </c>
      <c r="F20" s="42"/>
    </row>
    <row r="21" spans="2:6" x14ac:dyDescent="0.25">
      <c r="B21" s="40"/>
      <c r="C21" s="42"/>
      <c r="D21" s="6"/>
      <c r="E21" s="85"/>
      <c r="F21" s="42"/>
    </row>
    <row r="22" spans="2:6" x14ac:dyDescent="0.25">
      <c r="B22" s="40" t="s">
        <v>676</v>
      </c>
      <c r="C22" s="42" t="s">
        <v>697</v>
      </c>
      <c r="D22" s="6" t="s">
        <v>674</v>
      </c>
      <c r="E22" s="85"/>
      <c r="F22" s="42"/>
    </row>
    <row r="23" spans="2:6" x14ac:dyDescent="0.25">
      <c r="B23" s="40">
        <v>1</v>
      </c>
      <c r="C23" s="42" t="s">
        <v>677</v>
      </c>
      <c r="D23" s="6" t="s">
        <v>678</v>
      </c>
      <c r="E23" s="85" t="s">
        <v>698</v>
      </c>
      <c r="F23" s="42"/>
    </row>
    <row r="24" spans="2:6" x14ac:dyDescent="0.25">
      <c r="B24" s="40">
        <v>2</v>
      </c>
      <c r="C24" s="42" t="s">
        <v>680</v>
      </c>
      <c r="D24" s="6" t="s">
        <v>678</v>
      </c>
      <c r="E24" s="85" t="s">
        <v>698</v>
      </c>
      <c r="F24" s="42"/>
    </row>
    <row r="25" spans="2:6" x14ac:dyDescent="0.25">
      <c r="B25" s="40">
        <v>3</v>
      </c>
      <c r="C25" s="42" t="s">
        <v>682</v>
      </c>
      <c r="D25" s="6" t="s">
        <v>678</v>
      </c>
      <c r="E25" s="85" t="s">
        <v>698</v>
      </c>
      <c r="F25" s="42"/>
    </row>
    <row r="26" spans="2:6" ht="15.75" thickBot="1" x14ac:dyDescent="0.3">
      <c r="B26" s="86">
        <v>4</v>
      </c>
      <c r="C26" s="87" t="s">
        <v>684</v>
      </c>
      <c r="D26" s="88"/>
      <c r="E26" s="89"/>
      <c r="F26" s="42"/>
    </row>
    <row r="27" spans="2:6" x14ac:dyDescent="0.25">
      <c r="B27" s="42"/>
      <c r="C27" s="42"/>
      <c r="D27" s="6"/>
      <c r="E27" s="6"/>
      <c r="F27" s="42"/>
    </row>
    <row r="28" spans="2:6" x14ac:dyDescent="0.25">
      <c r="B28" s="42"/>
      <c r="C28" s="42"/>
      <c r="D28" s="6"/>
      <c r="E28" s="6"/>
      <c r="F28" s="42"/>
    </row>
    <row r="29" spans="2:6" x14ac:dyDescent="0.25">
      <c r="D29" s="6"/>
      <c r="E29" s="6"/>
      <c r="F29" s="42"/>
    </row>
  </sheetData>
  <mergeCells count="1">
    <mergeCell ref="B1:E1"/>
  </mergeCells>
  <printOptions horizontalCentered="1"/>
  <pageMargins left="0.19685039370078741" right="0.19685039370078741" top="0.39370078740157483" bottom="0.39370078740157483" header="0.11811023622047245" footer="0.19685039370078741"/>
  <pageSetup paperSize="8" orientation="landscape" r:id="rId1"/>
  <headerFooter>
    <oddHeader>&amp;C&amp;"Aptos Black,Regular"&amp;14VALKYRIE V2 - Chamber Connections</oddHeader>
  </headerFooter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D16"/>
  <sheetViews>
    <sheetView workbookViewId="0"/>
  </sheetViews>
  <sheetFormatPr defaultRowHeight="15" x14ac:dyDescent="0.25"/>
  <cols>
    <col min="1" max="1" width="83.140625" customWidth="1"/>
    <col min="2" max="2" width="11.42578125" customWidth="1"/>
    <col min="3" max="3" width="46.140625" customWidth="1"/>
    <col min="4" max="4" width="70.85546875" customWidth="1"/>
  </cols>
  <sheetData>
    <row r="1" spans="1:4" ht="15.75" x14ac:dyDescent="0.25">
      <c r="A1" s="5" t="s">
        <v>699</v>
      </c>
      <c r="B1" t="s">
        <v>700</v>
      </c>
      <c r="C1" t="s">
        <v>701</v>
      </c>
      <c r="D1" t="s">
        <v>702</v>
      </c>
    </row>
    <row r="2" spans="1:4" ht="20.25" customHeight="1" x14ac:dyDescent="0.25">
      <c r="A2" s="4" t="s">
        <v>703</v>
      </c>
      <c r="B2" t="s">
        <v>704</v>
      </c>
      <c r="C2" s="133" t="s">
        <v>705</v>
      </c>
      <c r="D2" s="8" t="s">
        <v>706</v>
      </c>
    </row>
    <row r="3" spans="1:4" x14ac:dyDescent="0.25">
      <c r="A3" s="4" t="s">
        <v>707</v>
      </c>
      <c r="B3" t="s">
        <v>708</v>
      </c>
      <c r="C3" s="174" t="s">
        <v>709</v>
      </c>
      <c r="D3" s="8"/>
    </row>
    <row r="4" spans="1:4" x14ac:dyDescent="0.25">
      <c r="A4" t="s">
        <v>710</v>
      </c>
      <c r="B4" t="s">
        <v>711</v>
      </c>
      <c r="C4" s="117" t="s">
        <v>712</v>
      </c>
      <c r="D4" t="s">
        <v>713</v>
      </c>
    </row>
    <row r="5" spans="1:4" ht="14.25" customHeight="1" x14ac:dyDescent="0.25">
      <c r="A5" t="s">
        <v>714</v>
      </c>
      <c r="B5" t="s">
        <v>711</v>
      </c>
      <c r="C5" s="117" t="s">
        <v>712</v>
      </c>
    </row>
    <row r="6" spans="1:4" x14ac:dyDescent="0.25">
      <c r="A6" t="s">
        <v>715</v>
      </c>
      <c r="B6" t="s">
        <v>716</v>
      </c>
      <c r="C6" t="s">
        <v>717</v>
      </c>
    </row>
    <row r="7" spans="1:4" x14ac:dyDescent="0.25">
      <c r="A7" t="s">
        <v>718</v>
      </c>
      <c r="B7" t="s">
        <v>716</v>
      </c>
      <c r="C7" s="7" t="s">
        <v>719</v>
      </c>
      <c r="D7" s="68" t="s">
        <v>720</v>
      </c>
    </row>
    <row r="8" spans="1:4" x14ac:dyDescent="0.25">
      <c r="A8" s="1" t="s">
        <v>721</v>
      </c>
      <c r="C8" s="1" t="s">
        <v>722</v>
      </c>
    </row>
    <row r="9" spans="1:4" x14ac:dyDescent="0.25">
      <c r="A9" s="1" t="s">
        <v>723</v>
      </c>
      <c r="C9" s="7" t="s">
        <v>724</v>
      </c>
    </row>
    <row r="10" spans="1:4" x14ac:dyDescent="0.25">
      <c r="A10" t="s">
        <v>725</v>
      </c>
      <c r="B10" t="s">
        <v>716</v>
      </c>
      <c r="C10" s="134" t="s">
        <v>726</v>
      </c>
      <c r="D10" s="1"/>
    </row>
    <row r="11" spans="1:4" x14ac:dyDescent="0.25">
      <c r="A11" t="s">
        <v>727</v>
      </c>
      <c r="B11" s="1" t="s">
        <v>716</v>
      </c>
      <c r="C11" s="135" t="s">
        <v>728</v>
      </c>
    </row>
    <row r="12" spans="1:4" x14ac:dyDescent="0.25">
      <c r="A12" s="1" t="s">
        <v>729</v>
      </c>
      <c r="C12" s="132" t="s">
        <v>730</v>
      </c>
      <c r="D12" t="s">
        <v>731</v>
      </c>
    </row>
    <row r="13" spans="1:4" x14ac:dyDescent="0.25">
      <c r="A13" s="1" t="s">
        <v>732</v>
      </c>
      <c r="B13" s="1" t="s">
        <v>733</v>
      </c>
      <c r="C13" s="135" t="s">
        <v>734</v>
      </c>
    </row>
    <row r="14" spans="1:4" x14ac:dyDescent="0.25">
      <c r="A14" t="s">
        <v>735</v>
      </c>
      <c r="B14" t="s">
        <v>716</v>
      </c>
      <c r="C14" s="7" t="s">
        <v>736</v>
      </c>
      <c r="D14" t="s">
        <v>737</v>
      </c>
    </row>
    <row r="15" spans="1:4" x14ac:dyDescent="0.25">
      <c r="A15" t="s">
        <v>738</v>
      </c>
      <c r="B15" t="s">
        <v>739</v>
      </c>
    </row>
    <row r="16" spans="1:4" x14ac:dyDescent="0.25">
      <c r="A16" t="s">
        <v>740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D62"/>
  <sheetViews>
    <sheetView topLeftCell="A7" workbookViewId="0">
      <selection activeCell="C33" sqref="C33"/>
    </sheetView>
  </sheetViews>
  <sheetFormatPr defaultRowHeight="15" x14ac:dyDescent="0.25"/>
  <cols>
    <col min="1" max="1" width="27" customWidth="1"/>
    <col min="2" max="2" width="54" customWidth="1"/>
    <col min="3" max="3" width="83.42578125" customWidth="1"/>
    <col min="4" max="4" width="36.5703125" bestFit="1" customWidth="1"/>
  </cols>
  <sheetData>
    <row r="1" spans="1:4" x14ac:dyDescent="0.25">
      <c r="A1" t="s">
        <v>741</v>
      </c>
      <c r="B1" t="s">
        <v>742</v>
      </c>
      <c r="C1" t="s">
        <v>364</v>
      </c>
      <c r="D1" t="s">
        <v>12</v>
      </c>
    </row>
    <row r="2" spans="1:4" x14ac:dyDescent="0.25">
      <c r="A2" t="s">
        <v>743</v>
      </c>
      <c r="B2" s="42" t="s">
        <v>744</v>
      </c>
      <c r="C2" t="s">
        <v>745</v>
      </c>
    </row>
    <row r="3" spans="1:4" ht="15" customHeight="1" x14ac:dyDescent="0.25">
      <c r="A3" t="s">
        <v>746</v>
      </c>
      <c r="B3" s="58" t="s">
        <v>747</v>
      </c>
      <c r="C3" s="4" t="s">
        <v>748</v>
      </c>
    </row>
    <row r="4" spans="1:4" ht="18.75" customHeight="1" x14ac:dyDescent="0.25">
      <c r="A4" t="s">
        <v>749</v>
      </c>
      <c r="B4" s="42" t="s">
        <v>750</v>
      </c>
      <c r="C4" s="4" t="s">
        <v>751</v>
      </c>
    </row>
    <row r="5" spans="1:4" x14ac:dyDescent="0.25">
      <c r="A5" t="s">
        <v>752</v>
      </c>
      <c r="B5" s="42" t="s">
        <v>753</v>
      </c>
      <c r="C5" s="4" t="s">
        <v>754</v>
      </c>
    </row>
    <row r="6" spans="1:4" x14ac:dyDescent="0.25">
      <c r="A6" t="s">
        <v>755</v>
      </c>
      <c r="B6" s="42" t="s">
        <v>756</v>
      </c>
      <c r="C6" t="s">
        <v>757</v>
      </c>
    </row>
    <row r="7" spans="1:4" ht="12" customHeight="1" x14ac:dyDescent="0.25">
      <c r="A7" t="s">
        <v>758</v>
      </c>
      <c r="B7" s="42" t="s">
        <v>759</v>
      </c>
      <c r="C7" t="s">
        <v>760</v>
      </c>
      <c r="D7" s="4" t="s">
        <v>761</v>
      </c>
    </row>
    <row r="8" spans="1:4" x14ac:dyDescent="0.25">
      <c r="A8" t="s">
        <v>762</v>
      </c>
      <c r="B8" s="42" t="s">
        <v>763</v>
      </c>
      <c r="C8" t="s">
        <v>764</v>
      </c>
    </row>
    <row r="9" spans="1:4" x14ac:dyDescent="0.25">
      <c r="A9" t="s">
        <v>765</v>
      </c>
      <c r="B9" s="42" t="s">
        <v>766</v>
      </c>
      <c r="C9" t="s">
        <v>767</v>
      </c>
    </row>
    <row r="10" spans="1:4" x14ac:dyDescent="0.25">
      <c r="A10" t="s">
        <v>768</v>
      </c>
      <c r="B10" s="42" t="s">
        <v>769</v>
      </c>
      <c r="C10" t="s">
        <v>770</v>
      </c>
    </row>
    <row r="11" spans="1:4" x14ac:dyDescent="0.25">
      <c r="A11" t="s">
        <v>771</v>
      </c>
      <c r="B11" s="42" t="s">
        <v>772</v>
      </c>
      <c r="C11" t="s">
        <v>773</v>
      </c>
    </row>
    <row r="12" spans="1:4" x14ac:dyDescent="0.25">
      <c r="A12" t="s">
        <v>774</v>
      </c>
      <c r="B12" s="42" t="s">
        <v>775</v>
      </c>
      <c r="C12" t="s">
        <v>776</v>
      </c>
    </row>
    <row r="13" spans="1:4" x14ac:dyDescent="0.25">
      <c r="B13" s="42"/>
    </row>
    <row r="14" spans="1:4" x14ac:dyDescent="0.25">
      <c r="B14" s="42"/>
    </row>
    <row r="15" spans="1:4" x14ac:dyDescent="0.25">
      <c r="B15" s="42"/>
    </row>
    <row r="16" spans="1:4" x14ac:dyDescent="0.25">
      <c r="B16" s="42"/>
    </row>
    <row r="17" spans="1:4" x14ac:dyDescent="0.25">
      <c r="B17" s="42"/>
    </row>
    <row r="18" spans="1:4" x14ac:dyDescent="0.25">
      <c r="B18" s="42"/>
    </row>
    <row r="19" spans="1:4" x14ac:dyDescent="0.25">
      <c r="A19" t="s">
        <v>741</v>
      </c>
      <c r="B19" s="102" t="s">
        <v>636</v>
      </c>
      <c r="C19" t="s">
        <v>364</v>
      </c>
      <c r="D19" t="s">
        <v>12</v>
      </c>
    </row>
    <row r="20" spans="1:4" x14ac:dyDescent="0.25">
      <c r="A20" t="s">
        <v>777</v>
      </c>
      <c r="B20" s="42" t="s">
        <v>778</v>
      </c>
      <c r="C20" t="s">
        <v>779</v>
      </c>
    </row>
    <row r="21" spans="1:4" x14ac:dyDescent="0.25">
      <c r="B21" s="42" t="s">
        <v>780</v>
      </c>
      <c r="C21" s="4" t="s">
        <v>781</v>
      </c>
    </row>
    <row r="22" spans="1:4" x14ac:dyDescent="0.25">
      <c r="B22" s="42" t="s">
        <v>782</v>
      </c>
      <c r="C22" t="s">
        <v>783</v>
      </c>
    </row>
    <row r="23" spans="1:4" x14ac:dyDescent="0.25">
      <c r="B23" s="42" t="s">
        <v>784</v>
      </c>
      <c r="C23" t="s">
        <v>785</v>
      </c>
    </row>
    <row r="24" spans="1:4" x14ac:dyDescent="0.25">
      <c r="B24" s="42" t="s">
        <v>786</v>
      </c>
      <c r="C24" t="s">
        <v>787</v>
      </c>
    </row>
    <row r="25" spans="1:4" x14ac:dyDescent="0.25">
      <c r="B25" s="42" t="s">
        <v>788</v>
      </c>
      <c r="C25" t="s">
        <v>789</v>
      </c>
    </row>
    <row r="26" spans="1:4" x14ac:dyDescent="0.25">
      <c r="A26" s="137"/>
      <c r="B26" s="138" t="s">
        <v>790</v>
      </c>
      <c r="C26" s="137" t="s">
        <v>791</v>
      </c>
      <c r="D26" t="s">
        <v>792</v>
      </c>
    </row>
    <row r="27" spans="1:4" x14ac:dyDescent="0.25">
      <c r="B27" s="42" t="s">
        <v>793</v>
      </c>
      <c r="C27" t="s">
        <v>794</v>
      </c>
    </row>
    <row r="28" spans="1:4" x14ac:dyDescent="0.25">
      <c r="A28" t="s">
        <v>795</v>
      </c>
      <c r="B28" s="42" t="s">
        <v>796</v>
      </c>
      <c r="C28" t="s">
        <v>797</v>
      </c>
      <c r="D28" t="s">
        <v>798</v>
      </c>
    </row>
    <row r="29" spans="1:4" x14ac:dyDescent="0.25">
      <c r="B29" s="42" t="s">
        <v>799</v>
      </c>
      <c r="C29" t="s">
        <v>800</v>
      </c>
    </row>
    <row r="30" spans="1:4" x14ac:dyDescent="0.25">
      <c r="A30" t="s">
        <v>801</v>
      </c>
      <c r="B30" s="42" t="s">
        <v>802</v>
      </c>
      <c r="C30" t="s">
        <v>803</v>
      </c>
    </row>
    <row r="31" spans="1:4" x14ac:dyDescent="0.25">
      <c r="B31" s="42" t="s">
        <v>804</v>
      </c>
      <c r="C31" t="s">
        <v>805</v>
      </c>
    </row>
    <row r="32" spans="1:4" x14ac:dyDescent="0.25">
      <c r="B32" s="42" t="s">
        <v>806</v>
      </c>
      <c r="C32" t="s">
        <v>807</v>
      </c>
    </row>
    <row r="33" spans="1:4" x14ac:dyDescent="0.25">
      <c r="B33" s="42" t="s">
        <v>808</v>
      </c>
      <c r="C33" t="s">
        <v>809</v>
      </c>
    </row>
    <row r="34" spans="1:4" x14ac:dyDescent="0.25">
      <c r="A34" t="s">
        <v>745</v>
      </c>
      <c r="B34" s="42" t="s">
        <v>810</v>
      </c>
      <c r="C34" t="s">
        <v>811</v>
      </c>
      <c r="D34" t="s">
        <v>812</v>
      </c>
    </row>
    <row r="35" spans="1:4" x14ac:dyDescent="0.25">
      <c r="B35" s="42" t="s">
        <v>813</v>
      </c>
      <c r="C35" t="s">
        <v>814</v>
      </c>
    </row>
    <row r="36" spans="1:4" x14ac:dyDescent="0.25">
      <c r="B36" s="42" t="s">
        <v>815</v>
      </c>
      <c r="C36" t="s">
        <v>816</v>
      </c>
    </row>
    <row r="37" spans="1:4" x14ac:dyDescent="0.25">
      <c r="B37" s="42" t="s">
        <v>817</v>
      </c>
      <c r="C37" t="s">
        <v>818</v>
      </c>
    </row>
    <row r="38" spans="1:4" x14ac:dyDescent="0.25">
      <c r="B38" s="42" t="s">
        <v>819</v>
      </c>
      <c r="C38" t="s">
        <v>820</v>
      </c>
    </row>
    <row r="39" spans="1:4" x14ac:dyDescent="0.25">
      <c r="B39" s="42"/>
    </row>
    <row r="40" spans="1:4" x14ac:dyDescent="0.25">
      <c r="B40" s="42"/>
    </row>
    <row r="41" spans="1:4" x14ac:dyDescent="0.25">
      <c r="A41" t="s">
        <v>821</v>
      </c>
      <c r="B41" s="64" t="s">
        <v>822</v>
      </c>
      <c r="C41" t="s">
        <v>364</v>
      </c>
    </row>
    <row r="42" spans="1:4" x14ac:dyDescent="0.25">
      <c r="B42" t="s">
        <v>823</v>
      </c>
      <c r="C42" t="s">
        <v>824</v>
      </c>
    </row>
    <row r="43" spans="1:4" x14ac:dyDescent="0.25">
      <c r="B43" t="s">
        <v>825</v>
      </c>
      <c r="C43" t="s">
        <v>824</v>
      </c>
    </row>
    <row r="44" spans="1:4" x14ac:dyDescent="0.25">
      <c r="B44" t="s">
        <v>826</v>
      </c>
      <c r="C44" t="s">
        <v>824</v>
      </c>
    </row>
    <row r="45" spans="1:4" x14ac:dyDescent="0.25">
      <c r="B45" t="s">
        <v>827</v>
      </c>
      <c r="C45" t="s">
        <v>824</v>
      </c>
    </row>
    <row r="47" spans="1:4" x14ac:dyDescent="0.25">
      <c r="B47" t="s">
        <v>828</v>
      </c>
      <c r="C47" t="s">
        <v>824</v>
      </c>
      <c r="D47" t="s">
        <v>829</v>
      </c>
    </row>
    <row r="48" spans="1:4" x14ac:dyDescent="0.25">
      <c r="D48" t="s">
        <v>830</v>
      </c>
    </row>
    <row r="49" spans="1:3" x14ac:dyDescent="0.25">
      <c r="B49" t="s">
        <v>831</v>
      </c>
    </row>
    <row r="50" spans="1:3" x14ac:dyDescent="0.25">
      <c r="B50" t="s">
        <v>832</v>
      </c>
    </row>
    <row r="52" spans="1:3" x14ac:dyDescent="0.25">
      <c r="A52" t="s">
        <v>821</v>
      </c>
      <c r="B52" s="64" t="s">
        <v>833</v>
      </c>
      <c r="C52" t="s">
        <v>364</v>
      </c>
    </row>
    <row r="53" spans="1:3" x14ac:dyDescent="0.25">
      <c r="B53" t="s">
        <v>834</v>
      </c>
      <c r="C53" t="s">
        <v>824</v>
      </c>
    </row>
    <row r="54" spans="1:3" x14ac:dyDescent="0.25">
      <c r="B54" t="s">
        <v>835</v>
      </c>
      <c r="C54" t="s">
        <v>824</v>
      </c>
    </row>
    <row r="55" spans="1:3" x14ac:dyDescent="0.25">
      <c r="B55" t="s">
        <v>836</v>
      </c>
      <c r="C55" t="s">
        <v>824</v>
      </c>
    </row>
    <row r="56" spans="1:3" x14ac:dyDescent="0.25">
      <c r="B56" t="s">
        <v>837</v>
      </c>
      <c r="C56" t="s">
        <v>824</v>
      </c>
    </row>
    <row r="57" spans="1:3" x14ac:dyDescent="0.25">
      <c r="B57" t="s">
        <v>838</v>
      </c>
      <c r="C57" t="s">
        <v>824</v>
      </c>
    </row>
    <row r="58" spans="1:3" x14ac:dyDescent="0.25">
      <c r="B58" t="s">
        <v>839</v>
      </c>
      <c r="C58" t="s">
        <v>824</v>
      </c>
    </row>
    <row r="59" spans="1:3" x14ac:dyDescent="0.25">
      <c r="B59" t="s">
        <v>840</v>
      </c>
      <c r="C59" t="s">
        <v>841</v>
      </c>
    </row>
    <row r="60" spans="1:3" x14ac:dyDescent="0.25">
      <c r="B60" t="s">
        <v>842</v>
      </c>
      <c r="C60" t="s">
        <v>824</v>
      </c>
    </row>
    <row r="61" spans="1:3" x14ac:dyDescent="0.25">
      <c r="B61" t="s">
        <v>843</v>
      </c>
      <c r="C61" t="s">
        <v>824</v>
      </c>
    </row>
    <row r="62" spans="1:3" x14ac:dyDescent="0.25">
      <c r="B62" t="s">
        <v>844</v>
      </c>
      <c r="C62" t="s">
        <v>824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12"/>
  <sheetViews>
    <sheetView workbookViewId="0">
      <selection activeCell="A17" sqref="A17"/>
    </sheetView>
  </sheetViews>
  <sheetFormatPr defaultRowHeight="15" x14ac:dyDescent="0.25"/>
  <cols>
    <col min="1" max="1" width="42.7109375" customWidth="1"/>
    <col min="2" max="2" width="20.42578125" customWidth="1"/>
    <col min="3" max="3" width="32.85546875" customWidth="1"/>
    <col min="4" max="4" width="19.42578125" customWidth="1"/>
    <col min="5" max="5" width="34.42578125" customWidth="1"/>
  </cols>
  <sheetData>
    <row r="1" spans="1:5" x14ac:dyDescent="0.25">
      <c r="A1" s="3" t="s">
        <v>363</v>
      </c>
      <c r="B1" s="3" t="s">
        <v>845</v>
      </c>
      <c r="C1" s="3" t="s">
        <v>364</v>
      </c>
      <c r="D1" s="3" t="s">
        <v>8</v>
      </c>
      <c r="E1" s="3" t="s">
        <v>13</v>
      </c>
    </row>
    <row r="2" spans="1:5" x14ac:dyDescent="0.25">
      <c r="A2" t="s">
        <v>846</v>
      </c>
      <c r="B2" t="s">
        <v>847</v>
      </c>
      <c r="C2" t="s">
        <v>848</v>
      </c>
      <c r="D2" t="s">
        <v>849</v>
      </c>
      <c r="E2" s="118" t="s">
        <v>850</v>
      </c>
    </row>
    <row r="3" spans="1:5" x14ac:dyDescent="0.25">
      <c r="A3" t="s">
        <v>851</v>
      </c>
      <c r="C3" t="s">
        <v>852</v>
      </c>
    </row>
    <row r="4" spans="1:5" x14ac:dyDescent="0.25">
      <c r="A4" t="s">
        <v>853</v>
      </c>
    </row>
    <row r="5" spans="1:5" x14ac:dyDescent="0.25">
      <c r="A5" t="s">
        <v>854</v>
      </c>
    </row>
    <row r="6" spans="1:5" ht="16.5" customHeight="1" x14ac:dyDescent="0.25">
      <c r="A6" t="s">
        <v>855</v>
      </c>
      <c r="C6" s="4" t="s">
        <v>856</v>
      </c>
    </row>
    <row r="7" spans="1:5" x14ac:dyDescent="0.25">
      <c r="A7" t="s">
        <v>857</v>
      </c>
    </row>
    <row r="8" spans="1:5" x14ac:dyDescent="0.25">
      <c r="A8" t="s">
        <v>858</v>
      </c>
    </row>
    <row r="9" spans="1:5" x14ac:dyDescent="0.25">
      <c r="A9" t="s">
        <v>859</v>
      </c>
    </row>
    <row r="10" spans="1:5" ht="14.25" customHeight="1" x14ac:dyDescent="0.25">
      <c r="A10" s="4" t="s">
        <v>860</v>
      </c>
    </row>
    <row r="11" spans="1:5" x14ac:dyDescent="0.25">
      <c r="A11" t="s">
        <v>861</v>
      </c>
    </row>
    <row r="12" spans="1:5" x14ac:dyDescent="0.25">
      <c r="A12" t="s">
        <v>862</v>
      </c>
      <c r="C12" t="s">
        <v>863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1</vt:i4>
      </vt:variant>
    </vt:vector>
  </HeadingPairs>
  <TitlesOfParts>
    <vt:vector size="15" baseType="lpstr">
      <vt:lpstr>PARTS LIST</vt:lpstr>
      <vt:lpstr>V2 Frame BOM</vt:lpstr>
      <vt:lpstr>V2 AB Gantry BOM</vt:lpstr>
      <vt:lpstr>V2 Toolhead BOM</vt:lpstr>
      <vt:lpstr>V2 Z System BOM</vt:lpstr>
      <vt:lpstr>V2 Enclosure BOM</vt:lpstr>
      <vt:lpstr>V2 Drybox BOM</vt:lpstr>
      <vt:lpstr>V2 Liquid Cooling BOM</vt:lpstr>
      <vt:lpstr>V2 Electronics BOM</vt:lpstr>
      <vt:lpstr>V2 Printed Parts</vt:lpstr>
      <vt:lpstr>Chamber connections</vt:lpstr>
      <vt:lpstr>To Do</vt:lpstr>
      <vt:lpstr>Macro &amp; system names </vt:lpstr>
      <vt:lpstr>MISC</vt:lpstr>
      <vt:lpstr>'PARTS LIST'!Print_Titles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Roy Berntsen</cp:lastModifiedBy>
  <cp:revision/>
  <cp:lastPrinted>2026-04-12T09:37:17Z</cp:lastPrinted>
  <dcterms:created xsi:type="dcterms:W3CDTF">2021-11-13T13:18:32Z</dcterms:created>
  <dcterms:modified xsi:type="dcterms:W3CDTF">2026-04-12T10:29:47Z</dcterms:modified>
  <cp:category/>
  <cp:contentStatus/>
</cp:coreProperties>
</file>