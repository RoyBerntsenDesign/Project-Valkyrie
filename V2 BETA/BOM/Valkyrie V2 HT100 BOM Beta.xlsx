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drawings/drawing7.xml" ContentType="application/vnd.openxmlformats-officedocument.drawing+xml"/>
  <Override PartName="/xl/tables/table11.xml" ContentType="application/vnd.openxmlformats-officedocument.spreadsheetml.table+xml"/>
  <Override PartName="/xl/drawings/drawing8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91" documentId="8_{5107759B-8870-48A8-933E-C4A7F6F41B8D}" xr6:coauthVersionLast="47" xr6:coauthVersionMax="47" xr10:uidLastSave="{4C507616-ACAD-4E4B-B0E7-A7C22A0FEA40}"/>
  <bookViews>
    <workbookView xWindow="28680" yWindow="-45" windowWidth="29040" windowHeight="16440" firstSheet="2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acro &amp; system names " sheetId="44" r:id="rId12"/>
    <sheet name="MISC" sheetId="30" r:id="rId13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32" i="43" l="1"/>
  <c r="G66" i="43"/>
  <c r="G67" i="43"/>
  <c r="G68" i="43"/>
  <c r="G69" i="43"/>
  <c r="G135" i="43"/>
  <c r="G81" i="43"/>
  <c r="G54" i="43"/>
  <c r="G142" i="43"/>
  <c r="G51" i="43"/>
  <c r="G140" i="43"/>
  <c r="G141" i="43"/>
  <c r="G139" i="43"/>
  <c r="G136" i="43"/>
  <c r="G137" i="43"/>
  <c r="G138" i="43"/>
  <c r="G46" i="43"/>
  <c r="G49" i="43"/>
  <c r="G38" i="43"/>
  <c r="G40" i="43"/>
  <c r="G44" i="43"/>
  <c r="G47" i="43"/>
  <c r="G39" i="43"/>
  <c r="G41" i="43"/>
  <c r="G45" i="43"/>
  <c r="G48" i="43"/>
  <c r="G50" i="43"/>
  <c r="G35" i="43"/>
  <c r="G36" i="43"/>
  <c r="G37" i="43"/>
  <c r="G42" i="43"/>
  <c r="G33" i="43"/>
  <c r="G34" i="43"/>
  <c r="G43" i="43"/>
  <c r="G102" i="43"/>
  <c r="G94" i="43"/>
  <c r="G89" i="43"/>
  <c r="G29" i="43"/>
  <c r="G144" i="43"/>
  <c r="G72" i="43"/>
  <c r="G129" i="43"/>
  <c r="G132" i="43"/>
  <c r="G133" i="43"/>
  <c r="G134" i="43"/>
  <c r="G96" i="43"/>
  <c r="G58" i="43"/>
  <c r="G113" i="43"/>
  <c r="G100" i="43"/>
  <c r="G87" i="43"/>
  <c r="G13" i="43"/>
  <c r="G14" i="43"/>
  <c r="G9" i="43"/>
  <c r="G4" i="43"/>
  <c r="G16" i="43"/>
  <c r="G12" i="43"/>
  <c r="G11" i="43"/>
  <c r="G8" i="43"/>
  <c r="G7" i="43"/>
  <c r="G2" i="43"/>
  <c r="G122" i="43"/>
  <c r="G121" i="43"/>
  <c r="G120" i="43"/>
  <c r="G119" i="43"/>
  <c r="G118" i="43"/>
  <c r="G117" i="43"/>
  <c r="G116" i="43"/>
  <c r="G115" i="43"/>
  <c r="G114" i="43"/>
  <c r="G109" i="43"/>
  <c r="G108" i="43"/>
  <c r="G107" i="43"/>
  <c r="G106" i="43"/>
  <c r="G105" i="43"/>
  <c r="G104" i="43"/>
  <c r="G103" i="43"/>
  <c r="G97" i="43"/>
  <c r="G95" i="43"/>
  <c r="G93" i="43"/>
  <c r="G92" i="43"/>
  <c r="G91" i="43"/>
  <c r="G90" i="43"/>
  <c r="G88" i="43"/>
  <c r="G26" i="43"/>
  <c r="G25" i="43"/>
  <c r="G24" i="43"/>
  <c r="G22" i="43"/>
  <c r="G21" i="43"/>
  <c r="G20" i="43"/>
  <c r="G27" i="43"/>
  <c r="G23" i="43"/>
  <c r="G19" i="43"/>
  <c r="G17" i="43"/>
  <c r="G77" i="43"/>
  <c r="G80" i="43"/>
  <c r="G79" i="43"/>
  <c r="G78" i="43"/>
  <c r="G76" i="43"/>
  <c r="G75" i="43"/>
  <c r="G74" i="43"/>
  <c r="G73" i="43"/>
  <c r="G30" i="43"/>
  <c r="G28" i="43"/>
  <c r="G112" i="43"/>
  <c r="G110" i="43"/>
  <c r="G111" i="43"/>
  <c r="G99" i="43"/>
  <c r="G98" i="43"/>
  <c r="G86" i="43"/>
  <c r="G84" i="43"/>
  <c r="G85" i="43"/>
  <c r="G52" i="43"/>
  <c r="G56" i="43"/>
  <c r="G125" i="43"/>
  <c r="G124" i="43"/>
  <c r="G123" i="43"/>
  <c r="G63" i="43"/>
  <c r="G61" i="43"/>
  <c r="G62" i="43"/>
  <c r="G60" i="43"/>
  <c r="G59" i="43"/>
  <c r="G143" i="43"/>
  <c r="G131" i="43"/>
  <c r="G130" i="43"/>
  <c r="G83" i="43"/>
  <c r="G82" i="43"/>
  <c r="G71" i="43"/>
  <c r="G70" i="43"/>
  <c r="G65" i="43"/>
  <c r="G64" i="43"/>
  <c r="G57" i="43"/>
  <c r="G55" i="43"/>
  <c r="G53" i="43"/>
  <c r="G31" i="43"/>
  <c r="G5" i="43"/>
  <c r="G128" i="43"/>
  <c r="G127" i="43"/>
  <c r="G126" i="43"/>
  <c r="G101" i="43"/>
  <c r="G10" i="43"/>
  <c r="G3" i="43"/>
  <c r="G18" i="43"/>
  <c r="G15" i="43"/>
  <c r="G6" i="43"/>
  <c r="G145" i="43" l="1"/>
</calcChain>
</file>

<file path=xl/sharedStrings.xml><?xml version="1.0" encoding="utf-8"?>
<sst xmlns="http://schemas.openxmlformats.org/spreadsheetml/2006/main" count="1399" uniqueCount="794">
  <si>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</si>
  <si>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</si>
  <si>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</si>
  <si>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</si>
  <si>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</si>
  <si>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</si>
  <si>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</si>
  <si>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</si>
  <si>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</si>
  <si>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</si>
  <si>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</si>
  <si>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</si>
  <si>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Shaft</t>
  </si>
  <si>
    <t>03x25 Bearing shaft</t>
  </si>
  <si>
    <t>D: 10PCS M3 - L: 25mm</t>
  </si>
  <si>
    <t>TINGOO HS</t>
  </si>
  <si>
    <t>Bearing</t>
  </si>
  <si>
    <t>04.5mm Bearing Ball</t>
  </si>
  <si>
    <t>OD: 4.5mm G100 - N: 10PCS</t>
  </si>
  <si>
    <t xml:space="preserve">Gosenballs </t>
  </si>
  <si>
    <t>Fastener</t>
  </si>
  <si>
    <t>05x08x1 Precision Shim</t>
  </si>
  <si>
    <t>M5x8x1mm - 50PCS</t>
  </si>
  <si>
    <t>05x10 D5 Shaft Collar DIN 705</t>
  </si>
  <si>
    <t>ID: 5x10x6xM3</t>
  </si>
  <si>
    <t>Hui Xing HW</t>
  </si>
  <si>
    <t>05x16x5 Bearing 625ZZ</t>
  </si>
  <si>
    <t>625ZZ - 10PCS</t>
  </si>
  <si>
    <t>APE</t>
  </si>
  <si>
    <t>05x40 Bearing Shaft</t>
  </si>
  <si>
    <t>S: 5x40 - 20PCS</t>
  </si>
  <si>
    <t>HE Material</t>
  </si>
  <si>
    <t>05x50 Bearing Shaft</t>
  </si>
  <si>
    <t>S: 5x50 - 20PCS</t>
  </si>
  <si>
    <t>06x12x1 Precision Shim</t>
  </si>
  <si>
    <t>ID: M6x12x50PCS OD: 1mm</t>
  </si>
  <si>
    <t>06x17x6 Bearing F606ZZ</t>
  </si>
  <si>
    <t>F606ZZ - 10PCS</t>
  </si>
  <si>
    <t>06x25 Bearing Shaft</t>
  </si>
  <si>
    <t>6x25 - 20PCS</t>
  </si>
  <si>
    <t>06x40 Bearing Shaft</t>
  </si>
  <si>
    <t>6x40 - 20PCS</t>
  </si>
  <si>
    <t>Spring</t>
  </si>
  <si>
    <t xml:space="preserve">07x10 Spring 0.4 WD </t>
  </si>
  <si>
    <t>L: 10mm(10pcs) - WD: 0.4 - OD: 7mm</t>
  </si>
  <si>
    <t>AZ-hw</t>
  </si>
  <si>
    <t>08x12x1 Precision Shim</t>
  </si>
  <si>
    <t>ID: M8x12x50PCS OD: 1mm</t>
  </si>
  <si>
    <t>08x16x5 Bearing 688ZZ</t>
  </si>
  <si>
    <t>688ZZ - 10PCS</t>
  </si>
  <si>
    <t>08x400 Steel Rod - Door Link</t>
  </si>
  <si>
    <t>L: 400 D: 8mm</t>
  </si>
  <si>
    <t>YUNSHUO</t>
  </si>
  <si>
    <t>Profile</t>
  </si>
  <si>
    <t>15x15x1 Aluminum Tube L: 230mm</t>
  </si>
  <si>
    <t>L: 500mm - S: 15x15x1mm</t>
  </si>
  <si>
    <t>18th Gw</t>
  </si>
  <si>
    <t>16x400 DBX Draw Slides</t>
  </si>
  <si>
    <t>C: Buffer 16in - 40cm</t>
  </si>
  <si>
    <t>Naierdi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</si>
  <si>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</si>
  <si>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</si>
  <si>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</si>
  <si>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</si>
  <si>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</si>
  <si>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</si>
  <si>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</si>
  <si>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</si>
  <si>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</si>
  <si>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</si>
  <si>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</si>
  <si>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</si>
  <si>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</si>
  <si>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</si>
  <si>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</si>
  <si>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</si>
  <si>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</si>
  <si>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</si>
  <si>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</si>
  <si>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</si>
  <si>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</si>
  <si>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</si>
  <si>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</si>
  <si>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</si>
  <si>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Electrical</t>
  </si>
  <si>
    <t>Buffer - LLL Plus Filament Buffer</t>
  </si>
  <si>
    <t>Color: LLL Plus Buffer</t>
  </si>
  <si>
    <t>Mellow 3D</t>
  </si>
  <si>
    <t>Buildplate Cast AL 5083 8mm</t>
  </si>
  <si>
    <t>350x350x8</t>
  </si>
  <si>
    <t>Source locally or ask MELLOW</t>
  </si>
  <si>
    <t>Local</t>
  </si>
  <si>
    <t>Buildplate Heater 750w</t>
  </si>
  <si>
    <t>300x300</t>
  </si>
  <si>
    <t>300x300 750W-120V/220V-NO GLUE!</t>
  </si>
  <si>
    <t>Keenovo</t>
  </si>
  <si>
    <t>Magnet</t>
  </si>
  <si>
    <t>Buildplate Magnet 15x03</t>
  </si>
  <si>
    <t>15x03</t>
  </si>
  <si>
    <t>Color: 50pcs 15x3mm</t>
  </si>
  <si>
    <t>HW Store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</si>
  <si>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</si>
  <si>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</si>
  <si>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</si>
  <si>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</si>
  <si>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</si>
  <si>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</si>
  <si>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</si>
  <si>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</si>
  <si>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</si>
  <si>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</si>
  <si>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</si>
  <si>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</si>
  <si>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</si>
  <si>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</si>
  <si>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</si>
  <si>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</si>
  <si>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</si>
  <si>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</si>
  <si>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</si>
  <si>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</si>
  <si>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</si>
  <si>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</si>
  <si>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</si>
  <si>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</si>
  <si>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</si>
  <si>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</si>
  <si>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</si>
  <si>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</si>
  <si>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</si>
  <si>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</si>
  <si>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</si>
  <si>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</si>
  <si>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</si>
  <si>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</si>
  <si>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</si>
  <si>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</si>
  <si>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</si>
  <si>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</si>
  <si>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</si>
  <si>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</si>
  <si>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</si>
  <si>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>Toolpart</t>
  </si>
  <si>
    <t>CPAP Part Fan Tube 125C+</t>
  </si>
  <si>
    <t>PFA HT CPAP TUBE</t>
  </si>
  <si>
    <t>YouQin5 Store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</si>
  <si>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</si>
  <si>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</si>
  <si>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</si>
  <si>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</si>
  <si>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</si>
  <si>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</si>
  <si>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</si>
  <si>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</si>
  <si>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Extruder - BIQU H2 V2X</t>
  </si>
  <si>
    <t>BTT H2 V2X Extruder</t>
  </si>
  <si>
    <t>BTT</t>
  </si>
  <si>
    <t>Fan - CPAP Blower Robo</t>
  </si>
  <si>
    <t>FAN - STYTJ02YM</t>
  </si>
  <si>
    <t>MIMI Store</t>
  </si>
  <si>
    <t xml:space="preserve">Fan Dual Ball Bearing 4010 </t>
  </si>
  <si>
    <t>Size: 24V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</si>
  <si>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</si>
  <si>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</si>
  <si>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</si>
  <si>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</si>
  <si>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</si>
  <si>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</si>
  <si>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</si>
  <si>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</si>
  <si>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</si>
  <si>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</si>
  <si>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</si>
  <si>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</si>
  <si>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</si>
  <si>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</si>
  <si>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</si>
  <si>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</si>
  <si>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</si>
  <si>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</si>
  <si>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</si>
  <si>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</si>
  <si>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</si>
  <si>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</si>
  <si>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</si>
  <si>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</si>
  <si>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</si>
  <si>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</si>
  <si>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</si>
  <si>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</si>
  <si>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</si>
  <si>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</si>
  <si>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Heater Block Copper NF-Crazy</t>
  </si>
  <si>
    <t>NF-Crazy Heater Block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</si>
  <si>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</si>
  <si>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</si>
  <si>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</si>
  <si>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</si>
  <si>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</si>
  <si>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</si>
  <si>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</si>
  <si>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</si>
  <si>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</si>
  <si>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</si>
  <si>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</si>
  <si>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</si>
  <si>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</si>
  <si>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</si>
  <si>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</si>
  <si>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</si>
  <si>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</si>
  <si>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</si>
  <si>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</si>
  <si>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</si>
  <si>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</si>
  <si>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</si>
  <si>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</si>
  <si>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</si>
  <si>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</si>
  <si>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</si>
  <si>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</si>
  <si>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</si>
  <si>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</si>
  <si>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</si>
  <si>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</si>
  <si>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</si>
  <si>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M3 Nut DIN 934</t>
  </si>
  <si>
    <t>S: 25pcs M3</t>
  </si>
  <si>
    <t>M3 Nut Hammer</t>
  </si>
  <si>
    <t>Color: 20-M3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</si>
  <si>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</si>
  <si>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</si>
  <si>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</si>
  <si>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</si>
  <si>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</si>
  <si>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</si>
  <si>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</si>
  <si>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</si>
  <si>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</si>
  <si>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</si>
  <si>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</si>
  <si>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</si>
  <si>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</si>
  <si>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</si>
  <si>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</si>
  <si>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</si>
  <si>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</si>
  <si>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</si>
  <si>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</si>
  <si>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Column1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</si>
  <si>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</si>
  <si>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</si>
  <si>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</si>
  <si>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</si>
  <si>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</si>
  <si>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</si>
  <si>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</si>
  <si>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</si>
  <si>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</si>
  <si>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</si>
  <si>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M4x10mm Ball Bearing tapped</t>
  </si>
  <si>
    <t>M4x10 Ball Bearing - 20PCS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</si>
  <si>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</si>
  <si>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</si>
  <si>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</si>
  <si>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</si>
  <si>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</si>
  <si>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</si>
  <si>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</si>
  <si>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</si>
  <si>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</si>
  <si>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</si>
  <si>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</si>
  <si>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</si>
  <si>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</si>
  <si>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</si>
  <si>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</si>
  <si>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</si>
  <si>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</si>
  <si>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</si>
  <si>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</si>
  <si>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</si>
  <si>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</si>
  <si>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</si>
  <si>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</si>
  <si>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</si>
  <si>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</si>
  <si>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</si>
  <si>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</si>
  <si>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</si>
  <si>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</si>
  <si>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</si>
  <si>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</si>
  <si>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</si>
  <si>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</si>
  <si>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</si>
  <si>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</si>
  <si>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</si>
  <si>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</si>
  <si>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</si>
  <si>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</si>
  <si>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</si>
  <si>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</si>
  <si>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</si>
  <si>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</si>
  <si>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</si>
  <si>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</si>
  <si>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</si>
  <si>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</si>
  <si>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</si>
  <si>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</si>
  <si>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</si>
  <si>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</si>
  <si>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</si>
  <si>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</si>
  <si>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</si>
  <si>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</si>
  <si>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</si>
  <si>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</si>
  <si>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Mothend V2</t>
  </si>
  <si>
    <t>PCBWay</t>
  </si>
  <si>
    <t>PCB way</t>
  </si>
  <si>
    <t>Nema 17 40mm Z motor</t>
  </si>
  <si>
    <t>C: 17HS16 2004S1</t>
  </si>
  <si>
    <t>STEPPERONLINE</t>
  </si>
  <si>
    <t>Nema 17 48 S55 AB motor</t>
  </si>
  <si>
    <t>C: 17HS19-2504S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</si>
  <si>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</si>
  <si>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</si>
  <si>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</si>
  <si>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</si>
  <si>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</si>
  <si>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</si>
  <si>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Plate - AL for DIN &amp; SSR</t>
  </si>
  <si>
    <t>180x150x3</t>
  </si>
  <si>
    <t>Color: 200x200mm - S: 3mm 1pc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</si>
  <si>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</si>
  <si>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</si>
  <si>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</si>
  <si>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</si>
  <si>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</si>
  <si>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</si>
  <si>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</si>
  <si>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</si>
  <si>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</si>
  <si>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</si>
  <si>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</si>
  <si>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</si>
  <si>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</si>
  <si>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</si>
  <si>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</si>
  <si>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</si>
  <si>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</si>
  <si>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</si>
  <si>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</si>
  <si>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</si>
  <si>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</si>
  <si>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</si>
  <si>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</si>
  <si>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</si>
  <si>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</si>
  <si>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</si>
  <si>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</si>
  <si>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</si>
  <si>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</si>
  <si>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</si>
  <si>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</si>
  <si>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</si>
  <si>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</si>
  <si>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</si>
  <si>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</si>
  <si>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</si>
  <si>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</si>
  <si>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</si>
  <si>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</si>
  <si>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</si>
  <si>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</si>
  <si>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</si>
  <si>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</si>
  <si>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</si>
  <si>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</si>
  <si>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</si>
  <si>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</si>
  <si>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</si>
  <si>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</si>
  <si>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</si>
  <si>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</si>
  <si>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</si>
  <si>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</si>
  <si>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</si>
  <si>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</si>
  <si>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</si>
  <si>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</si>
  <si>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Quantity</t>
  </si>
  <si>
    <t>06x05 Magnet SmCo</t>
  </si>
  <si>
    <t>20x20x1 X Axis AL Tube 410</t>
  </si>
  <si>
    <t>20x20 AL Tube L: 410</t>
  </si>
  <si>
    <t>Brush</t>
  </si>
  <si>
    <t>GT1.5 Pulley 26T 11mm</t>
  </si>
  <si>
    <t>GT1.5 Timing Belt AB</t>
  </si>
  <si>
    <t>M3 Nut Hammer Nut</t>
  </si>
  <si>
    <t>M3 Nut Lock Nut DIN 985</t>
  </si>
  <si>
    <t>M3 Nut Lock Nut</t>
  </si>
  <si>
    <t>M3 Washer  DIN 125 ISO 7089</t>
  </si>
  <si>
    <t>M3x10 SH DIN 912</t>
  </si>
  <si>
    <t>M3x20 SH DIN 912 ISO 4762</t>
  </si>
  <si>
    <t>M5 LOCK NUT</t>
  </si>
  <si>
    <t>M5 Nut DIN</t>
  </si>
  <si>
    <t>MGN12H 400</t>
  </si>
  <si>
    <t>Preload - Light</t>
  </si>
  <si>
    <t>MGN 12h 400</t>
  </si>
  <si>
    <t>MGN9H 400</t>
  </si>
  <si>
    <t>Preload - Medium</t>
  </si>
  <si>
    <t>MGN 9H 400</t>
  </si>
  <si>
    <t>Nema 17 48 S55</t>
  </si>
  <si>
    <t>V2 AB Brace_1x</t>
  </si>
  <si>
    <t>V2 AB Brace</t>
  </si>
  <si>
    <t>V2 AB Idler Spacer_4x</t>
  </si>
  <si>
    <t>V2 AB Motor Bearing Buddy_2x</t>
  </si>
  <si>
    <t>V2 AB Motor Bracket_1x</t>
  </si>
  <si>
    <t>V2 AB Motor Bracket</t>
  </si>
  <si>
    <t>V2 FZ Dock Buddy_1x</t>
  </si>
  <si>
    <t>V2 FZ Dock_1x</t>
  </si>
  <si>
    <t>V2 Idler Bracket Front A_1X</t>
  </si>
  <si>
    <t>V2 Idler Bracket Front B_1X</t>
  </si>
  <si>
    <t>V2 Idler Bracket Rear AB_2X</t>
  </si>
  <si>
    <t>V2 Idler Tension Fork_2x</t>
  </si>
  <si>
    <t>V2 Idler Tension Fork</t>
  </si>
  <si>
    <t>V2 Idler Tension Tower_A_1x</t>
  </si>
  <si>
    <t>V2 Idler Tension Tower_A</t>
  </si>
  <si>
    <t>V2 Idler Tension Tower_B_1x</t>
  </si>
  <si>
    <t>V2 Nozzle Wash P&amp;B_1x</t>
  </si>
  <si>
    <t>V2 Nozzle Wash_1x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</si>
  <si>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</si>
  <si>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</si>
  <si>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</si>
  <si>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</si>
  <si>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</si>
  <si>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</si>
  <si>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</si>
  <si>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</si>
  <si>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</si>
  <si>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</si>
  <si>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</si>
  <si>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</si>
  <si>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</si>
  <si>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</si>
  <si>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</si>
  <si>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</si>
  <si>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</si>
  <si>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</si>
  <si>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</si>
  <si>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</si>
  <si>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</si>
  <si>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</si>
  <si>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</si>
  <si>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</si>
  <si>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</si>
  <si>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</si>
  <si>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</si>
  <si>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</si>
  <si>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</si>
  <si>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</si>
  <si>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</si>
  <si>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</si>
  <si>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</si>
  <si>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</si>
  <si>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</si>
  <si>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</si>
  <si>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</si>
  <si>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</si>
  <si>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</si>
  <si>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</si>
  <si>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</si>
  <si>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</si>
  <si>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</si>
  <si>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</si>
  <si>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</si>
  <si>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</si>
  <si>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</si>
  <si>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</si>
  <si>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</si>
  <si>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</si>
  <si>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</si>
  <si>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</si>
  <si>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</si>
  <si>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</si>
  <si>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</si>
  <si>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</si>
  <si>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</si>
  <si>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</si>
  <si>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</si>
  <si>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</si>
  <si>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</si>
  <si>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</si>
  <si>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</si>
  <si>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</si>
  <si>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</si>
  <si>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</si>
  <si>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</si>
  <si>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</si>
  <si>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</si>
  <si>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</si>
  <si>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</si>
  <si>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</si>
  <si>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</si>
  <si>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</si>
  <si>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</si>
  <si>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</si>
  <si>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</si>
  <si>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</si>
  <si>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</si>
  <si>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</si>
  <si>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</si>
  <si>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</si>
  <si>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</si>
  <si>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</si>
  <si>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</si>
  <si>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</si>
  <si>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</si>
  <si>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</si>
  <si>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</si>
  <si>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</si>
  <si>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</si>
  <si>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</si>
  <si>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</si>
  <si>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</si>
  <si>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</si>
  <si>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</si>
  <si>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</si>
  <si>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</si>
  <si>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</si>
  <si>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</si>
  <si>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</si>
  <si>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</si>
  <si>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</si>
  <si>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</si>
  <si>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</si>
  <si>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</si>
  <si>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</si>
  <si>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</si>
  <si>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</si>
  <si>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</si>
  <si>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</si>
  <si>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</si>
  <si>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</si>
  <si>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</si>
  <si>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</si>
  <si>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</si>
  <si>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</si>
  <si>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</si>
  <si>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</si>
  <si>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</si>
  <si>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</si>
  <si>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</si>
  <si>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</si>
  <si>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</si>
  <si>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</si>
  <si>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</si>
  <si>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</si>
  <si>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</si>
  <si>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</si>
  <si>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</si>
  <si>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</si>
  <si>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</si>
  <si>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</si>
  <si>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</si>
  <si>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</si>
  <si>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</si>
  <si>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</si>
  <si>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</si>
  <si>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</si>
  <si>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</si>
  <si>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</si>
  <si>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</si>
  <si>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</si>
  <si>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</si>
  <si>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</si>
  <si>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</si>
  <si>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</si>
  <si>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</si>
  <si>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</si>
  <si>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</si>
  <si>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</si>
  <si>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</si>
  <si>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</si>
  <si>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</si>
  <si>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</si>
  <si>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</si>
  <si>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</si>
  <si>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</si>
  <si>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</si>
  <si>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</si>
  <si>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</si>
  <si>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</si>
  <si>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</si>
  <si>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</si>
  <si>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</si>
  <si>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</si>
  <si>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</si>
  <si>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</si>
  <si>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</si>
  <si>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</si>
  <si>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</si>
  <si>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</si>
  <si>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</si>
  <si>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</si>
  <si>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</si>
  <si>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</si>
  <si>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</si>
  <si>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</si>
  <si>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</si>
  <si>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</si>
  <si>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</si>
  <si>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</si>
  <si>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</si>
  <si>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</si>
  <si>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</si>
  <si>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</si>
  <si>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</si>
  <si>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</si>
  <si>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</si>
  <si>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</si>
  <si>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</si>
  <si>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</si>
  <si>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</si>
  <si>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</si>
  <si>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</si>
  <si>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</si>
  <si>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</si>
  <si>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</si>
  <si>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</si>
  <si>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</si>
  <si>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</si>
  <si>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</si>
  <si>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</si>
  <si>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</si>
  <si>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</si>
  <si>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</si>
  <si>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</si>
  <si>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</si>
  <si>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</si>
  <si>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</si>
  <si>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</si>
  <si>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</si>
  <si>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</si>
  <si>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</si>
  <si>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</si>
  <si>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</si>
  <si>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</si>
  <si>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</si>
  <si>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</si>
  <si>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</si>
  <si>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</si>
  <si>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</si>
  <si>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</si>
  <si>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</si>
  <si>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</si>
  <si>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</si>
  <si>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</si>
  <si>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</si>
  <si>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</si>
  <si>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</si>
  <si>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</si>
  <si>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</si>
  <si>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</si>
  <si>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</si>
  <si>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</si>
  <si>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</si>
  <si>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</si>
  <si>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</si>
  <si>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</si>
  <si>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</si>
  <si>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</si>
  <si>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</si>
  <si>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</si>
  <si>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 xml:space="preserve">ESP32  buddy </t>
  </si>
  <si>
    <t>completed</t>
  </si>
  <si>
    <t xml:space="preserve">Load cell amplifier buddy </t>
  </si>
  <si>
    <t>mark</t>
  </si>
  <si>
    <t xml:space="preserve">finally  finish the Hardware BOM  when all above done </t>
  </si>
  <si>
    <t>make a list of basic macros</t>
  </si>
  <si>
    <t>inprogress</t>
  </si>
  <si>
    <t>make a basic config which boards ?</t>
  </si>
  <si>
    <t>finish the swiwel</t>
  </si>
  <si>
    <t xml:space="preserve">in progress/testing </t>
  </si>
  <si>
    <t>Do electrical drawings  load cell, Mains,  others</t>
  </si>
  <si>
    <t>Work out gland sealing for cpap tube, water pipes , cable loom</t>
  </si>
  <si>
    <t>One more thing to figure out. Cable entrance to the toolhead</t>
  </si>
  <si>
    <t>send bed drawing with magnet to Roy</t>
  </si>
  <si>
    <t xml:space="preserve">done </t>
  </si>
  <si>
    <t xml:space="preserve">aend Drilling Jig  for  holes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</si>
  <si>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</si>
  <si>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</si>
  <si>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</si>
  <si>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</si>
  <si>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</si>
  <si>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</si>
  <si>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</si>
  <si>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</si>
  <si>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</si>
  <si>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</si>
  <si>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</si>
  <si>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</si>
  <si>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</si>
  <si>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</si>
  <si>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</si>
  <si>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</si>
  <si>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</si>
  <si>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</si>
  <si>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</si>
  <si>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</si>
  <si>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</si>
  <si>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</si>
  <si>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</si>
  <si>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</si>
  <si>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</si>
  <si>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</si>
  <si>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</si>
  <si>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</si>
  <si>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</si>
  <si>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</si>
  <si>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</si>
  <si>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</si>
  <si>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</si>
  <si>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</si>
  <si>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</si>
  <si>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System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</si>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</sst>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40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sz val="12"/>
      <color theme="1"/>
      <name val="Gg Sans"/>
      <charset val="1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06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24" fillId="0" borderId="0" xfId="0" applyFont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33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2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2" fillId="0" borderId="13" xfId="0" applyFont="1" applyBorder="1"/>
    <xf numFmtId="0" fontId="32" fillId="4" borderId="13" xfId="0" applyFont="1" applyFill="1" applyBorder="1" applyAlignment="1">
      <alignment wrapText="1"/>
    </xf>
    <xf numFmtId="49" fontId="34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0" fontId="20" fillId="0" borderId="0" xfId="0" applyFont="1" applyAlignment="1">
      <alignment horizontal="left"/>
    </xf>
    <xf numFmtId="0" fontId="20" fillId="0" borderId="4" xfId="0" applyFont="1" applyBorder="1" applyAlignment="1">
      <alignment vertical="top"/>
    </xf>
    <xf numFmtId="49" fontId="32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27" fillId="0" borderId="0" xfId="1" applyFont="1" applyBorder="1"/>
    <xf numFmtId="0" fontId="10" fillId="0" borderId="17" xfId="2" applyBorder="1"/>
    <xf numFmtId="0" fontId="19" fillId="0" borderId="18" xfId="8" applyFont="1" applyBorder="1"/>
    <xf numFmtId="0" fontId="10" fillId="0" borderId="18" xfId="2" applyBorder="1"/>
    <xf numFmtId="0" fontId="36" fillId="0" borderId="0" xfId="2" applyFont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7" fillId="0" borderId="0" xfId="1" applyFont="1" applyBorder="1"/>
    <xf numFmtId="0" fontId="38" fillId="0" borderId="0" xfId="0" applyFont="1"/>
    <xf numFmtId="0" fontId="23" fillId="0" borderId="0" xfId="0" applyFont="1" applyAlignment="1">
      <alignment wrapText="1"/>
    </xf>
    <xf numFmtId="0" fontId="39" fillId="0" borderId="0" xfId="0" applyFont="1"/>
    <xf numFmtId="0" fontId="1" fillId="0" borderId="0" xfId="2" applyFont="1"/>
    <xf numFmtId="0" fontId="0" fillId="3" borderId="0" xfId="0" applyFill="1"/>
    <xf numFmtId="0" fontId="12" fillId="0" borderId="0" xfId="0" applyFont="1" applyFill="1"/>
    <xf numFmtId="0" fontId="0" fillId="0" borderId="0" xfId="0" applyFill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49" fontId="1" fillId="0" borderId="9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7" applyFont="1" applyAlignment="1">
      <alignment vertical="top"/>
    </xf>
    <xf numFmtId="0" fontId="1" fillId="0" borderId="0" xfId="2" applyFont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13" xfId="2" applyFont="1" applyBorder="1"/>
    <xf numFmtId="0" fontId="1" fillId="0" borderId="0" xfId="9" applyFont="1" applyAlignment="1">
      <alignment vertical="top"/>
    </xf>
    <xf numFmtId="0" fontId="1" fillId="0" borderId="0" xfId="2" applyFont="1" applyAlignment="1">
      <alignment horizontal="left"/>
    </xf>
    <xf numFmtId="1" fontId="1" fillId="0" borderId="0" xfId="2" applyNumberFormat="1" applyFont="1"/>
    <xf numFmtId="0" fontId="1" fillId="0" borderId="0" xfId="6" applyFont="1" applyAlignment="1">
      <alignment vertical="top"/>
    </xf>
    <xf numFmtId="0" fontId="1" fillId="0" borderId="0" xfId="5" applyFont="1" applyAlignment="1">
      <alignment vertical="top"/>
    </xf>
    <xf numFmtId="49" fontId="1" fillId="0" borderId="13" xfId="0" applyNumberFormat="1" applyFont="1" applyBorder="1"/>
    <xf numFmtId="0" fontId="1" fillId="0" borderId="0" xfId="5" applyFont="1" applyAlignment="1">
      <alignment horizontal="left" vertical="top"/>
    </xf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15" xfId="8" applyFont="1" applyBorder="1"/>
    <xf numFmtId="0" fontId="1" fillId="0" borderId="6" xfId="8" applyFont="1" applyBorder="1" applyAlignment="1">
      <alignment horizontal="right"/>
    </xf>
    <xf numFmtId="0" fontId="1" fillId="0" borderId="18" xfId="8" applyFont="1" applyBorder="1"/>
    <xf numFmtId="0" fontId="1" fillId="0" borderId="6" xfId="2" applyFont="1" applyBorder="1"/>
    <xf numFmtId="0" fontId="1" fillId="0" borderId="5" xfId="8" applyFont="1" applyBorder="1"/>
    <xf numFmtId="0" fontId="1" fillId="3" borderId="0" xfId="2" applyFont="1" applyFill="1"/>
    <xf numFmtId="0" fontId="1" fillId="0" borderId="0" xfId="7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8" headerRowBorderDxfId="76" tableBorderDxfId="77" headerRowCellStyle="Normal 2">
  <autoFilter ref="A1:L144" xr:uid="{00000000-000C-0000-FFFF-FFFF00000000}"/>
  <sortState xmlns:xlrd2="http://schemas.microsoft.com/office/spreadsheetml/2017/richdata2" ref="A2:L144">
    <sortCondition ref="B1:B144"/>
  </sortState>
  <tableColumns count="12">
    <tableColumn id="3" xr3:uid="{E596F2F7-CDFF-486E-86F5-053FDD2A2A5C}" name="Type" dataDxfId="75"/>
    <tableColumn id="4" xr3:uid="{21BB2F02-45DC-4E39-9123-FC046A8DFC11}" name="Part" dataDxfId="74"/>
    <tableColumn id="1" xr3:uid="{277C1F1F-DAAE-4C91-9EDC-C8D501677DE9}" name="Cut length" dataDxfId="73" dataCellStyle="Normal 7"/>
    <tableColumn id="7" xr3:uid="{47852F97-FC81-4943-BFF5-71D7E867A237}" name="Qty Required" dataDxfId="72"/>
    <tableColumn id="5" xr3:uid="{5C2A44A8-DE4F-4B5A-930C-443716E7E898}" name="Pack Order Qty" dataDxfId="71"/>
    <tableColumn id="8" xr3:uid="{07FAA242-B582-4790-9720-A5DC124D6B2D}" name="Pack Price $USD" dataDxfId="70"/>
    <tableColumn id="10" xr3:uid="{B3F33643-2531-4917-B84D-BE4983A99A8C}" name="*Cost Price $USD" dataDxfId="69">
      <calculatedColumnFormula>E2*F2</calculatedColumnFormula>
    </tableColumn>
    <tableColumn id="2" xr3:uid="{2B3304EF-95F3-4EA3-9A24-E520BCF247B0}" name="Order Link" dataDxfId="68" dataCellStyle="Hyperlink"/>
    <tableColumn id="12" xr3:uid="{53A14610-D497-4DD1-8CFF-F20E191D3317}" name="Supplier" dataDxfId="67"/>
    <tableColumn id="11" xr3:uid="{A7F10A10-A127-43E0-B65C-9F538B8DD15E}" name="Qty in a Pack" dataDxfId="66" dataCellStyle="Hyperlink"/>
    <tableColumn id="13" xr3:uid="{DE4564AA-6825-49A5-B67A-A550AFECDCA7}" name="DIN" dataDxfId="65"/>
    <tableColumn id="14" xr3:uid="{63E8BC06-DC55-407C-B167-F3CA5B6EBA86}" name="ISO" dataDxfId="6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3" dataDxfId="62">
  <autoFilter ref="O95:O96" xr:uid="{1D56080A-A986-4B73-B750-606D567699F1}"/>
  <tableColumns count="1">
    <tableColumn id="1" xr3:uid="{1AB8EF02-E35C-4974-9AE1-5C063D122C3C}" name="Column1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60" dataDxfId="59" tableBorderDxfId="5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7"/>
    <tableColumn id="3" xr3:uid="{2385B826-F8C8-4362-89A6-95A38D685D6B}" name="Description" dataDxfId="56"/>
    <tableColumn id="4" xr3:uid="{0FBBE615-D864-4E30-B741-3BE35C30458E}" name="Cut length" dataDxfId="55" dataCellStyle="Normal 8"/>
    <tableColumn id="2" xr3:uid="{59176566-F320-409F-9AA9-17486015A49A}" name="BOM Quantity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53" tableBorderDxfId="5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51" dataCellStyle="Normal 2" totalsRowCellStyle="Normal 2"/>
    <tableColumn id="7" xr3:uid="{13C33B91-92BB-4F0B-8B89-D7D5416E5479}" name="Description" totalsRowDxfId="50" dataCellStyle="Normal 2" totalsRowCellStyle="Normal 2"/>
    <tableColumn id="2" xr3:uid="{684CEE11-8A68-45FD-871F-FFCFA808FEBD}" name="BOM Quantity" dataDxfId="48" totalsRowDxfId="4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5CBAC96-2BAB-4D3B-BB2B-F5AB72F8290B}" name="Table115" displayName="Table115" ref="G1:H44" totalsRowShown="0">
  <autoFilter ref="G1:H44" xr:uid="{D5CBAC96-2BAB-4D3B-BB2B-F5AB72F8290B}"/>
  <sortState xmlns:xlrd2="http://schemas.microsoft.com/office/spreadsheetml/2017/richdata2" ref="G2:H44">
    <sortCondition ref="G1:G44"/>
  </sortState>
  <tableColumns count="2">
    <tableColumn id="1" xr3:uid="{1B7295A1-4F78-4D55-ABDE-8217D3CC8252}" name="Part name"/>
    <tableColumn id="2" xr3:uid="{58268DF6-ADB3-4044-A387-B43255BD9880}" name="Quantity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47" tableBorderDxfId="46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45" dataCellStyle="Normal 2" totalsRowCellStyle="Normal 2"/>
    <tableColumn id="7" xr3:uid="{150C9F57-34E9-40EB-9D7E-4F2F4DC1A13F}" name="Description" totalsRowDxfId="44" totalsRowCellStyle="Normal 2"/>
    <tableColumn id="2" xr3:uid="{A7D6434D-4498-49EB-9D73-D244744029D3}" name="BOM Quantity" dataDxfId="42" totalsRowDxfId="4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41" tableBorderDxfId="40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39" dataCellStyle="Normal 2" totalsRowCellStyle="Normal 2"/>
    <tableColumn id="7" xr3:uid="{A1AF3E5A-9878-43E6-8325-6EA13891B687}" name="Description" totalsRowDxfId="38" totalsRowCellStyle="Normal 2"/>
    <tableColumn id="2" xr3:uid="{1585E650-1008-4DC9-8D1C-8F6E78001D58}" name="BOM Quantity" dataDxfId="36" totalsRowDxfId="37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5" tableBorderDxfId="3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3" dataCellStyle="Normal 2" totalsRowCellStyle="Normal 2"/>
    <tableColumn id="7" xr3:uid="{D41EBA7C-1A32-4553-871C-D0C5C96C9E90}" name="Description" totalsRowDxfId="32" dataCellStyle="Normal 2" totalsRowCellStyle="Normal 2"/>
    <tableColumn id="2" xr3:uid="{1A8F0BE6-05F1-4339-9CFB-0F9B7B4E13D4}" name="BOM Quantity" dataDxfId="30" totalsRowDxfId="31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9" tableBorderDxfId="28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7" dataCellStyle="Normal 2" totalsRowCellStyle="Normal 2"/>
    <tableColumn id="7" xr3:uid="{4C265877-F081-4975-80F2-6B962EBD7F5B}" name="Description" totalsRowDxfId="26" dataCellStyle="Normal 2" totalsRowCellStyle="Normal 2"/>
    <tableColumn id="2" xr3:uid="{C58356B1-645B-4209-9365-0DE732AD7AAF}" name="BOM Quantity" dataDxfId="24" totalsRowDxfId="25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3" tableBorderDxfId="2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1" dataCellStyle="Normal 2" totalsRowCellStyle="Normal 2"/>
    <tableColumn id="7" xr3:uid="{D11DB86B-2519-40CE-A3B1-2DFF1E8D8BAF}" name="Description" totalsRowDxfId="20" dataCellStyle="Normal 2" totalsRowCellStyle="Normal 2"/>
    <tableColumn id="2" xr3:uid="{030B0BC7-E7B6-43C0-9200-DE84B404D5FA}" name="BOM Quantity" dataDxfId="18" totalsRowDxfId="1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7" tableBorderDxfId="16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5" dataCellStyle="Normal 2" totalsRowCellStyle="Normal 2"/>
    <tableColumn id="7" xr3:uid="{5CF4E952-095C-46AE-A57F-99A26E57C478}" name="Description" totalsRowDxfId="14" dataCellStyle="Normal 2" totalsRowCellStyle="Normal 2"/>
    <tableColumn id="2" xr3:uid="{8AE4D1C0-7F70-4D1E-B6EC-42038CE642DF}" name="BOM Quantity" dataDxfId="12" totalsRowDxfId="13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11" tableBorderDxfId="1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9" dataCellStyle="Normal 2" totalsRowCellStyle="Normal 2"/>
    <tableColumn id="7" xr3:uid="{49376C16-406D-4D5F-8B92-3BFE5FB962B9}" name="Description" totalsRowDxfId="8" dataCellStyle="Normal 2" totalsRowCellStyle="Normal 2"/>
    <tableColumn id="2" xr3:uid="{6252F354-5A67-4DD7-A1AA-3DADB5EF6BF7}" name="BOM Quantity" dataDxfId="6" totalsRowDxfId="7" dataCellStyle="Normal 2" totalsRowCellStyle="Normal 8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44XY1Gx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5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2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6"/>
  <sheetViews>
    <sheetView topLeftCell="A67" zoomScale="85" zoomScaleNormal="85" workbookViewId="0">
      <selection activeCell="B97" sqref="B97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7" t="s">
        <v>0</v>
      </c>
      <c r="B1" s="172" t="s">
        <v>1</v>
      </c>
      <c r="C1" s="173" t="s">
        <v>2</v>
      </c>
      <c r="D1" s="172" t="s">
        <v>3</v>
      </c>
      <c r="E1" s="172" t="s">
        <v>4</v>
      </c>
      <c r="F1" s="172" t="s">
        <v>5</v>
      </c>
      <c r="G1" s="172" t="s">
        <v>6</v>
      </c>
      <c r="H1" s="174" t="s">
        <v>7</v>
      </c>
      <c r="I1" s="175" t="s">
        <v>8</v>
      </c>
      <c r="J1" s="176" t="s">
        <v>9</v>
      </c>
      <c r="K1" s="71" t="s">
        <v>10</v>
      </c>
      <c r="L1" s="50" t="s">
        <v>11</v>
      </c>
    </row>
    <row r="2" spans="1:12">
      <c r="A2" s="17" t="s">
        <v>12</v>
      </c>
      <c r="B2" s="13" t="s">
        <v>13</v>
      </c>
      <c r="D2" s="76">
        <v>1</v>
      </c>
      <c r="E2" s="73">
        <v>1</v>
      </c>
      <c r="F2" s="74">
        <v>2.84</v>
      </c>
      <c r="G2" s="74">
        <f>E2*F2</f>
        <v>2.84</v>
      </c>
      <c r="H2" s="99" t="s">
        <v>14</v>
      </c>
      <c r="I2" s="104" t="s">
        <v>15</v>
      </c>
      <c r="J2" s="29">
        <v>10</v>
      </c>
      <c r="K2" s="76"/>
      <c r="L2" s="78"/>
    </row>
    <row r="3" spans="1:12">
      <c r="A3" s="17" t="s">
        <v>16</v>
      </c>
      <c r="B3" s="177" t="s">
        <v>17</v>
      </c>
      <c r="C3" s="115"/>
      <c r="D3" s="72">
        <v>1</v>
      </c>
      <c r="E3" s="73">
        <v>1</v>
      </c>
      <c r="F3" s="74">
        <v>4.0999999999999996</v>
      </c>
      <c r="G3" s="74">
        <f>E3*F3</f>
        <v>4.0999999999999996</v>
      </c>
      <c r="H3" s="99" t="s">
        <v>18</v>
      </c>
      <c r="I3" s="104" t="s">
        <v>19</v>
      </c>
      <c r="J3" s="29">
        <v>10</v>
      </c>
      <c r="K3" s="12"/>
      <c r="L3" s="75"/>
    </row>
    <row r="4" spans="1:12">
      <c r="A4" s="17" t="s">
        <v>20</v>
      </c>
      <c r="B4" s="77" t="s">
        <v>21</v>
      </c>
      <c r="C4" s="117"/>
      <c r="D4" s="76">
        <v>32</v>
      </c>
      <c r="E4" s="73">
        <v>1</v>
      </c>
      <c r="F4" s="74">
        <v>3.26</v>
      </c>
      <c r="G4" s="74">
        <f>E4*F4</f>
        <v>3.26</v>
      </c>
      <c r="H4" s="102" t="s">
        <v>22</v>
      </c>
      <c r="I4" s="104" t="s">
        <v>15</v>
      </c>
      <c r="J4" s="29">
        <v>50</v>
      </c>
      <c r="K4" s="12">
        <v>988</v>
      </c>
      <c r="L4" s="75">
        <v>10642</v>
      </c>
    </row>
    <row r="5" spans="1:12">
      <c r="A5" s="17" t="s">
        <v>20</v>
      </c>
      <c r="B5" s="12" t="s">
        <v>23</v>
      </c>
      <c r="D5" s="76">
        <v>1</v>
      </c>
      <c r="E5" s="73">
        <v>1</v>
      </c>
      <c r="F5" s="74">
        <v>4.34</v>
      </c>
      <c r="G5" s="74">
        <f>E5*F5</f>
        <v>4.34</v>
      </c>
      <c r="H5" s="99" t="s">
        <v>24</v>
      </c>
      <c r="I5" s="104" t="s">
        <v>25</v>
      </c>
      <c r="J5" s="29">
        <v>1</v>
      </c>
      <c r="K5" s="12"/>
      <c r="L5" s="75"/>
    </row>
    <row r="6" spans="1:12">
      <c r="A6" s="17" t="s">
        <v>16</v>
      </c>
      <c r="B6" s="13" t="s">
        <v>26</v>
      </c>
      <c r="C6" s="116"/>
      <c r="D6" s="76">
        <v>31</v>
      </c>
      <c r="E6" s="73">
        <v>4</v>
      </c>
      <c r="F6" s="74">
        <v>4.95</v>
      </c>
      <c r="G6" s="74">
        <f>E6*F6</f>
        <v>19.8</v>
      </c>
      <c r="H6" s="99" t="s">
        <v>27</v>
      </c>
      <c r="I6" s="104" t="s">
        <v>28</v>
      </c>
      <c r="J6" s="29">
        <v>10</v>
      </c>
      <c r="K6" s="12"/>
      <c r="L6" s="75"/>
    </row>
    <row r="7" spans="1:12">
      <c r="A7" s="17" t="s">
        <v>12</v>
      </c>
      <c r="B7" s="178" t="s">
        <v>29</v>
      </c>
      <c r="C7" s="119"/>
      <c r="D7" s="76">
        <v>6</v>
      </c>
      <c r="E7" s="73">
        <v>1</v>
      </c>
      <c r="F7" s="74">
        <v>10.36</v>
      </c>
      <c r="G7" s="74">
        <f>E7*F7</f>
        <v>10.36</v>
      </c>
      <c r="H7" s="100" t="s">
        <v>30</v>
      </c>
      <c r="I7" s="179" t="s">
        <v>31</v>
      </c>
      <c r="J7" s="29">
        <v>20</v>
      </c>
      <c r="K7" s="76"/>
      <c r="L7" s="78"/>
    </row>
    <row r="8" spans="1:12">
      <c r="A8" s="33" t="s">
        <v>12</v>
      </c>
      <c r="B8" s="178" t="s">
        <v>32</v>
      </c>
      <c r="C8" s="115"/>
      <c r="D8" s="76">
        <v>6</v>
      </c>
      <c r="E8" s="73">
        <v>1</v>
      </c>
      <c r="F8" s="74">
        <v>11.78</v>
      </c>
      <c r="G8" s="74">
        <f>E8*F8</f>
        <v>11.78</v>
      </c>
      <c r="H8" s="100" t="s">
        <v>33</v>
      </c>
      <c r="I8" s="179" t="s">
        <v>31</v>
      </c>
      <c r="J8" s="29">
        <v>20</v>
      </c>
      <c r="K8" s="76"/>
      <c r="L8" s="78"/>
    </row>
    <row r="9" spans="1:12">
      <c r="A9" s="17" t="s">
        <v>20</v>
      </c>
      <c r="B9" s="165" t="s">
        <v>34</v>
      </c>
      <c r="C9" s="116"/>
      <c r="D9" s="76">
        <v>36</v>
      </c>
      <c r="E9" s="73">
        <v>1</v>
      </c>
      <c r="F9" s="74">
        <v>2.87</v>
      </c>
      <c r="G9" s="74">
        <f>E9*F9</f>
        <v>2.87</v>
      </c>
      <c r="H9" s="102" t="s">
        <v>35</v>
      </c>
      <c r="I9" s="104" t="s">
        <v>15</v>
      </c>
      <c r="J9" s="29">
        <v>50</v>
      </c>
      <c r="K9" s="12">
        <v>988</v>
      </c>
      <c r="L9" s="75">
        <v>7380</v>
      </c>
    </row>
    <row r="10" spans="1:12">
      <c r="A10" s="17" t="s">
        <v>16</v>
      </c>
      <c r="B10" s="77" t="s">
        <v>36</v>
      </c>
      <c r="C10" s="117"/>
      <c r="D10" s="76">
        <v>24</v>
      </c>
      <c r="E10" s="73">
        <v>3</v>
      </c>
      <c r="F10" s="74">
        <v>7.84</v>
      </c>
      <c r="G10" s="74">
        <f>E10*F10</f>
        <v>23.52</v>
      </c>
      <c r="H10" s="99" t="s">
        <v>37</v>
      </c>
      <c r="I10" s="104" t="s">
        <v>28</v>
      </c>
      <c r="J10" s="29">
        <v>10</v>
      </c>
      <c r="K10" s="12"/>
      <c r="L10" s="75"/>
    </row>
    <row r="11" spans="1:12">
      <c r="A11" s="17" t="s">
        <v>12</v>
      </c>
      <c r="B11" s="178" t="s">
        <v>38</v>
      </c>
      <c r="C11" s="119"/>
      <c r="D11" s="76">
        <v>4</v>
      </c>
      <c r="E11" s="73">
        <v>1</v>
      </c>
      <c r="F11" s="74">
        <v>10.08</v>
      </c>
      <c r="G11" s="74">
        <f>E11*F11</f>
        <v>10.08</v>
      </c>
      <c r="H11" s="100" t="s">
        <v>39</v>
      </c>
      <c r="I11" s="179" t="s">
        <v>31</v>
      </c>
      <c r="J11" s="29">
        <v>20</v>
      </c>
      <c r="K11" s="76"/>
      <c r="L11" s="78"/>
    </row>
    <row r="12" spans="1:12">
      <c r="A12" s="17" t="s">
        <v>12</v>
      </c>
      <c r="B12" s="178" t="s">
        <v>40</v>
      </c>
      <c r="C12" s="119"/>
      <c r="D12" s="76">
        <v>8</v>
      </c>
      <c r="E12" s="73">
        <v>1</v>
      </c>
      <c r="F12" s="74">
        <v>12.42</v>
      </c>
      <c r="G12" s="74">
        <f>E12*F12</f>
        <v>12.42</v>
      </c>
      <c r="H12" s="100" t="s">
        <v>41</v>
      </c>
      <c r="I12" s="179" t="s">
        <v>31</v>
      </c>
      <c r="J12" s="29">
        <v>20</v>
      </c>
      <c r="K12" s="76"/>
      <c r="L12" s="78"/>
    </row>
    <row r="13" spans="1:12">
      <c r="A13" s="17" t="s">
        <v>42</v>
      </c>
      <c r="B13" s="13" t="s">
        <v>43</v>
      </c>
      <c r="C13" s="115"/>
      <c r="D13" s="76">
        <v>2</v>
      </c>
      <c r="E13" s="73">
        <v>1</v>
      </c>
      <c r="F13" s="74">
        <v>12.84</v>
      </c>
      <c r="G13" s="74">
        <f>E13*F13</f>
        <v>12.84</v>
      </c>
      <c r="H13" s="100" t="s">
        <v>44</v>
      </c>
      <c r="I13" s="112" t="s">
        <v>45</v>
      </c>
      <c r="J13" s="29">
        <v>10</v>
      </c>
      <c r="K13" s="85"/>
      <c r="L13" s="75"/>
    </row>
    <row r="14" spans="1:12">
      <c r="A14" s="17" t="s">
        <v>20</v>
      </c>
      <c r="B14" s="13" t="s">
        <v>46</v>
      </c>
      <c r="C14" s="116"/>
      <c r="D14" s="76">
        <v>2</v>
      </c>
      <c r="E14" s="73">
        <v>1</v>
      </c>
      <c r="F14" s="74">
        <v>2.84</v>
      </c>
      <c r="G14" s="74">
        <f>E14*F14</f>
        <v>2.84</v>
      </c>
      <c r="H14" s="102" t="s">
        <v>47</v>
      </c>
      <c r="I14" s="104" t="s">
        <v>15</v>
      </c>
      <c r="J14" s="29">
        <v>50</v>
      </c>
      <c r="K14" s="85">
        <v>988</v>
      </c>
      <c r="L14" s="75"/>
    </row>
    <row r="15" spans="1:12">
      <c r="A15" s="17" t="s">
        <v>16</v>
      </c>
      <c r="B15" s="13" t="s">
        <v>48</v>
      </c>
      <c r="D15" s="12">
        <v>2</v>
      </c>
      <c r="E15" s="73">
        <v>1</v>
      </c>
      <c r="F15" s="74">
        <v>4.7300000000000004</v>
      </c>
      <c r="G15" s="74">
        <f>E15*F15</f>
        <v>4.7300000000000004</v>
      </c>
      <c r="H15" s="99" t="s">
        <v>49</v>
      </c>
      <c r="I15" s="104" t="s">
        <v>28</v>
      </c>
      <c r="J15" s="29">
        <v>10</v>
      </c>
      <c r="K15" s="76"/>
      <c r="L15" s="78"/>
    </row>
    <row r="16" spans="1:12">
      <c r="A16" s="17" t="s">
        <v>12</v>
      </c>
      <c r="B16" s="13" t="s">
        <v>50</v>
      </c>
      <c r="C16" s="116">
        <v>400</v>
      </c>
      <c r="D16" s="76">
        <v>1</v>
      </c>
      <c r="E16" s="73">
        <v>1</v>
      </c>
      <c r="F16" s="74">
        <v>5.92</v>
      </c>
      <c r="G16" s="74">
        <f>E16*F16</f>
        <v>5.92</v>
      </c>
      <c r="H16" s="100" t="s">
        <v>51</v>
      </c>
      <c r="I16" s="179" t="s">
        <v>52</v>
      </c>
      <c r="J16" s="29">
        <v>1</v>
      </c>
      <c r="K16" s="76"/>
      <c r="L16" s="78"/>
    </row>
    <row r="17" spans="1:12">
      <c r="A17" s="33" t="s">
        <v>53</v>
      </c>
      <c r="B17" s="180" t="s">
        <v>54</v>
      </c>
      <c r="C17" s="126">
        <v>230</v>
      </c>
      <c r="D17" s="89">
        <v>4</v>
      </c>
      <c r="E17" s="73">
        <v>2</v>
      </c>
      <c r="F17" s="74">
        <v>4</v>
      </c>
      <c r="G17" s="74">
        <f>E17*F17</f>
        <v>8</v>
      </c>
      <c r="H17" s="101" t="s">
        <v>55</v>
      </c>
      <c r="I17" s="181" t="s">
        <v>56</v>
      </c>
      <c r="J17" s="29">
        <v>1</v>
      </c>
      <c r="K17" s="12"/>
      <c r="L17" s="75"/>
    </row>
    <row r="18" spans="1:12">
      <c r="A18" s="17" t="s">
        <v>16</v>
      </c>
      <c r="B18" s="13" t="s">
        <v>57</v>
      </c>
      <c r="D18" s="12">
        <v>2</v>
      </c>
      <c r="E18" s="73">
        <v>1</v>
      </c>
      <c r="F18" s="74">
        <v>18.27</v>
      </c>
      <c r="G18" s="74">
        <f>E18*F18</f>
        <v>18.27</v>
      </c>
      <c r="H18" s="99" t="s">
        <v>58</v>
      </c>
      <c r="I18" s="179" t="s">
        <v>59</v>
      </c>
      <c r="J18" s="29">
        <v>2</v>
      </c>
      <c r="K18" s="76"/>
      <c r="L18" s="78"/>
    </row>
    <row r="19" spans="1:12">
      <c r="A19" s="33" t="s">
        <v>53</v>
      </c>
      <c r="B19" s="12" t="s">
        <v>60</v>
      </c>
      <c r="C19" s="115"/>
      <c r="D19" s="90">
        <v>2</v>
      </c>
      <c r="E19" s="73">
        <v>1</v>
      </c>
      <c r="F19" s="74">
        <v>14.96</v>
      </c>
      <c r="G19" s="74">
        <f>E19*F19</f>
        <v>14.96</v>
      </c>
      <c r="H19" s="101" t="s">
        <v>61</v>
      </c>
      <c r="I19" s="179" t="s">
        <v>62</v>
      </c>
      <c r="J19" s="29">
        <v>10</v>
      </c>
      <c r="K19" s="12"/>
      <c r="L19" s="75"/>
    </row>
    <row r="20" spans="1:12">
      <c r="A20" s="17" t="s">
        <v>53</v>
      </c>
      <c r="B20" s="13" t="s">
        <v>63</v>
      </c>
      <c r="C20" s="127">
        <v>420</v>
      </c>
      <c r="D20" s="12">
        <v>1</v>
      </c>
      <c r="E20" s="73">
        <v>1</v>
      </c>
      <c r="F20" s="74">
        <v>12</v>
      </c>
      <c r="G20" s="74">
        <f>E20*F20</f>
        <v>12</v>
      </c>
      <c r="H20" s="101" t="s">
        <v>64</v>
      </c>
      <c r="I20" s="179" t="s">
        <v>65</v>
      </c>
      <c r="J20" s="29">
        <v>1</v>
      </c>
      <c r="K20" s="12"/>
      <c r="L20" s="75"/>
    </row>
    <row r="21" spans="1:12">
      <c r="A21" s="17" t="s">
        <v>53</v>
      </c>
      <c r="B21" s="13" t="s">
        <v>66</v>
      </c>
      <c r="C21" s="127">
        <v>368</v>
      </c>
      <c r="D21" s="12">
        <v>1</v>
      </c>
      <c r="E21" s="73">
        <v>1</v>
      </c>
      <c r="F21" s="74">
        <v>11</v>
      </c>
      <c r="G21" s="74">
        <f>E21*F21</f>
        <v>11</v>
      </c>
      <c r="H21" s="101" t="s">
        <v>67</v>
      </c>
      <c r="I21" s="179" t="s">
        <v>65</v>
      </c>
      <c r="J21" s="29">
        <v>1</v>
      </c>
      <c r="K21" s="12"/>
      <c r="L21" s="75"/>
    </row>
    <row r="22" spans="1:12">
      <c r="A22" s="17" t="s">
        <v>53</v>
      </c>
      <c r="B22" s="13" t="s">
        <v>68</v>
      </c>
      <c r="C22" s="127">
        <v>172</v>
      </c>
      <c r="D22" s="12">
        <v>1</v>
      </c>
      <c r="E22" s="73">
        <v>1</v>
      </c>
      <c r="F22" s="74">
        <v>9</v>
      </c>
      <c r="G22" s="74">
        <f>E22*F22</f>
        <v>9</v>
      </c>
      <c r="H22" s="101" t="s">
        <v>69</v>
      </c>
      <c r="I22" s="179" t="s">
        <v>65</v>
      </c>
      <c r="J22" s="29">
        <v>1</v>
      </c>
      <c r="K22" s="12"/>
      <c r="L22" s="75"/>
    </row>
    <row r="23" spans="1:12">
      <c r="A23" s="33" t="s">
        <v>53</v>
      </c>
      <c r="B23" s="13" t="s">
        <v>70</v>
      </c>
      <c r="C23" s="115"/>
      <c r="D23" s="72">
        <v>34</v>
      </c>
      <c r="E23" s="73">
        <v>4</v>
      </c>
      <c r="F23" s="74">
        <v>5.49</v>
      </c>
      <c r="G23" s="74">
        <f>E23*F23</f>
        <v>21.96</v>
      </c>
      <c r="H23" s="101" t="s">
        <v>71</v>
      </c>
      <c r="I23" s="179" t="s">
        <v>72</v>
      </c>
      <c r="J23" s="29">
        <v>10</v>
      </c>
      <c r="K23" s="12"/>
      <c r="L23" s="75"/>
    </row>
    <row r="24" spans="1:12">
      <c r="A24" s="17" t="s">
        <v>53</v>
      </c>
      <c r="B24" s="13" t="s">
        <v>73</v>
      </c>
      <c r="C24" s="127">
        <v>420</v>
      </c>
      <c r="D24" s="12">
        <v>4</v>
      </c>
      <c r="E24" s="73">
        <v>4</v>
      </c>
      <c r="F24" s="74">
        <v>15</v>
      </c>
      <c r="G24" s="74">
        <f>E24*F24</f>
        <v>60</v>
      </c>
      <c r="H24" s="101" t="s">
        <v>74</v>
      </c>
      <c r="I24" s="179" t="s">
        <v>65</v>
      </c>
      <c r="J24" s="29">
        <v>1</v>
      </c>
      <c r="K24" s="12"/>
      <c r="L24" s="75"/>
    </row>
    <row r="25" spans="1:12">
      <c r="A25" s="17" t="s">
        <v>53</v>
      </c>
      <c r="B25" s="13" t="s">
        <v>75</v>
      </c>
      <c r="C25" s="127">
        <v>480</v>
      </c>
      <c r="D25" s="12">
        <v>4</v>
      </c>
      <c r="E25" s="73">
        <v>4</v>
      </c>
      <c r="F25" s="74">
        <v>16</v>
      </c>
      <c r="G25" s="74">
        <f>E25*F25</f>
        <v>64</v>
      </c>
      <c r="H25" s="101" t="s">
        <v>76</v>
      </c>
      <c r="I25" s="179" t="s">
        <v>65</v>
      </c>
      <c r="J25" s="29">
        <v>1</v>
      </c>
      <c r="K25" s="12"/>
      <c r="L25" s="75"/>
    </row>
    <row r="26" spans="1:12" ht="15.75" customHeight="1">
      <c r="A26" s="17" t="s">
        <v>53</v>
      </c>
      <c r="B26" s="13" t="s">
        <v>77</v>
      </c>
      <c r="C26" s="127">
        <v>750</v>
      </c>
      <c r="D26" s="12">
        <v>4</v>
      </c>
      <c r="E26" s="73">
        <v>4</v>
      </c>
      <c r="F26" s="74">
        <v>40</v>
      </c>
      <c r="G26" s="74">
        <f>E26*F26</f>
        <v>160</v>
      </c>
      <c r="H26" s="101" t="s">
        <v>78</v>
      </c>
      <c r="I26" s="179" t="s">
        <v>65</v>
      </c>
      <c r="J26" s="29">
        <v>1</v>
      </c>
      <c r="K26" s="12"/>
      <c r="L26" s="75"/>
    </row>
    <row r="27" spans="1:12" ht="16.5" customHeight="1">
      <c r="A27" s="33" t="s">
        <v>53</v>
      </c>
      <c r="B27" s="178" t="s">
        <v>79</v>
      </c>
      <c r="C27" s="119">
        <v>410</v>
      </c>
      <c r="D27" s="80">
        <v>1</v>
      </c>
      <c r="E27" s="73">
        <v>1</v>
      </c>
      <c r="F27" s="74">
        <v>4.07</v>
      </c>
      <c r="G27" s="74">
        <f>E27*F27</f>
        <v>4.07</v>
      </c>
      <c r="H27" s="101" t="s">
        <v>80</v>
      </c>
      <c r="I27" s="181" t="s">
        <v>56</v>
      </c>
      <c r="J27" s="29">
        <v>1</v>
      </c>
      <c r="K27" s="12"/>
      <c r="L27" s="75"/>
    </row>
    <row r="28" spans="1:12" ht="16.5" customHeight="1">
      <c r="A28" s="17" t="s">
        <v>53</v>
      </c>
      <c r="B28" s="13" t="s">
        <v>81</v>
      </c>
      <c r="C28" s="115">
        <v>286</v>
      </c>
      <c r="D28" s="72">
        <v>2</v>
      </c>
      <c r="E28" s="73">
        <v>1</v>
      </c>
      <c r="F28" s="74">
        <v>18</v>
      </c>
      <c r="G28" s="74">
        <f>E28*F28</f>
        <v>18</v>
      </c>
      <c r="H28" s="100" t="s">
        <v>82</v>
      </c>
      <c r="I28" s="179" t="s">
        <v>83</v>
      </c>
      <c r="J28" s="29">
        <v>2</v>
      </c>
      <c r="K28" s="12"/>
      <c r="L28" s="75"/>
    </row>
    <row r="29" spans="1:12">
      <c r="A29" s="33" t="s">
        <v>84</v>
      </c>
      <c r="B29" s="13" t="s">
        <v>85</v>
      </c>
      <c r="C29" s="115"/>
      <c r="D29" s="60">
        <v>1</v>
      </c>
      <c r="E29" s="73">
        <v>1</v>
      </c>
      <c r="F29" s="74">
        <v>39.520000000000003</v>
      </c>
      <c r="G29" s="74">
        <f>E29*F29</f>
        <v>39.520000000000003</v>
      </c>
      <c r="H29" s="99" t="s">
        <v>86</v>
      </c>
      <c r="I29" s="179" t="s">
        <v>87</v>
      </c>
      <c r="J29" s="29">
        <v>1</v>
      </c>
      <c r="K29" s="12"/>
      <c r="L29" s="75"/>
    </row>
    <row r="30" spans="1:12">
      <c r="A30" s="17" t="s">
        <v>53</v>
      </c>
      <c r="B30" s="45" t="s">
        <v>88</v>
      </c>
      <c r="C30" s="114" t="s">
        <v>89</v>
      </c>
      <c r="D30" s="60">
        <v>1</v>
      </c>
      <c r="E30" s="73">
        <v>1</v>
      </c>
      <c r="F30" s="160">
        <v>100</v>
      </c>
      <c r="G30" s="74">
        <f>E30*F30</f>
        <v>100</v>
      </c>
      <c r="H30" s="161" t="s">
        <v>90</v>
      </c>
      <c r="I30" s="179" t="s">
        <v>91</v>
      </c>
      <c r="J30" s="29">
        <v>1</v>
      </c>
      <c r="K30" s="12"/>
      <c r="L30" s="75"/>
    </row>
    <row r="31" spans="1:12">
      <c r="A31" s="33" t="s">
        <v>84</v>
      </c>
      <c r="B31" s="182" t="s">
        <v>92</v>
      </c>
      <c r="C31" s="114" t="s">
        <v>93</v>
      </c>
      <c r="D31" s="76">
        <v>1</v>
      </c>
      <c r="E31" s="73">
        <v>1</v>
      </c>
      <c r="F31" s="74">
        <v>78.39</v>
      </c>
      <c r="G31" s="74">
        <f>E31*F31</f>
        <v>78.39</v>
      </c>
      <c r="H31" s="99" t="s">
        <v>94</v>
      </c>
      <c r="I31" s="179" t="s">
        <v>95</v>
      </c>
      <c r="J31" s="29">
        <v>1</v>
      </c>
      <c r="K31" s="12"/>
      <c r="L31" s="75"/>
    </row>
    <row r="32" spans="1:12">
      <c r="A32" s="17" t="s">
        <v>96</v>
      </c>
      <c r="B32" s="13" t="s">
        <v>97</v>
      </c>
      <c r="C32" s="116" t="s">
        <v>98</v>
      </c>
      <c r="D32" s="76">
        <v>28</v>
      </c>
      <c r="E32" s="73">
        <v>1</v>
      </c>
      <c r="F32" s="74">
        <v>60</v>
      </c>
      <c r="G32" s="74">
        <f>E32*F32</f>
        <v>60</v>
      </c>
      <c r="H32" s="101" t="s">
        <v>99</v>
      </c>
      <c r="I32" s="179" t="s">
        <v>100</v>
      </c>
      <c r="J32" s="29"/>
      <c r="K32" s="12"/>
      <c r="L32" s="75"/>
    </row>
    <row r="33" spans="1:12">
      <c r="A33" s="33" t="s">
        <v>84</v>
      </c>
      <c r="B33" s="42" t="s">
        <v>101</v>
      </c>
      <c r="C33" s="132"/>
      <c r="D33" s="60">
        <v>1</v>
      </c>
      <c r="E33" s="73">
        <v>1</v>
      </c>
      <c r="F33" s="74">
        <v>5</v>
      </c>
      <c r="G33" s="74">
        <f>E33*F33</f>
        <v>5</v>
      </c>
      <c r="H33" s="99" t="s">
        <v>102</v>
      </c>
      <c r="I33" s="106" t="s">
        <v>103</v>
      </c>
      <c r="J33" s="29">
        <v>5</v>
      </c>
      <c r="K33" s="12"/>
      <c r="L33" s="75"/>
    </row>
    <row r="34" spans="1:12">
      <c r="A34" s="33" t="s">
        <v>84</v>
      </c>
      <c r="B34" s="42" t="s">
        <v>104</v>
      </c>
      <c r="C34" s="132"/>
      <c r="D34" s="60">
        <v>2</v>
      </c>
      <c r="E34" s="73">
        <v>2</v>
      </c>
      <c r="F34" s="74">
        <v>5</v>
      </c>
      <c r="G34" s="74">
        <f>E34*F34</f>
        <v>10</v>
      </c>
      <c r="H34" s="99" t="s">
        <v>102</v>
      </c>
      <c r="I34" s="106" t="s">
        <v>103</v>
      </c>
      <c r="J34" s="29">
        <v>1</v>
      </c>
      <c r="K34" s="12"/>
      <c r="L34" s="75"/>
    </row>
    <row r="35" spans="1:12">
      <c r="A35" s="33" t="s">
        <v>84</v>
      </c>
      <c r="B35" s="81" t="s">
        <v>105</v>
      </c>
      <c r="C35" s="120"/>
      <c r="D35" s="15">
        <v>1</v>
      </c>
      <c r="E35" s="73">
        <v>1</v>
      </c>
      <c r="F35" s="74">
        <v>0.54</v>
      </c>
      <c r="G35" s="74">
        <f>E35*F35</f>
        <v>0.54</v>
      </c>
      <c r="H35" s="99" t="s">
        <v>106</v>
      </c>
      <c r="I35" s="181" t="s">
        <v>107</v>
      </c>
      <c r="J35" s="29">
        <v>1</v>
      </c>
      <c r="K35" s="12"/>
      <c r="L35" s="75"/>
    </row>
    <row r="36" spans="1:12">
      <c r="A36" s="33" t="s">
        <v>84</v>
      </c>
      <c r="B36" s="81" t="s">
        <v>108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109</v>
      </c>
      <c r="I36" s="181" t="s">
        <v>107</v>
      </c>
      <c r="J36" s="29">
        <v>1</v>
      </c>
      <c r="K36" s="12"/>
      <c r="L36" s="75"/>
    </row>
    <row r="37" spans="1:12">
      <c r="A37" s="33" t="s">
        <v>84</v>
      </c>
      <c r="B37" s="81" t="s">
        <v>110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111</v>
      </c>
      <c r="I37" s="181" t="s">
        <v>107</v>
      </c>
      <c r="J37" s="29">
        <v>1</v>
      </c>
      <c r="K37" s="12"/>
      <c r="L37" s="75"/>
    </row>
    <row r="38" spans="1:12">
      <c r="A38" s="33" t="s">
        <v>84</v>
      </c>
      <c r="B38" s="28" t="s">
        <v>112</v>
      </c>
      <c r="C38" s="183"/>
      <c r="D38" s="184">
        <v>2</v>
      </c>
      <c r="E38" s="73">
        <v>1</v>
      </c>
      <c r="F38" s="74">
        <v>1.45</v>
      </c>
      <c r="G38" s="74">
        <f>E38*F38</f>
        <v>1.45</v>
      </c>
      <c r="H38" s="99" t="s">
        <v>113</v>
      </c>
      <c r="I38" s="181" t="s">
        <v>107</v>
      </c>
      <c r="J38" s="29">
        <v>2</v>
      </c>
      <c r="K38" s="12"/>
      <c r="L38" s="75"/>
    </row>
    <row r="39" spans="1:12">
      <c r="A39" s="33" t="s">
        <v>84</v>
      </c>
      <c r="B39" s="185" t="s">
        <v>114</v>
      </c>
      <c r="C39" s="183"/>
      <c r="D39" s="184">
        <v>5</v>
      </c>
      <c r="E39" s="73">
        <v>1</v>
      </c>
      <c r="F39" s="74">
        <v>0.86</v>
      </c>
      <c r="G39" s="74">
        <f>E39*F39</f>
        <v>0.86</v>
      </c>
      <c r="H39" s="99" t="s">
        <v>115</v>
      </c>
      <c r="I39" s="181" t="s">
        <v>107</v>
      </c>
      <c r="J39" s="29">
        <v>5</v>
      </c>
      <c r="K39" s="12"/>
      <c r="L39" s="75"/>
    </row>
    <row r="40" spans="1:12">
      <c r="A40" s="33" t="s">
        <v>84</v>
      </c>
      <c r="B40" s="1" t="s">
        <v>116</v>
      </c>
      <c r="C40" s="183"/>
      <c r="D40" s="184">
        <v>2</v>
      </c>
      <c r="E40" s="73">
        <v>1</v>
      </c>
      <c r="F40" s="74">
        <v>1.45</v>
      </c>
      <c r="G40" s="74">
        <f>E40*F40</f>
        <v>1.45</v>
      </c>
      <c r="H40" s="99" t="s">
        <v>117</v>
      </c>
      <c r="I40" s="181" t="s">
        <v>107</v>
      </c>
      <c r="J40" s="29">
        <v>2</v>
      </c>
      <c r="K40" s="12"/>
      <c r="L40" s="75"/>
    </row>
    <row r="41" spans="1:12">
      <c r="A41" s="33" t="s">
        <v>84</v>
      </c>
      <c r="B41" s="1" t="s">
        <v>118</v>
      </c>
      <c r="C41" s="183"/>
      <c r="D41" s="15">
        <v>5</v>
      </c>
      <c r="E41" s="73">
        <v>1</v>
      </c>
      <c r="F41" s="74">
        <v>0.86</v>
      </c>
      <c r="G41" s="74">
        <f>E41*F41</f>
        <v>0.86</v>
      </c>
      <c r="H41" s="99" t="s">
        <v>119</v>
      </c>
      <c r="I41" s="181" t="s">
        <v>107</v>
      </c>
      <c r="J41" s="29">
        <v>5</v>
      </c>
      <c r="K41" s="12"/>
      <c r="L41" s="75"/>
    </row>
    <row r="42" spans="1:12">
      <c r="A42" s="33" t="s">
        <v>84</v>
      </c>
      <c r="B42" s="42" t="s">
        <v>120</v>
      </c>
      <c r="C42" s="132"/>
      <c r="D42" s="60">
        <v>1</v>
      </c>
      <c r="E42" s="73">
        <v>1</v>
      </c>
      <c r="F42" s="74">
        <v>5</v>
      </c>
      <c r="G42" s="74">
        <f>E42*F42</f>
        <v>5</v>
      </c>
      <c r="H42" s="99" t="s">
        <v>121</v>
      </c>
      <c r="I42" s="106" t="s">
        <v>103</v>
      </c>
      <c r="J42" s="29">
        <v>5</v>
      </c>
      <c r="K42" s="12"/>
      <c r="L42" s="75"/>
    </row>
    <row r="43" spans="1:12">
      <c r="A43" s="33" t="s">
        <v>84</v>
      </c>
      <c r="B43" s="165" t="s">
        <v>122</v>
      </c>
      <c r="C43" s="115"/>
      <c r="D43" s="60">
        <v>1</v>
      </c>
      <c r="E43" s="73">
        <v>1</v>
      </c>
      <c r="F43" s="74">
        <v>2.35</v>
      </c>
      <c r="G43" s="74">
        <f>E43*F43</f>
        <v>2.35</v>
      </c>
      <c r="H43" s="99" t="s">
        <v>123</v>
      </c>
      <c r="I43" s="181" t="s">
        <v>124</v>
      </c>
      <c r="J43" s="29">
        <v>10</v>
      </c>
      <c r="K43" s="12"/>
      <c r="L43" s="75"/>
    </row>
    <row r="44" spans="1:12" ht="15.75" customHeight="1">
      <c r="A44" s="33" t="s">
        <v>84</v>
      </c>
      <c r="B44" s="28" t="s">
        <v>125</v>
      </c>
      <c r="C44" s="183"/>
      <c r="D44" s="184">
        <v>2</v>
      </c>
      <c r="E44" s="73">
        <v>1</v>
      </c>
      <c r="F44" s="74">
        <v>1.45</v>
      </c>
      <c r="G44" s="74">
        <f>E44*F44</f>
        <v>1.45</v>
      </c>
      <c r="H44" s="99" t="s">
        <v>126</v>
      </c>
      <c r="I44" s="181" t="s">
        <v>107</v>
      </c>
      <c r="J44" s="29">
        <v>2</v>
      </c>
      <c r="K44" s="12"/>
      <c r="L44" s="75"/>
    </row>
    <row r="45" spans="1:12" ht="15.75" customHeight="1">
      <c r="A45" s="33" t="s">
        <v>84</v>
      </c>
      <c r="B45" s="28" t="s">
        <v>127</v>
      </c>
      <c r="C45" s="183"/>
      <c r="D45" s="15">
        <v>5</v>
      </c>
      <c r="E45" s="73">
        <v>1</v>
      </c>
      <c r="F45" s="74">
        <v>0.86</v>
      </c>
      <c r="G45" s="74">
        <f>E45*F45</f>
        <v>0.86</v>
      </c>
      <c r="H45" s="99" t="s">
        <v>128</v>
      </c>
      <c r="I45" s="181" t="s">
        <v>107</v>
      </c>
      <c r="J45" s="29">
        <v>5</v>
      </c>
      <c r="K45" s="12"/>
      <c r="L45" s="75"/>
    </row>
    <row r="46" spans="1:12" ht="15.75" customHeight="1">
      <c r="A46" s="33" t="s">
        <v>84</v>
      </c>
      <c r="B46" s="165" t="s">
        <v>129</v>
      </c>
      <c r="C46" s="183"/>
      <c r="D46" s="15">
        <v>5</v>
      </c>
      <c r="E46" s="73">
        <v>1</v>
      </c>
      <c r="F46" s="74">
        <v>3.77</v>
      </c>
      <c r="G46" s="74">
        <f>E46*F46</f>
        <v>3.77</v>
      </c>
      <c r="H46" s="99" t="s">
        <v>130</v>
      </c>
      <c r="I46" s="181" t="s">
        <v>107</v>
      </c>
      <c r="J46" s="29">
        <v>5</v>
      </c>
      <c r="K46" s="12"/>
      <c r="L46" s="75"/>
    </row>
    <row r="47" spans="1:12" ht="15.75" customHeight="1">
      <c r="A47" s="33" t="s">
        <v>84</v>
      </c>
      <c r="B47" s="28" t="s">
        <v>131</v>
      </c>
      <c r="C47" s="183"/>
      <c r="D47" s="184">
        <v>2</v>
      </c>
      <c r="E47" s="73">
        <v>1</v>
      </c>
      <c r="F47" s="74">
        <v>1.45</v>
      </c>
      <c r="G47" s="74">
        <f>E47*F47</f>
        <v>1.45</v>
      </c>
      <c r="H47" s="99" t="s">
        <v>132</v>
      </c>
      <c r="I47" s="181" t="s">
        <v>107</v>
      </c>
      <c r="J47" s="29">
        <v>2</v>
      </c>
      <c r="K47" s="12"/>
      <c r="L47" s="75"/>
    </row>
    <row r="48" spans="1:12">
      <c r="A48" s="33" t="s">
        <v>84</v>
      </c>
      <c r="B48" s="28" t="s">
        <v>133</v>
      </c>
      <c r="C48" s="183"/>
      <c r="D48" s="184">
        <v>5</v>
      </c>
      <c r="E48" s="73">
        <v>1</v>
      </c>
      <c r="F48" s="74">
        <v>0.86</v>
      </c>
      <c r="G48" s="74">
        <f>E48*F48</f>
        <v>0.86</v>
      </c>
      <c r="H48" s="99" t="s">
        <v>134</v>
      </c>
      <c r="I48" s="181" t="s">
        <v>107</v>
      </c>
      <c r="J48" s="29">
        <v>5</v>
      </c>
      <c r="K48" s="12"/>
      <c r="L48" s="75"/>
    </row>
    <row r="49" spans="1:12">
      <c r="A49" s="33" t="s">
        <v>84</v>
      </c>
      <c r="B49" s="165" t="s">
        <v>135</v>
      </c>
      <c r="C49" s="183"/>
      <c r="D49" s="184">
        <v>5</v>
      </c>
      <c r="E49" s="73">
        <v>1</v>
      </c>
      <c r="F49" s="74">
        <v>2.2200000000000002</v>
      </c>
      <c r="G49" s="74">
        <f>E49*F49</f>
        <v>2.2200000000000002</v>
      </c>
      <c r="H49" s="99" t="s">
        <v>136</v>
      </c>
      <c r="I49" s="181" t="s">
        <v>107</v>
      </c>
      <c r="J49" s="29">
        <v>5</v>
      </c>
      <c r="K49" s="12"/>
      <c r="L49" s="75"/>
    </row>
    <row r="50" spans="1:12">
      <c r="A50" s="33" t="s">
        <v>84</v>
      </c>
      <c r="B50" s="165" t="s">
        <v>137</v>
      </c>
      <c r="C50" s="183"/>
      <c r="D50" s="184">
        <v>5</v>
      </c>
      <c r="E50" s="73">
        <v>1</v>
      </c>
      <c r="F50" s="74">
        <v>0.86</v>
      </c>
      <c r="G50" s="74">
        <f>E50*F50</f>
        <v>0.86</v>
      </c>
      <c r="H50" s="99" t="s">
        <v>138</v>
      </c>
      <c r="I50" s="181" t="s">
        <v>107</v>
      </c>
      <c r="J50" s="29">
        <v>5</v>
      </c>
      <c r="K50" s="12"/>
      <c r="L50" s="75"/>
    </row>
    <row r="51" spans="1:12">
      <c r="A51" s="33" t="s">
        <v>84</v>
      </c>
      <c r="B51" s="165" t="s">
        <v>139</v>
      </c>
      <c r="C51" s="183"/>
      <c r="D51" s="165">
        <v>1</v>
      </c>
      <c r="E51" s="73">
        <v>1</v>
      </c>
      <c r="F51" s="74">
        <v>148</v>
      </c>
      <c r="G51" s="74">
        <f>E51*F51</f>
        <v>148</v>
      </c>
      <c r="H51" s="99" t="s">
        <v>140</v>
      </c>
      <c r="I51" s="181" t="s">
        <v>141</v>
      </c>
      <c r="J51" s="29">
        <v>1</v>
      </c>
      <c r="K51" s="12"/>
      <c r="L51" s="75"/>
    </row>
    <row r="52" spans="1:12">
      <c r="A52" s="133" t="s">
        <v>142</v>
      </c>
      <c r="B52" s="90" t="s">
        <v>143</v>
      </c>
      <c r="C52" s="129"/>
      <c r="D52" s="92">
        <v>1</v>
      </c>
      <c r="E52" s="93">
        <v>1</v>
      </c>
      <c r="F52" s="94">
        <v>68</v>
      </c>
      <c r="G52" s="94">
        <f>E52*F52</f>
        <v>68</v>
      </c>
      <c r="H52" s="100" t="s">
        <v>144</v>
      </c>
      <c r="I52" s="134" t="s">
        <v>145</v>
      </c>
      <c r="J52" s="135">
        <v>1</v>
      </c>
      <c r="K52" s="92"/>
      <c r="L52" s="95"/>
    </row>
    <row r="53" spans="1:12">
      <c r="A53" s="33" t="s">
        <v>84</v>
      </c>
      <c r="B53" s="82" t="s">
        <v>146</v>
      </c>
      <c r="C53" s="115"/>
      <c r="D53" s="60">
        <v>1</v>
      </c>
      <c r="E53" s="73">
        <v>1</v>
      </c>
      <c r="F53" s="74">
        <v>12.07</v>
      </c>
      <c r="G53" s="74">
        <f>E53*F53</f>
        <v>12.07</v>
      </c>
      <c r="H53" s="99" t="s">
        <v>147</v>
      </c>
      <c r="I53" s="179" t="s">
        <v>148</v>
      </c>
      <c r="J53" s="29">
        <v>1</v>
      </c>
      <c r="K53" s="12"/>
      <c r="L53" s="75"/>
    </row>
    <row r="54" spans="1:12">
      <c r="A54" s="33" t="s">
        <v>84</v>
      </c>
      <c r="B54" s="165" t="s">
        <v>149</v>
      </c>
      <c r="C54" s="120"/>
      <c r="D54" s="15">
        <v>1</v>
      </c>
      <c r="E54" s="73">
        <v>1</v>
      </c>
      <c r="F54" s="74">
        <v>33.590000000000003</v>
      </c>
      <c r="G54" s="74">
        <f>E54*F54</f>
        <v>33.590000000000003</v>
      </c>
      <c r="H54" s="99" t="s">
        <v>150</v>
      </c>
      <c r="I54" s="181" t="s">
        <v>124</v>
      </c>
      <c r="J54" s="29">
        <v>1</v>
      </c>
      <c r="K54" s="12"/>
      <c r="L54" s="75"/>
    </row>
    <row r="55" spans="1:12">
      <c r="A55" s="33" t="s">
        <v>84</v>
      </c>
      <c r="B55" s="186" t="s">
        <v>151</v>
      </c>
      <c r="C55" s="121"/>
      <c r="D55" s="60">
        <v>1</v>
      </c>
      <c r="E55" s="73">
        <v>1</v>
      </c>
      <c r="F55" s="74">
        <v>16.82</v>
      </c>
      <c r="G55" s="74">
        <f>E55*F55</f>
        <v>16.82</v>
      </c>
      <c r="H55" s="99" t="s">
        <v>152</v>
      </c>
      <c r="I55" s="179" t="s">
        <v>153</v>
      </c>
      <c r="J55" s="29">
        <v>1</v>
      </c>
      <c r="K55" s="12"/>
      <c r="L55" s="75"/>
    </row>
    <row r="56" spans="1:12">
      <c r="A56" s="17" t="s">
        <v>142</v>
      </c>
      <c r="B56" s="177" t="s">
        <v>154</v>
      </c>
      <c r="C56" s="123"/>
      <c r="D56" s="72">
        <v>1</v>
      </c>
      <c r="E56" s="73">
        <v>1</v>
      </c>
      <c r="F56" s="74">
        <v>35.42</v>
      </c>
      <c r="G56" s="74">
        <f>E56*F56</f>
        <v>35.42</v>
      </c>
      <c r="H56" s="100" t="s">
        <v>155</v>
      </c>
      <c r="I56" s="179" t="s">
        <v>156</v>
      </c>
      <c r="J56" s="29">
        <v>1</v>
      </c>
      <c r="K56" s="12"/>
      <c r="L56" s="75"/>
    </row>
    <row r="57" spans="1:12">
      <c r="A57" s="18" t="s">
        <v>84</v>
      </c>
      <c r="B57" t="s">
        <v>157</v>
      </c>
      <c r="C57" s="122"/>
      <c r="D57">
        <v>1</v>
      </c>
      <c r="E57">
        <v>1</v>
      </c>
      <c r="F57" s="74">
        <v>10.32</v>
      </c>
      <c r="G57" s="74">
        <f>E57*F57</f>
        <v>10.32</v>
      </c>
      <c r="H57" s="99" t="s">
        <v>158</v>
      </c>
      <c r="I57" s="187" t="s">
        <v>159</v>
      </c>
      <c r="J57" s="29">
        <v>1</v>
      </c>
      <c r="K57"/>
      <c r="L57" s="39"/>
    </row>
    <row r="58" spans="1:12">
      <c r="A58" s="18" t="s">
        <v>84</v>
      </c>
      <c r="B58" t="s">
        <v>160</v>
      </c>
      <c r="C58" s="115"/>
      <c r="D58" s="12">
        <v>2</v>
      </c>
      <c r="E58" s="73">
        <v>2</v>
      </c>
      <c r="F58" s="74">
        <v>5.07</v>
      </c>
      <c r="G58" s="74">
        <f>E58*F58</f>
        <v>10.14</v>
      </c>
      <c r="H58" s="99" t="s">
        <v>161</v>
      </c>
      <c r="I58" s="179" t="s">
        <v>87</v>
      </c>
      <c r="J58" s="29">
        <v>1</v>
      </c>
      <c r="K58" s="12"/>
      <c r="L58" s="75"/>
    </row>
    <row r="59" spans="1:12">
      <c r="A59" s="17" t="s">
        <v>162</v>
      </c>
      <c r="B59" s="13" t="s">
        <v>163</v>
      </c>
      <c r="C59" s="115"/>
      <c r="D59" s="80">
        <v>5</v>
      </c>
      <c r="E59" s="73">
        <v>1</v>
      </c>
      <c r="F59" s="74">
        <v>18.79</v>
      </c>
      <c r="G59" s="74">
        <f>E59*F59</f>
        <v>18.79</v>
      </c>
      <c r="H59" s="100" t="s">
        <v>164</v>
      </c>
      <c r="I59" s="179" t="s">
        <v>165</v>
      </c>
      <c r="J59" s="29">
        <v>1</v>
      </c>
      <c r="K59" s="12"/>
      <c r="L59" s="75"/>
    </row>
    <row r="60" spans="1:12">
      <c r="A60" s="17" t="s">
        <v>162</v>
      </c>
      <c r="B60" s="13" t="s">
        <v>166</v>
      </c>
      <c r="C60" s="115"/>
      <c r="D60" s="76">
        <v>2</v>
      </c>
      <c r="E60" s="73">
        <v>2</v>
      </c>
      <c r="F60" s="74">
        <v>2</v>
      </c>
      <c r="G60" s="74">
        <f>E60*F60</f>
        <v>4</v>
      </c>
      <c r="H60" s="100" t="s">
        <v>167</v>
      </c>
      <c r="I60" s="179" t="s">
        <v>165</v>
      </c>
      <c r="J60" s="29">
        <v>1</v>
      </c>
      <c r="K60" s="12"/>
      <c r="L60" s="75"/>
    </row>
    <row r="61" spans="1:12">
      <c r="A61" s="17" t="s">
        <v>162</v>
      </c>
      <c r="B61" s="83" t="s">
        <v>168</v>
      </c>
      <c r="C61" s="115"/>
      <c r="D61" s="76">
        <v>3</v>
      </c>
      <c r="E61" s="73">
        <v>3</v>
      </c>
      <c r="F61" s="74">
        <v>16</v>
      </c>
      <c r="G61" s="74">
        <f>E61*F61</f>
        <v>48</v>
      </c>
      <c r="H61" s="100" t="s">
        <v>169</v>
      </c>
      <c r="I61" s="179" t="s">
        <v>165</v>
      </c>
      <c r="J61" s="29">
        <v>1</v>
      </c>
      <c r="K61" s="12"/>
      <c r="L61" s="75"/>
    </row>
    <row r="62" spans="1:12">
      <c r="A62" s="17" t="s">
        <v>162</v>
      </c>
      <c r="B62" s="80" t="s">
        <v>170</v>
      </c>
      <c r="C62" s="119"/>
      <c r="D62" s="76">
        <v>6</v>
      </c>
      <c r="E62" s="73">
        <v>1</v>
      </c>
      <c r="F62" s="74">
        <v>12</v>
      </c>
      <c r="G62" s="74">
        <f>E62*F62</f>
        <v>12</v>
      </c>
      <c r="H62" s="100" t="s">
        <v>171</v>
      </c>
      <c r="I62" s="179" t="s">
        <v>165</v>
      </c>
      <c r="J62" s="29">
        <v>10</v>
      </c>
      <c r="K62" s="12"/>
      <c r="L62" s="75"/>
    </row>
    <row r="63" spans="1:12">
      <c r="A63" s="17" t="s">
        <v>162</v>
      </c>
      <c r="B63" s="84" t="s">
        <v>172</v>
      </c>
      <c r="C63" s="115"/>
      <c r="D63" s="80">
        <v>4</v>
      </c>
      <c r="E63" s="73">
        <v>1</v>
      </c>
      <c r="F63" s="74">
        <v>25</v>
      </c>
      <c r="G63" s="74">
        <f>E63*F63</f>
        <v>25</v>
      </c>
      <c r="H63" s="100" t="s">
        <v>173</v>
      </c>
      <c r="I63" s="179" t="s">
        <v>165</v>
      </c>
      <c r="J63" s="29">
        <v>5</v>
      </c>
      <c r="K63" s="12"/>
      <c r="L63" s="75"/>
    </row>
    <row r="64" spans="1:12">
      <c r="A64" s="33" t="s">
        <v>84</v>
      </c>
      <c r="B64" s="12" t="s">
        <v>174</v>
      </c>
      <c r="D64" s="12">
        <v>1</v>
      </c>
      <c r="E64" s="73">
        <v>1</v>
      </c>
      <c r="F64" s="74">
        <v>3.35</v>
      </c>
      <c r="G64" s="74">
        <f>E64*F64</f>
        <v>3.35</v>
      </c>
      <c r="H64" s="99" t="s">
        <v>175</v>
      </c>
      <c r="I64" s="107" t="s">
        <v>176</v>
      </c>
      <c r="J64" s="29">
        <v>2</v>
      </c>
      <c r="K64" s="12"/>
      <c r="L64" s="75"/>
    </row>
    <row r="65" spans="1:12">
      <c r="A65" s="33" t="s">
        <v>84</v>
      </c>
      <c r="B65" s="12" t="s">
        <v>177</v>
      </c>
      <c r="D65" s="12">
        <v>1</v>
      </c>
      <c r="E65" s="73">
        <v>1</v>
      </c>
      <c r="F65" s="74">
        <v>3.25</v>
      </c>
      <c r="G65" s="74">
        <f>E65*F65</f>
        <v>3.25</v>
      </c>
      <c r="H65" s="99" t="s">
        <v>178</v>
      </c>
      <c r="I65" s="107" t="s">
        <v>176</v>
      </c>
      <c r="J65" s="29">
        <v>2</v>
      </c>
      <c r="K65" s="12"/>
      <c r="L65" s="75"/>
    </row>
    <row r="66" spans="1:12">
      <c r="A66" s="33" t="s">
        <v>84</v>
      </c>
      <c r="B66" s="59" t="s">
        <v>179</v>
      </c>
      <c r="C66" s="115"/>
      <c r="D66" s="60">
        <v>1</v>
      </c>
      <c r="E66" s="73">
        <v>1</v>
      </c>
      <c r="F66" s="74">
        <v>4.95</v>
      </c>
      <c r="G66" s="74">
        <f>E66*F66</f>
        <v>4.95</v>
      </c>
      <c r="H66" s="99" t="s">
        <v>180</v>
      </c>
      <c r="I66" s="108" t="s">
        <v>181</v>
      </c>
      <c r="J66" s="29">
        <v>1</v>
      </c>
      <c r="K66" s="12"/>
      <c r="L66" s="75"/>
    </row>
    <row r="67" spans="1:12">
      <c r="A67" s="33" t="s">
        <v>84</v>
      </c>
      <c r="B67" s="59" t="s">
        <v>182</v>
      </c>
      <c r="C67" s="115"/>
      <c r="D67" s="60">
        <v>1</v>
      </c>
      <c r="E67" s="73">
        <v>1</v>
      </c>
      <c r="F67" s="74">
        <v>4.9000000000000004</v>
      </c>
      <c r="G67" s="74">
        <f>E67*F67</f>
        <v>4.9000000000000004</v>
      </c>
      <c r="H67" s="99" t="s">
        <v>183</v>
      </c>
      <c r="I67" s="108" t="s">
        <v>181</v>
      </c>
      <c r="J67" s="29">
        <v>1</v>
      </c>
      <c r="K67" s="12"/>
      <c r="L67" s="75"/>
    </row>
    <row r="68" spans="1:12">
      <c r="A68" s="33" t="s">
        <v>84</v>
      </c>
      <c r="B68" s="59" t="s">
        <v>184</v>
      </c>
      <c r="C68" s="115"/>
      <c r="D68" s="60">
        <v>2</v>
      </c>
      <c r="E68" s="73">
        <v>2</v>
      </c>
      <c r="F68" s="74">
        <v>4.45</v>
      </c>
      <c r="G68" s="74">
        <f>E68*F68</f>
        <v>8.9</v>
      </c>
      <c r="H68" s="99" t="s">
        <v>185</v>
      </c>
      <c r="I68" s="108" t="s">
        <v>181</v>
      </c>
      <c r="J68" s="29">
        <v>1</v>
      </c>
      <c r="K68" s="12"/>
      <c r="L68" s="75"/>
    </row>
    <row r="69" spans="1:12">
      <c r="A69" s="33" t="s">
        <v>84</v>
      </c>
      <c r="B69" s="59" t="s">
        <v>186</v>
      </c>
      <c r="C69" s="115"/>
      <c r="D69" s="60">
        <v>2</v>
      </c>
      <c r="E69" s="73">
        <v>2</v>
      </c>
      <c r="F69" s="74">
        <v>4.3499999999999996</v>
      </c>
      <c r="G69" s="74">
        <f>E69*F69</f>
        <v>8.6999999999999993</v>
      </c>
      <c r="H69" s="99" t="s">
        <v>187</v>
      </c>
      <c r="I69" s="108" t="s">
        <v>181</v>
      </c>
      <c r="J69" s="29">
        <v>1</v>
      </c>
      <c r="K69" s="12"/>
      <c r="L69" s="75"/>
    </row>
    <row r="70" spans="1:12">
      <c r="A70" s="33" t="s">
        <v>84</v>
      </c>
      <c r="B70" s="177" t="s">
        <v>188</v>
      </c>
      <c r="C70" s="123"/>
      <c r="D70" s="72">
        <v>1</v>
      </c>
      <c r="E70" s="73">
        <v>1</v>
      </c>
      <c r="F70" s="74">
        <v>3.92</v>
      </c>
      <c r="G70" s="74">
        <f>E70*F70</f>
        <v>3.92</v>
      </c>
      <c r="H70" s="99" t="s">
        <v>161</v>
      </c>
      <c r="I70" s="179" t="s">
        <v>87</v>
      </c>
      <c r="J70" s="29">
        <v>1</v>
      </c>
      <c r="K70" s="12"/>
      <c r="L70" s="75"/>
    </row>
    <row r="71" spans="1:12">
      <c r="A71" s="33" t="s">
        <v>84</v>
      </c>
      <c r="B71" s="13" t="s">
        <v>189</v>
      </c>
      <c r="C71" s="115"/>
      <c r="D71" s="60">
        <v>1</v>
      </c>
      <c r="E71" s="73">
        <v>1</v>
      </c>
      <c r="F71" s="74">
        <v>13.9</v>
      </c>
      <c r="G71" s="74">
        <f>E71*F71</f>
        <v>13.9</v>
      </c>
      <c r="H71" s="99" t="s">
        <v>190</v>
      </c>
      <c r="I71" s="179" t="s">
        <v>191</v>
      </c>
      <c r="J71" s="29">
        <v>1</v>
      </c>
      <c r="K71" s="12"/>
      <c r="L71" s="75"/>
    </row>
    <row r="72" spans="1:12">
      <c r="A72" s="17" t="s">
        <v>142</v>
      </c>
      <c r="B72" s="1" t="s">
        <v>192</v>
      </c>
      <c r="C72" s="130"/>
      <c r="D72" s="15">
        <v>1</v>
      </c>
      <c r="E72" s="15">
        <v>1</v>
      </c>
      <c r="F72" s="74">
        <v>18</v>
      </c>
      <c r="G72" s="74">
        <f>E72*F72</f>
        <v>18</v>
      </c>
      <c r="H72" s="100" t="s">
        <v>193</v>
      </c>
      <c r="I72" s="179" t="s">
        <v>87</v>
      </c>
      <c r="J72" s="29">
        <v>1</v>
      </c>
      <c r="K72" s="12"/>
      <c r="L72" s="75"/>
    </row>
    <row r="73" spans="1:12">
      <c r="A73" s="33" t="s">
        <v>194</v>
      </c>
      <c r="B73" s="86" t="s">
        <v>195</v>
      </c>
      <c r="C73" s="124"/>
      <c r="D73" s="87">
        <v>6</v>
      </c>
      <c r="E73" s="73">
        <v>6</v>
      </c>
      <c r="F73" s="74">
        <v>2.23</v>
      </c>
      <c r="G73" s="74">
        <f>E73*F73</f>
        <v>13.379999999999999</v>
      </c>
      <c r="H73" s="100" t="s">
        <v>196</v>
      </c>
      <c r="I73" s="104" t="s">
        <v>197</v>
      </c>
      <c r="J73" s="29">
        <v>1</v>
      </c>
      <c r="K73" s="12"/>
      <c r="L73" s="75"/>
    </row>
    <row r="74" spans="1:12">
      <c r="A74" s="33" t="s">
        <v>194</v>
      </c>
      <c r="B74" s="60" t="s">
        <v>198</v>
      </c>
      <c r="C74" s="123"/>
      <c r="D74" s="72">
        <v>1</v>
      </c>
      <c r="E74" s="73">
        <v>1</v>
      </c>
      <c r="F74" s="74">
        <v>12.69</v>
      </c>
      <c r="G74" s="74">
        <f>E74*F74</f>
        <v>12.69</v>
      </c>
      <c r="H74" s="100" t="s">
        <v>199</v>
      </c>
      <c r="I74" s="104" t="s">
        <v>200</v>
      </c>
      <c r="J74" s="29">
        <v>1</v>
      </c>
      <c r="K74" s="12"/>
      <c r="L74" s="75"/>
    </row>
    <row r="75" spans="1:12">
      <c r="A75" s="17" t="s">
        <v>194</v>
      </c>
      <c r="B75" s="185" t="s">
        <v>201</v>
      </c>
      <c r="C75" s="125"/>
      <c r="D75" s="87">
        <v>1</v>
      </c>
      <c r="E75" s="73">
        <v>1</v>
      </c>
      <c r="F75" s="74">
        <v>13.87</v>
      </c>
      <c r="G75" s="74">
        <f>E75*F75</f>
        <v>13.87</v>
      </c>
      <c r="H75" s="99" t="s">
        <v>202</v>
      </c>
      <c r="I75" s="179" t="s">
        <v>203</v>
      </c>
      <c r="J75" s="29">
        <v>1</v>
      </c>
      <c r="K75" s="12"/>
      <c r="L75" s="75"/>
    </row>
    <row r="76" spans="1:12" ht="15.75" customHeight="1">
      <c r="A76" s="17" t="s">
        <v>194</v>
      </c>
      <c r="B76" s="185" t="s">
        <v>204</v>
      </c>
      <c r="C76" s="125"/>
      <c r="D76" s="87">
        <v>1</v>
      </c>
      <c r="E76" s="73">
        <v>1</v>
      </c>
      <c r="F76" s="74">
        <v>30.61</v>
      </c>
      <c r="G76" s="74">
        <f>E76*F76</f>
        <v>30.61</v>
      </c>
      <c r="H76" s="99" t="s">
        <v>205</v>
      </c>
      <c r="I76" s="179" t="s">
        <v>206</v>
      </c>
      <c r="J76" s="29">
        <v>1</v>
      </c>
      <c r="K76" s="12"/>
      <c r="L76" s="75"/>
    </row>
    <row r="77" spans="1:12">
      <c r="A77" s="33" t="s">
        <v>194</v>
      </c>
      <c r="B77" s="177" t="s">
        <v>207</v>
      </c>
      <c r="C77" s="115"/>
      <c r="D77" s="88">
        <v>2</v>
      </c>
      <c r="E77" s="73">
        <v>1</v>
      </c>
      <c r="F77" s="74">
        <v>3.49</v>
      </c>
      <c r="G77" s="74">
        <f>E77*F77</f>
        <v>3.49</v>
      </c>
      <c r="H77" s="100" t="s">
        <v>208</v>
      </c>
      <c r="I77" s="179" t="s">
        <v>209</v>
      </c>
      <c r="J77" s="29">
        <v>5</v>
      </c>
      <c r="K77" s="12"/>
      <c r="L77" s="75"/>
    </row>
    <row r="78" spans="1:12">
      <c r="A78" s="33" t="s">
        <v>194</v>
      </c>
      <c r="B78" s="86" t="s">
        <v>210</v>
      </c>
      <c r="C78" s="124"/>
      <c r="D78" s="87">
        <v>1</v>
      </c>
      <c r="E78" s="73">
        <v>1</v>
      </c>
      <c r="F78" s="74">
        <v>44</v>
      </c>
      <c r="G78" s="74">
        <f>E78*F78</f>
        <v>44</v>
      </c>
      <c r="H78" s="99" t="s">
        <v>211</v>
      </c>
      <c r="I78" s="179" t="s">
        <v>212</v>
      </c>
      <c r="J78" s="29">
        <v>1</v>
      </c>
      <c r="K78" s="12"/>
      <c r="L78" s="75"/>
    </row>
    <row r="79" spans="1:12">
      <c r="A79" s="33" t="s">
        <v>194</v>
      </c>
      <c r="B79" s="185" t="s">
        <v>213</v>
      </c>
      <c r="C79" s="125"/>
      <c r="D79" s="87">
        <v>1</v>
      </c>
      <c r="E79" s="73">
        <v>1</v>
      </c>
      <c r="F79" s="74">
        <v>30</v>
      </c>
      <c r="G79" s="74">
        <f>E79*F79</f>
        <v>30</v>
      </c>
      <c r="H79" s="99" t="s">
        <v>214</v>
      </c>
      <c r="I79" s="179" t="s">
        <v>212</v>
      </c>
      <c r="J79" s="29">
        <v>1</v>
      </c>
      <c r="K79" s="12"/>
      <c r="L79" s="75"/>
    </row>
    <row r="80" spans="1:12">
      <c r="A80" s="33" t="s">
        <v>194</v>
      </c>
      <c r="B80" s="86" t="s">
        <v>215</v>
      </c>
      <c r="C80" s="124"/>
      <c r="D80" s="87">
        <v>3</v>
      </c>
      <c r="E80" s="73">
        <v>1</v>
      </c>
      <c r="F80" s="74">
        <v>9.42</v>
      </c>
      <c r="G80" s="74">
        <f>E80*F80</f>
        <v>9.42</v>
      </c>
      <c r="H80" s="99" t="s">
        <v>216</v>
      </c>
      <c r="I80" s="179" t="s">
        <v>217</v>
      </c>
      <c r="J80" s="29">
        <v>5</v>
      </c>
      <c r="K80" s="12"/>
      <c r="L80" s="75"/>
    </row>
    <row r="81" spans="1:15">
      <c r="A81" s="33" t="s">
        <v>84</v>
      </c>
      <c r="B81" s="185" t="s">
        <v>218</v>
      </c>
      <c r="C81" s="120"/>
      <c r="D81" s="165">
        <v>1</v>
      </c>
      <c r="E81" s="73">
        <v>1</v>
      </c>
      <c r="F81" s="74">
        <v>6.35</v>
      </c>
      <c r="G81" s="74">
        <f>E81*F81</f>
        <v>6.35</v>
      </c>
      <c r="H81" s="99" t="s">
        <v>219</v>
      </c>
      <c r="I81" s="181" t="s">
        <v>220</v>
      </c>
      <c r="J81" s="29">
        <v>1</v>
      </c>
      <c r="K81" s="12"/>
      <c r="L81" s="75"/>
    </row>
    <row r="82" spans="1:15">
      <c r="A82" s="33" t="s">
        <v>84</v>
      </c>
      <c r="B82" s="186" t="s">
        <v>221</v>
      </c>
      <c r="C82" s="188"/>
      <c r="D82" s="186">
        <v>1</v>
      </c>
      <c r="E82" s="73">
        <v>1</v>
      </c>
      <c r="F82" s="74">
        <v>3.95</v>
      </c>
      <c r="G82" s="74">
        <f>E82*F82</f>
        <v>3.95</v>
      </c>
      <c r="H82" s="99" t="s">
        <v>222</v>
      </c>
      <c r="I82" s="179" t="s">
        <v>223</v>
      </c>
      <c r="J82" s="29">
        <v>1</v>
      </c>
      <c r="K82" s="12"/>
      <c r="L82" s="75"/>
    </row>
    <row r="83" spans="1:15">
      <c r="A83" s="33" t="s">
        <v>84</v>
      </c>
      <c r="B83" s="82" t="s">
        <v>224</v>
      </c>
      <c r="C83" s="115"/>
      <c r="D83" s="186">
        <v>1</v>
      </c>
      <c r="E83" s="73">
        <v>1</v>
      </c>
      <c r="F83" s="74">
        <v>11.5</v>
      </c>
      <c r="G83" s="74">
        <f>E83*F83</f>
        <v>11.5</v>
      </c>
      <c r="H83" s="99" t="s">
        <v>225</v>
      </c>
      <c r="I83" s="179" t="s">
        <v>223</v>
      </c>
      <c r="J83" s="29">
        <v>1</v>
      </c>
      <c r="K83" s="12"/>
      <c r="L83" s="75"/>
    </row>
    <row r="84" spans="1:15">
      <c r="A84" s="33" t="s">
        <v>20</v>
      </c>
      <c r="B84" s="13" t="s">
        <v>226</v>
      </c>
      <c r="D84" s="12">
        <v>48</v>
      </c>
      <c r="E84" s="73">
        <v>2</v>
      </c>
      <c r="F84" s="74">
        <v>1</v>
      </c>
      <c r="G84" s="74">
        <f>E84*F84</f>
        <v>2</v>
      </c>
      <c r="H84" s="100" t="s">
        <v>227</v>
      </c>
      <c r="I84" s="107" t="s">
        <v>15</v>
      </c>
      <c r="J84" s="29">
        <v>25</v>
      </c>
      <c r="K84" s="12">
        <v>934</v>
      </c>
      <c r="L84" s="75"/>
    </row>
    <row r="85" spans="1:15">
      <c r="A85" s="33" t="s">
        <v>20</v>
      </c>
      <c r="B85" s="13" t="s">
        <v>228</v>
      </c>
      <c r="D85" s="12">
        <v>94</v>
      </c>
      <c r="E85" s="73">
        <v>2</v>
      </c>
      <c r="F85" s="74">
        <v>3</v>
      </c>
      <c r="G85" s="74">
        <f>E85*F85</f>
        <v>6</v>
      </c>
      <c r="H85" s="100" t="s">
        <v>229</v>
      </c>
      <c r="I85" s="179" t="s">
        <v>62</v>
      </c>
      <c r="J85" s="29">
        <v>50</v>
      </c>
      <c r="K85" s="12"/>
      <c r="L85" s="75"/>
    </row>
    <row r="86" spans="1:15">
      <c r="A86" s="33" t="s">
        <v>20</v>
      </c>
      <c r="B86" s="13" t="s">
        <v>230</v>
      </c>
      <c r="C86" s="116"/>
      <c r="D86" s="76">
        <v>11</v>
      </c>
      <c r="E86" s="73">
        <v>2</v>
      </c>
      <c r="F86" s="74">
        <v>1</v>
      </c>
      <c r="G86" s="74">
        <f>E86*F86</f>
        <v>2</v>
      </c>
      <c r="H86" s="100" t="s">
        <v>231</v>
      </c>
      <c r="I86" s="107" t="s">
        <v>15</v>
      </c>
      <c r="J86" s="29">
        <v>10</v>
      </c>
      <c r="K86" s="76">
        <v>985</v>
      </c>
      <c r="L86" s="78"/>
    </row>
    <row r="87" spans="1:15">
      <c r="A87" s="33" t="s">
        <v>20</v>
      </c>
      <c r="B87" s="77" t="s">
        <v>232</v>
      </c>
      <c r="C87" s="117"/>
      <c r="D87" s="76">
        <v>88</v>
      </c>
      <c r="E87" s="73">
        <v>2</v>
      </c>
      <c r="F87" s="74">
        <v>2.0099999999999998</v>
      </c>
      <c r="G87" s="74">
        <f>E87*F87</f>
        <v>4.0199999999999996</v>
      </c>
      <c r="H87" s="100" t="s">
        <v>233</v>
      </c>
      <c r="I87" s="107" t="s">
        <v>15</v>
      </c>
      <c r="J87" s="29">
        <v>50</v>
      </c>
      <c r="K87" s="12">
        <v>125</v>
      </c>
      <c r="L87" s="75"/>
    </row>
    <row r="88" spans="1:15">
      <c r="A88" s="33" t="s">
        <v>20</v>
      </c>
      <c r="B88" s="13" t="s">
        <v>234</v>
      </c>
      <c r="D88" s="12">
        <v>7</v>
      </c>
      <c r="E88" s="73">
        <v>1</v>
      </c>
      <c r="F88" s="74">
        <v>2.06</v>
      </c>
      <c r="G88" s="74">
        <f>E88*F88</f>
        <v>2.06</v>
      </c>
      <c r="H88" s="101" t="s">
        <v>235</v>
      </c>
      <c r="I88" s="107" t="s">
        <v>15</v>
      </c>
      <c r="J88" s="29">
        <v>50</v>
      </c>
      <c r="K88" s="12">
        <v>913</v>
      </c>
      <c r="L88" s="75"/>
    </row>
    <row r="89" spans="1:15">
      <c r="A89" s="33" t="s">
        <v>20</v>
      </c>
      <c r="B89" s="13" t="s">
        <v>236</v>
      </c>
      <c r="C89" s="115"/>
      <c r="D89" s="12">
        <v>4</v>
      </c>
      <c r="E89" s="73">
        <v>1</v>
      </c>
      <c r="F89" s="74">
        <v>2.74</v>
      </c>
      <c r="G89" s="74">
        <f>E89*F89</f>
        <v>2.74</v>
      </c>
      <c r="H89" s="101" t="s">
        <v>237</v>
      </c>
      <c r="I89" s="107" t="s">
        <v>15</v>
      </c>
      <c r="J89" s="29">
        <v>20</v>
      </c>
      <c r="K89" s="12">
        <v>916</v>
      </c>
      <c r="L89" s="75"/>
    </row>
    <row r="90" spans="1:15">
      <c r="A90" s="33" t="s">
        <v>20</v>
      </c>
      <c r="B90" s="77" t="s">
        <v>238</v>
      </c>
      <c r="C90" s="117"/>
      <c r="D90" s="12">
        <v>8</v>
      </c>
      <c r="E90" s="73">
        <v>1</v>
      </c>
      <c r="F90" s="74">
        <v>2.2599999999999998</v>
      </c>
      <c r="G90" s="74">
        <f>E90*F90</f>
        <v>2.2599999999999998</v>
      </c>
      <c r="H90" s="101" t="s">
        <v>239</v>
      </c>
      <c r="I90" s="107" t="s">
        <v>15</v>
      </c>
      <c r="J90" s="29">
        <v>25</v>
      </c>
      <c r="K90" s="76"/>
      <c r="L90" s="78">
        <v>7380</v>
      </c>
    </row>
    <row r="91" spans="1:15">
      <c r="A91" s="17" t="s">
        <v>20</v>
      </c>
      <c r="B91" s="12" t="s">
        <v>240</v>
      </c>
      <c r="C91" s="116"/>
      <c r="D91" s="12">
        <v>16</v>
      </c>
      <c r="E91" s="73">
        <v>1</v>
      </c>
      <c r="F91" s="74">
        <v>2.2599999999999998</v>
      </c>
      <c r="G91" s="74">
        <f>E91*F91</f>
        <v>2.2599999999999998</v>
      </c>
      <c r="H91" s="101" t="s">
        <v>239</v>
      </c>
      <c r="I91" s="107" t="s">
        <v>15</v>
      </c>
      <c r="J91" s="29">
        <v>25</v>
      </c>
      <c r="K91" s="12">
        <v>7991</v>
      </c>
      <c r="L91" s="75"/>
    </row>
    <row r="92" spans="1:15">
      <c r="A92" s="33" t="s">
        <v>20</v>
      </c>
      <c r="B92" s="77" t="s">
        <v>241</v>
      </c>
      <c r="C92" s="117"/>
      <c r="D92" s="12">
        <v>122</v>
      </c>
      <c r="E92" s="73">
        <v>13</v>
      </c>
      <c r="F92" s="74">
        <v>2</v>
      </c>
      <c r="G92" s="74">
        <f>E92*F92</f>
        <v>26</v>
      </c>
      <c r="H92" s="101" t="s">
        <v>242</v>
      </c>
      <c r="I92" s="107" t="s">
        <v>15</v>
      </c>
      <c r="J92" s="29">
        <v>10</v>
      </c>
      <c r="K92" s="12">
        <v>912</v>
      </c>
      <c r="L92" s="75"/>
    </row>
    <row r="93" spans="1:15">
      <c r="A93" s="17" t="s">
        <v>20</v>
      </c>
      <c r="B93" s="77" t="s">
        <v>243</v>
      </c>
      <c r="C93" s="117"/>
      <c r="D93" s="12">
        <v>38</v>
      </c>
      <c r="E93" s="73">
        <v>4</v>
      </c>
      <c r="F93" s="74">
        <v>2.83</v>
      </c>
      <c r="G93" s="74">
        <f>E93*F93</f>
        <v>11.32</v>
      </c>
      <c r="H93" s="101" t="s">
        <v>244</v>
      </c>
      <c r="I93" s="107" t="s">
        <v>15</v>
      </c>
      <c r="J93" s="29">
        <v>10</v>
      </c>
      <c r="K93" s="76">
        <v>912</v>
      </c>
      <c r="L93" s="78"/>
    </row>
    <row r="94" spans="1:15">
      <c r="A94" s="17" t="s">
        <v>20</v>
      </c>
      <c r="B94" s="13" t="s">
        <v>245</v>
      </c>
      <c r="C94" s="115"/>
      <c r="D94" s="12">
        <v>6</v>
      </c>
      <c r="E94" s="73">
        <v>1</v>
      </c>
      <c r="F94" s="74">
        <v>2.34</v>
      </c>
      <c r="G94" s="74">
        <f>E94*F94</f>
        <v>2.34</v>
      </c>
      <c r="H94" s="101" t="s">
        <v>246</v>
      </c>
      <c r="I94" s="107" t="s">
        <v>15</v>
      </c>
      <c r="J94" s="29">
        <v>25</v>
      </c>
      <c r="K94" s="12"/>
      <c r="L94" s="75"/>
    </row>
    <row r="95" spans="1:15">
      <c r="A95" s="17" t="s">
        <v>20</v>
      </c>
      <c r="B95" s="12" t="s">
        <v>247</v>
      </c>
      <c r="C95" s="115"/>
      <c r="D95" s="12">
        <v>20</v>
      </c>
      <c r="E95" s="73">
        <v>2</v>
      </c>
      <c r="F95" s="74">
        <v>2.91</v>
      </c>
      <c r="G95" s="74">
        <f>E95*F95</f>
        <v>5.82</v>
      </c>
      <c r="H95" s="101" t="s">
        <v>248</v>
      </c>
      <c r="I95" s="107" t="s">
        <v>15</v>
      </c>
      <c r="J95" s="29">
        <v>10</v>
      </c>
      <c r="K95" s="12">
        <v>912</v>
      </c>
      <c r="L95" s="75"/>
      <c r="O95" s="12" t="s">
        <v>249</v>
      </c>
    </row>
    <row r="96" spans="1:15">
      <c r="A96" s="17" t="s">
        <v>20</v>
      </c>
      <c r="B96" s="12" t="s">
        <v>250</v>
      </c>
      <c r="C96" s="115"/>
      <c r="D96" s="12">
        <v>1</v>
      </c>
      <c r="E96" s="73">
        <v>1</v>
      </c>
      <c r="F96" s="74">
        <v>3.05</v>
      </c>
      <c r="G96" s="74">
        <f>E96*F96</f>
        <v>3.05</v>
      </c>
      <c r="H96" s="101" t="s">
        <v>251</v>
      </c>
      <c r="I96" s="107" t="s">
        <v>15</v>
      </c>
      <c r="J96" s="29">
        <v>25</v>
      </c>
      <c r="K96" s="12"/>
      <c r="L96" s="75"/>
    </row>
    <row r="97" spans="1:12">
      <c r="A97" s="17" t="s">
        <v>20</v>
      </c>
      <c r="B97" s="13" t="s">
        <v>252</v>
      </c>
      <c r="C97" s="116"/>
      <c r="D97" s="12">
        <v>7</v>
      </c>
      <c r="E97" s="73">
        <v>1</v>
      </c>
      <c r="F97" s="74">
        <v>3</v>
      </c>
      <c r="G97" s="74">
        <f>E97*F97</f>
        <v>3</v>
      </c>
      <c r="H97" s="101" t="s">
        <v>253</v>
      </c>
      <c r="I97" s="107" t="s">
        <v>15</v>
      </c>
      <c r="J97" s="29">
        <v>10</v>
      </c>
      <c r="K97" s="12">
        <v>912</v>
      </c>
      <c r="L97" s="75">
        <v>7380</v>
      </c>
    </row>
    <row r="98" spans="1:12">
      <c r="A98" s="33" t="s">
        <v>20</v>
      </c>
      <c r="B98" s="13" t="s">
        <v>254</v>
      </c>
      <c r="D98" s="12">
        <v>6</v>
      </c>
      <c r="E98" s="73">
        <v>1</v>
      </c>
      <c r="F98" s="74">
        <v>1</v>
      </c>
      <c r="G98" s="74">
        <f>E98*F98</f>
        <v>1</v>
      </c>
      <c r="H98" s="100" t="s">
        <v>255</v>
      </c>
      <c r="I98" s="107" t="s">
        <v>15</v>
      </c>
      <c r="J98" s="29">
        <v>25</v>
      </c>
      <c r="K98" s="76">
        <v>934</v>
      </c>
      <c r="L98" s="78"/>
    </row>
    <row r="99" spans="1:12">
      <c r="A99" s="33" t="s">
        <v>20</v>
      </c>
      <c r="B99" s="13" t="s">
        <v>256</v>
      </c>
      <c r="C99" s="116"/>
      <c r="D99" s="12">
        <v>3</v>
      </c>
      <c r="E99" s="73">
        <v>2</v>
      </c>
      <c r="F99" s="74">
        <v>1</v>
      </c>
      <c r="G99" s="74">
        <f>E99*F99</f>
        <v>2</v>
      </c>
      <c r="H99" s="100" t="s">
        <v>257</v>
      </c>
      <c r="I99" s="107" t="s">
        <v>15</v>
      </c>
      <c r="J99" s="29">
        <v>10</v>
      </c>
      <c r="K99" s="12">
        <v>985</v>
      </c>
      <c r="L99" s="75">
        <v>10511</v>
      </c>
    </row>
    <row r="100" spans="1:12">
      <c r="A100" s="33" t="s">
        <v>20</v>
      </c>
      <c r="B100" s="13" t="s">
        <v>258</v>
      </c>
      <c r="D100" s="12">
        <v>13</v>
      </c>
      <c r="E100" s="73">
        <v>1</v>
      </c>
      <c r="F100" s="74">
        <v>2.5</v>
      </c>
      <c r="G100" s="74">
        <f>E100*F100</f>
        <v>2.5</v>
      </c>
      <c r="H100" s="100" t="s">
        <v>259</v>
      </c>
      <c r="I100" s="107" t="s">
        <v>15</v>
      </c>
      <c r="J100" s="29">
        <v>50</v>
      </c>
      <c r="K100" s="76">
        <v>25</v>
      </c>
      <c r="L100" s="78"/>
    </row>
    <row r="101" spans="1:12">
      <c r="A101" s="17" t="s">
        <v>16</v>
      </c>
      <c r="B101" s="182" t="s">
        <v>260</v>
      </c>
      <c r="C101" s="115"/>
      <c r="D101" s="72">
        <v>3</v>
      </c>
      <c r="E101" s="73">
        <v>1</v>
      </c>
      <c r="F101" s="74">
        <v>5.4</v>
      </c>
      <c r="G101" s="74">
        <f>E101*F101</f>
        <v>5.4</v>
      </c>
      <c r="H101" s="99" t="s">
        <v>261</v>
      </c>
      <c r="I101" s="179" t="s">
        <v>87</v>
      </c>
      <c r="J101" s="29">
        <v>20</v>
      </c>
      <c r="K101" s="12"/>
      <c r="L101" s="75"/>
    </row>
    <row r="102" spans="1:12">
      <c r="A102" s="17" t="s">
        <v>20</v>
      </c>
      <c r="B102" s="182" t="s">
        <v>262</v>
      </c>
      <c r="C102" s="115"/>
      <c r="D102" s="12">
        <v>1</v>
      </c>
      <c r="E102" s="73">
        <v>1</v>
      </c>
      <c r="F102" s="74">
        <v>2.2599999999999998</v>
      </c>
      <c r="G102" s="74">
        <f>E102*F102</f>
        <v>2.2599999999999998</v>
      </c>
      <c r="H102" s="101" t="s">
        <v>263</v>
      </c>
      <c r="I102" s="107" t="s">
        <v>15</v>
      </c>
      <c r="J102" s="29">
        <v>10</v>
      </c>
      <c r="K102" s="12"/>
      <c r="L102" s="75"/>
    </row>
    <row r="103" spans="1:12">
      <c r="A103" s="33" t="s">
        <v>20</v>
      </c>
      <c r="B103" s="82" t="s">
        <v>264</v>
      </c>
      <c r="C103" s="115"/>
      <c r="D103" s="12">
        <v>3</v>
      </c>
      <c r="E103" s="73">
        <v>1</v>
      </c>
      <c r="F103" s="74">
        <v>1.2</v>
      </c>
      <c r="G103" s="74">
        <f>E103*F103</f>
        <v>1.2</v>
      </c>
      <c r="H103" s="101" t="s">
        <v>265</v>
      </c>
      <c r="I103" s="107" t="s">
        <v>15</v>
      </c>
      <c r="J103" s="29">
        <v>20</v>
      </c>
      <c r="K103" s="12">
        <v>912</v>
      </c>
      <c r="L103" s="75"/>
    </row>
    <row r="104" spans="1:12">
      <c r="A104" s="17" t="s">
        <v>20</v>
      </c>
      <c r="B104" s="13" t="s">
        <v>266</v>
      </c>
      <c r="C104" s="116"/>
      <c r="D104" s="12">
        <v>6</v>
      </c>
      <c r="E104" s="73">
        <v>6</v>
      </c>
      <c r="F104" s="74">
        <v>1.21</v>
      </c>
      <c r="G104" s="74">
        <f>E104*F104</f>
        <v>7.26</v>
      </c>
      <c r="H104" s="101" t="s">
        <v>267</v>
      </c>
      <c r="I104" s="179" t="s">
        <v>15</v>
      </c>
      <c r="J104" s="29">
        <v>1</v>
      </c>
      <c r="K104" s="12"/>
      <c r="L104" s="75"/>
    </row>
    <row r="105" spans="1:12">
      <c r="A105" s="33" t="s">
        <v>20</v>
      </c>
      <c r="B105" s="13" t="s">
        <v>268</v>
      </c>
      <c r="D105" s="12">
        <v>4</v>
      </c>
      <c r="E105" s="73">
        <v>1</v>
      </c>
      <c r="F105" s="74">
        <v>2.42</v>
      </c>
      <c r="G105" s="74">
        <f>E105*F105</f>
        <v>2.42</v>
      </c>
      <c r="H105" s="102" t="s">
        <v>269</v>
      </c>
      <c r="I105" s="107" t="s">
        <v>15</v>
      </c>
      <c r="J105" s="29">
        <v>10</v>
      </c>
      <c r="K105" s="76">
        <v>7991</v>
      </c>
      <c r="L105" s="78">
        <v>10642</v>
      </c>
    </row>
    <row r="106" spans="1:12">
      <c r="A106" s="33" t="s">
        <v>20</v>
      </c>
      <c r="B106" s="182" t="s">
        <v>270</v>
      </c>
      <c r="C106" s="115"/>
      <c r="D106" s="12">
        <v>3</v>
      </c>
      <c r="E106" s="73">
        <v>1</v>
      </c>
      <c r="F106" s="74">
        <v>2.5</v>
      </c>
      <c r="G106" s="74">
        <f>E106*F106</f>
        <v>2.5</v>
      </c>
      <c r="H106" s="102" t="s">
        <v>271</v>
      </c>
      <c r="I106" s="107" t="s">
        <v>15</v>
      </c>
      <c r="J106" s="29">
        <v>10</v>
      </c>
      <c r="K106" s="76">
        <v>7991</v>
      </c>
      <c r="L106" s="78"/>
    </row>
    <row r="107" spans="1:12">
      <c r="A107" s="33" t="s">
        <v>20</v>
      </c>
      <c r="B107" s="12" t="s">
        <v>272</v>
      </c>
      <c r="C107" s="115"/>
      <c r="D107" s="12">
        <v>2</v>
      </c>
      <c r="E107" s="73">
        <v>1</v>
      </c>
      <c r="F107" s="74">
        <v>2.5299999999999998</v>
      </c>
      <c r="G107" s="74">
        <f>E107*F107</f>
        <v>2.5299999999999998</v>
      </c>
      <c r="H107" s="102" t="s">
        <v>273</v>
      </c>
      <c r="I107" s="107" t="s">
        <v>15</v>
      </c>
      <c r="J107" s="29">
        <v>10</v>
      </c>
      <c r="K107" s="76">
        <v>933</v>
      </c>
      <c r="L107" s="78"/>
    </row>
    <row r="108" spans="1:12">
      <c r="A108" s="33" t="s">
        <v>20</v>
      </c>
      <c r="B108" s="91" t="s">
        <v>274</v>
      </c>
      <c r="C108" s="128"/>
      <c r="D108" s="12">
        <v>4</v>
      </c>
      <c r="E108" s="73">
        <v>1</v>
      </c>
      <c r="F108" s="74">
        <v>3.08</v>
      </c>
      <c r="G108" s="74">
        <f>E108*F108</f>
        <v>3.08</v>
      </c>
      <c r="H108" s="102" t="s">
        <v>275</v>
      </c>
      <c r="I108" s="107" t="s">
        <v>15</v>
      </c>
      <c r="J108" s="29">
        <v>10</v>
      </c>
      <c r="K108" s="12">
        <v>7991</v>
      </c>
      <c r="L108" s="75">
        <v>10642</v>
      </c>
    </row>
    <row r="109" spans="1:12">
      <c r="A109" s="33" t="s">
        <v>20</v>
      </c>
      <c r="B109" s="1" t="s">
        <v>276</v>
      </c>
      <c r="D109" s="12">
        <v>4</v>
      </c>
      <c r="E109" s="73">
        <v>1</v>
      </c>
      <c r="F109" s="74">
        <v>5.61</v>
      </c>
      <c r="G109" s="74">
        <f>E109*F109</f>
        <v>5.61</v>
      </c>
      <c r="H109" s="102" t="s">
        <v>277</v>
      </c>
      <c r="I109" s="111" t="s">
        <v>15</v>
      </c>
      <c r="J109" s="29">
        <v>5</v>
      </c>
      <c r="K109" s="12"/>
      <c r="L109" s="75"/>
    </row>
    <row r="110" spans="1:12">
      <c r="A110" s="33" t="s">
        <v>20</v>
      </c>
      <c r="B110" s="77" t="s">
        <v>278</v>
      </c>
      <c r="C110" s="117"/>
      <c r="D110" s="12">
        <v>42</v>
      </c>
      <c r="E110" s="73">
        <v>2</v>
      </c>
      <c r="F110" s="74">
        <v>1</v>
      </c>
      <c r="G110" s="74">
        <f>E110*F110</f>
        <v>2</v>
      </c>
      <c r="H110" s="100" t="s">
        <v>279</v>
      </c>
      <c r="I110" s="107" t="s">
        <v>15</v>
      </c>
      <c r="J110" s="29">
        <v>25</v>
      </c>
      <c r="K110" s="76">
        <v>934</v>
      </c>
      <c r="L110" s="78"/>
    </row>
    <row r="111" spans="1:12">
      <c r="A111" s="33" t="s">
        <v>20</v>
      </c>
      <c r="B111" s="12" t="s">
        <v>280</v>
      </c>
      <c r="D111" s="12">
        <v>192</v>
      </c>
      <c r="E111" s="73">
        <v>4</v>
      </c>
      <c r="F111" s="74">
        <v>3</v>
      </c>
      <c r="G111" s="74">
        <f>E111*F111</f>
        <v>12</v>
      </c>
      <c r="H111" s="100" t="s">
        <v>281</v>
      </c>
      <c r="I111" s="179" t="s">
        <v>62</v>
      </c>
      <c r="J111" s="29">
        <v>50</v>
      </c>
      <c r="K111" s="76"/>
      <c r="L111" s="78"/>
    </row>
    <row r="112" spans="1:12">
      <c r="A112" s="33" t="s">
        <v>20</v>
      </c>
      <c r="B112" s="12" t="s">
        <v>282</v>
      </c>
      <c r="D112" s="12">
        <v>14</v>
      </c>
      <c r="E112" s="73">
        <v>2</v>
      </c>
      <c r="F112" s="74">
        <v>1</v>
      </c>
      <c r="G112" s="74">
        <f>E112*F112</f>
        <v>2</v>
      </c>
      <c r="H112" s="100" t="s">
        <v>283</v>
      </c>
      <c r="I112" s="107" t="s">
        <v>15</v>
      </c>
      <c r="J112" s="29">
        <v>10</v>
      </c>
      <c r="K112" s="12">
        <v>985</v>
      </c>
      <c r="L112" s="75">
        <v>10511</v>
      </c>
    </row>
    <row r="113" spans="1:12">
      <c r="A113" s="33" t="s">
        <v>20</v>
      </c>
      <c r="B113" s="77" t="s">
        <v>284</v>
      </c>
      <c r="C113" s="117"/>
      <c r="D113" s="12">
        <v>183</v>
      </c>
      <c r="E113" s="73">
        <v>4</v>
      </c>
      <c r="F113" s="74">
        <v>2.67</v>
      </c>
      <c r="G113" s="74">
        <f>E113*F113</f>
        <v>10.68</v>
      </c>
      <c r="H113" s="100" t="s">
        <v>285</v>
      </c>
      <c r="I113" s="107" t="s">
        <v>15</v>
      </c>
      <c r="J113" s="29">
        <v>50</v>
      </c>
      <c r="K113" s="12">
        <v>125</v>
      </c>
      <c r="L113" s="75"/>
    </row>
    <row r="114" spans="1:12">
      <c r="A114" s="33" t="s">
        <v>20</v>
      </c>
      <c r="B114" s="77" t="s">
        <v>286</v>
      </c>
      <c r="C114" s="117"/>
      <c r="D114" s="12">
        <v>166</v>
      </c>
      <c r="E114" s="73">
        <v>17</v>
      </c>
      <c r="F114" s="74">
        <v>2.42</v>
      </c>
      <c r="G114" s="74">
        <f>E114*F114</f>
        <v>41.14</v>
      </c>
      <c r="H114" s="102" t="s">
        <v>287</v>
      </c>
      <c r="I114" s="107" t="s">
        <v>15</v>
      </c>
      <c r="J114" s="29">
        <v>10</v>
      </c>
      <c r="K114" s="12"/>
      <c r="L114" s="75">
        <v>7380</v>
      </c>
    </row>
    <row r="115" spans="1:12">
      <c r="A115" s="33" t="s">
        <v>20</v>
      </c>
      <c r="B115" s="77" t="s">
        <v>288</v>
      </c>
      <c r="C115" s="115"/>
      <c r="D115" s="12">
        <v>3</v>
      </c>
      <c r="E115" s="73">
        <v>1</v>
      </c>
      <c r="F115" s="74">
        <v>2.59</v>
      </c>
      <c r="G115" s="74">
        <f>E115*F115</f>
        <v>2.59</v>
      </c>
      <c r="H115" s="102" t="s">
        <v>289</v>
      </c>
      <c r="I115" s="107" t="s">
        <v>15</v>
      </c>
      <c r="J115" s="29">
        <v>10</v>
      </c>
      <c r="K115" s="76"/>
      <c r="L115" s="78">
        <v>7380</v>
      </c>
    </row>
    <row r="116" spans="1:12">
      <c r="A116" s="33" t="s">
        <v>20</v>
      </c>
      <c r="B116" s="77" t="s">
        <v>290</v>
      </c>
      <c r="C116" s="117"/>
      <c r="D116" s="12">
        <v>6</v>
      </c>
      <c r="E116" s="73">
        <v>1</v>
      </c>
      <c r="F116" s="74">
        <v>2.75</v>
      </c>
      <c r="G116" s="74">
        <f>E116*F116</f>
        <v>2.75</v>
      </c>
      <c r="H116" s="102" t="s">
        <v>291</v>
      </c>
      <c r="I116" s="107" t="s">
        <v>15</v>
      </c>
      <c r="J116" s="29">
        <v>10</v>
      </c>
      <c r="K116" s="76">
        <v>912</v>
      </c>
      <c r="L116" s="78">
        <v>7380</v>
      </c>
    </row>
    <row r="117" spans="1:12">
      <c r="A117" s="33" t="s">
        <v>20</v>
      </c>
      <c r="B117" s="178" t="s">
        <v>292</v>
      </c>
      <c r="C117" s="115"/>
      <c r="D117" s="80">
        <v>3</v>
      </c>
      <c r="E117" s="73">
        <v>1</v>
      </c>
      <c r="F117" s="74">
        <v>2.61</v>
      </c>
      <c r="G117" s="74">
        <f>E117*F117</f>
        <v>2.61</v>
      </c>
      <c r="H117" s="102" t="s">
        <v>293</v>
      </c>
      <c r="I117" s="107" t="s">
        <v>15</v>
      </c>
      <c r="J117" s="29">
        <v>10</v>
      </c>
      <c r="K117" s="12">
        <v>933</v>
      </c>
      <c r="L117" s="75"/>
    </row>
    <row r="118" spans="1:12">
      <c r="A118" s="33" t="s">
        <v>20</v>
      </c>
      <c r="B118" s="12" t="s">
        <v>294</v>
      </c>
      <c r="C118" s="115"/>
      <c r="D118" s="80">
        <v>4</v>
      </c>
      <c r="E118" s="73">
        <v>1</v>
      </c>
      <c r="F118" s="74">
        <v>2.92</v>
      </c>
      <c r="G118" s="74">
        <f>E118*F118</f>
        <v>2.92</v>
      </c>
      <c r="H118" s="102" t="s">
        <v>295</v>
      </c>
      <c r="I118" s="107" t="s">
        <v>15</v>
      </c>
      <c r="J118" s="29">
        <v>10</v>
      </c>
      <c r="K118" s="12"/>
      <c r="L118" s="75">
        <v>7380</v>
      </c>
    </row>
    <row r="119" spans="1:12" s="14" customFormat="1" ht="15.75">
      <c r="A119" s="33" t="s">
        <v>20</v>
      </c>
      <c r="B119" s="178" t="s">
        <v>296</v>
      </c>
      <c r="C119" s="119"/>
      <c r="D119" s="80">
        <v>2</v>
      </c>
      <c r="E119" s="73">
        <v>1</v>
      </c>
      <c r="F119" s="74">
        <v>2.92</v>
      </c>
      <c r="G119" s="74">
        <f>E119*F119</f>
        <v>2.92</v>
      </c>
      <c r="H119" s="102" t="s">
        <v>297</v>
      </c>
      <c r="I119" s="107" t="s">
        <v>15</v>
      </c>
      <c r="J119" s="29">
        <v>10</v>
      </c>
      <c r="K119" s="12">
        <v>933</v>
      </c>
      <c r="L119" s="75"/>
    </row>
    <row r="120" spans="1:12" s="14" customFormat="1" ht="15.75">
      <c r="A120" s="33" t="s">
        <v>20</v>
      </c>
      <c r="B120" s="80" t="s">
        <v>298</v>
      </c>
      <c r="C120" s="119"/>
      <c r="D120" s="80">
        <v>44</v>
      </c>
      <c r="E120" s="73">
        <v>5</v>
      </c>
      <c r="F120" s="74">
        <v>3.21</v>
      </c>
      <c r="G120" s="74">
        <f>E120*F120</f>
        <v>16.05</v>
      </c>
      <c r="H120" s="102" t="s">
        <v>299</v>
      </c>
      <c r="I120" s="107" t="s">
        <v>15</v>
      </c>
      <c r="J120" s="29">
        <v>10</v>
      </c>
      <c r="K120" s="12">
        <v>933</v>
      </c>
      <c r="L120" s="75"/>
    </row>
    <row r="121" spans="1:12" s="14" customFormat="1" ht="15.75">
      <c r="A121" s="33" t="s">
        <v>20</v>
      </c>
      <c r="B121" s="80" t="s">
        <v>300</v>
      </c>
      <c r="C121" s="119"/>
      <c r="D121" s="80">
        <v>17</v>
      </c>
      <c r="E121" s="73">
        <v>2</v>
      </c>
      <c r="F121" s="74">
        <v>3.57</v>
      </c>
      <c r="G121" s="74">
        <f>E121*F121</f>
        <v>7.14</v>
      </c>
      <c r="H121" s="102" t="s">
        <v>301</v>
      </c>
      <c r="I121" s="107" t="s">
        <v>15</v>
      </c>
      <c r="J121" s="29">
        <v>10</v>
      </c>
      <c r="K121" s="12">
        <v>933</v>
      </c>
      <c r="L121" s="75"/>
    </row>
    <row r="122" spans="1:12" s="14" customFormat="1" ht="15.75">
      <c r="A122" s="17" t="s">
        <v>20</v>
      </c>
      <c r="B122" s="91" t="s">
        <v>302</v>
      </c>
      <c r="C122" s="115"/>
      <c r="D122" s="12">
        <v>24</v>
      </c>
      <c r="E122" s="73">
        <v>3</v>
      </c>
      <c r="F122" s="74">
        <v>2.59</v>
      </c>
      <c r="G122" s="74">
        <f>E122*F122</f>
        <v>7.77</v>
      </c>
      <c r="H122" s="102" t="s">
        <v>303</v>
      </c>
      <c r="I122" s="107" t="s">
        <v>15</v>
      </c>
      <c r="J122" s="29">
        <v>10</v>
      </c>
      <c r="K122" s="76"/>
      <c r="L122" s="78">
        <v>7380</v>
      </c>
    </row>
    <row r="123" spans="1:12" s="14" customFormat="1" ht="15.75">
      <c r="A123" s="17" t="s">
        <v>96</v>
      </c>
      <c r="B123" s="13" t="s">
        <v>304</v>
      </c>
      <c r="C123" s="123"/>
      <c r="D123" s="76">
        <v>4</v>
      </c>
      <c r="E123" s="73">
        <v>1</v>
      </c>
      <c r="F123" s="74">
        <v>9</v>
      </c>
      <c r="G123" s="74">
        <f>E123*F123</f>
        <v>9</v>
      </c>
      <c r="H123" s="100" t="s">
        <v>305</v>
      </c>
      <c r="I123" s="179" t="s">
        <v>306</v>
      </c>
      <c r="J123" s="29">
        <v>10</v>
      </c>
      <c r="K123" s="85"/>
      <c r="L123" s="75"/>
    </row>
    <row r="124" spans="1:12" s="14" customFormat="1" ht="15.75">
      <c r="A124" s="17" t="s">
        <v>96</v>
      </c>
      <c r="B124" s="12" t="s">
        <v>307</v>
      </c>
      <c r="C124" s="118"/>
      <c r="D124" s="76">
        <v>6</v>
      </c>
      <c r="E124" s="73">
        <v>1</v>
      </c>
      <c r="F124" s="74">
        <v>10.23</v>
      </c>
      <c r="G124" s="74">
        <f>E124*F124</f>
        <v>10.23</v>
      </c>
      <c r="H124" s="100" t="s">
        <v>308</v>
      </c>
      <c r="I124" s="104" t="s">
        <v>309</v>
      </c>
      <c r="J124" s="29">
        <v>6</v>
      </c>
      <c r="K124" s="85"/>
      <c r="L124" s="75"/>
    </row>
    <row r="125" spans="1:12" s="14" customFormat="1" ht="15.75">
      <c r="A125" s="17" t="s">
        <v>96</v>
      </c>
      <c r="B125" s="12" t="s">
        <v>310</v>
      </c>
      <c r="C125" s="118"/>
      <c r="D125" s="76">
        <v>6</v>
      </c>
      <c r="E125" s="73">
        <v>2</v>
      </c>
      <c r="F125" s="74">
        <v>2.04</v>
      </c>
      <c r="G125" s="74">
        <f>E125*F125</f>
        <v>4.08</v>
      </c>
      <c r="H125" s="101" t="s">
        <v>311</v>
      </c>
      <c r="I125" s="179" t="s">
        <v>15</v>
      </c>
      <c r="J125" s="29">
        <v>5</v>
      </c>
      <c r="K125" s="12"/>
      <c r="L125" s="75"/>
    </row>
    <row r="126" spans="1:12" s="14" customFormat="1" ht="15.75">
      <c r="A126" s="17" t="s">
        <v>16</v>
      </c>
      <c r="B126" s="182" t="s">
        <v>312</v>
      </c>
      <c r="C126" s="115"/>
      <c r="D126" s="79">
        <v>3</v>
      </c>
      <c r="E126" s="73">
        <v>3</v>
      </c>
      <c r="F126" s="74">
        <v>42</v>
      </c>
      <c r="G126" s="74">
        <f>E126*F126</f>
        <v>126</v>
      </c>
      <c r="H126" s="99" t="s">
        <v>313</v>
      </c>
      <c r="I126" s="105" t="s">
        <v>314</v>
      </c>
      <c r="J126" s="29">
        <v>1</v>
      </c>
      <c r="K126" s="12"/>
      <c r="L126" s="75"/>
    </row>
    <row r="127" spans="1:12" s="14" customFormat="1" ht="15.75">
      <c r="A127" s="17" t="s">
        <v>16</v>
      </c>
      <c r="B127" s="178" t="s">
        <v>315</v>
      </c>
      <c r="C127" s="119"/>
      <c r="D127" s="80">
        <v>2</v>
      </c>
      <c r="E127" s="73">
        <v>2</v>
      </c>
      <c r="F127" s="74">
        <v>38</v>
      </c>
      <c r="G127" s="74">
        <f>E127*F127</f>
        <v>76</v>
      </c>
      <c r="H127" s="99" t="s">
        <v>316</v>
      </c>
      <c r="I127" s="105" t="s">
        <v>314</v>
      </c>
      <c r="J127" s="29">
        <v>1</v>
      </c>
      <c r="K127" s="12"/>
      <c r="L127" s="75"/>
    </row>
    <row r="128" spans="1:12" s="14" customFormat="1" ht="15.75">
      <c r="A128" s="17" t="s">
        <v>16</v>
      </c>
      <c r="B128" s="178" t="s">
        <v>317</v>
      </c>
      <c r="C128" s="119"/>
      <c r="D128" s="80">
        <v>1</v>
      </c>
      <c r="E128" s="73">
        <v>1</v>
      </c>
      <c r="F128" s="74">
        <v>36</v>
      </c>
      <c r="G128" s="74">
        <f>E128*F128</f>
        <v>36</v>
      </c>
      <c r="H128" s="99" t="s">
        <v>318</v>
      </c>
      <c r="I128" s="105" t="s">
        <v>314</v>
      </c>
      <c r="J128" s="29">
        <v>1</v>
      </c>
      <c r="K128" s="12"/>
      <c r="L128" s="75"/>
    </row>
    <row r="129" spans="1:12" s="14" customFormat="1" ht="15.75">
      <c r="A129" s="17" t="s">
        <v>142</v>
      </c>
      <c r="B129" s="13" t="s">
        <v>319</v>
      </c>
      <c r="C129" s="115"/>
      <c r="D129" s="72">
        <v>1</v>
      </c>
      <c r="E129" s="73">
        <v>1</v>
      </c>
      <c r="F129" s="74">
        <v>48</v>
      </c>
      <c r="G129" s="74">
        <f>E129*F129</f>
        <v>48</v>
      </c>
      <c r="H129" s="100" t="s">
        <v>320</v>
      </c>
      <c r="I129" s="179" t="s">
        <v>321</v>
      </c>
      <c r="J129" s="29">
        <v>1</v>
      </c>
      <c r="K129" s="12"/>
      <c r="L129" s="75"/>
    </row>
    <row r="130" spans="1:12" s="14" customFormat="1" ht="15.75">
      <c r="A130" s="33" t="s">
        <v>84</v>
      </c>
      <c r="B130" s="178" t="s">
        <v>322</v>
      </c>
      <c r="C130" s="115"/>
      <c r="D130" s="80">
        <v>3</v>
      </c>
      <c r="E130" s="73">
        <v>1</v>
      </c>
      <c r="F130" s="74">
        <v>46</v>
      </c>
      <c r="G130" s="74">
        <f>E130*F130</f>
        <v>46</v>
      </c>
      <c r="H130" s="99" t="s">
        <v>323</v>
      </c>
      <c r="I130" s="105" t="s">
        <v>324</v>
      </c>
      <c r="J130" s="29">
        <v>3</v>
      </c>
      <c r="K130" s="12"/>
      <c r="L130" s="75"/>
    </row>
    <row r="131" spans="1:12" s="14" customFormat="1" ht="15.75">
      <c r="A131" s="33" t="s">
        <v>84</v>
      </c>
      <c r="B131" s="178" t="s">
        <v>325</v>
      </c>
      <c r="C131" s="119"/>
      <c r="D131" s="80">
        <v>2</v>
      </c>
      <c r="E131" s="73">
        <v>2</v>
      </c>
      <c r="F131" s="74">
        <v>22.5</v>
      </c>
      <c r="G131" s="74">
        <f>E131*F131</f>
        <v>45</v>
      </c>
      <c r="H131" s="99" t="s">
        <v>326</v>
      </c>
      <c r="I131" s="105" t="s">
        <v>324</v>
      </c>
      <c r="J131" s="29">
        <v>1</v>
      </c>
      <c r="K131" s="12"/>
      <c r="L131" s="75"/>
    </row>
    <row r="132" spans="1:12" s="14" customFormat="1" ht="15.75">
      <c r="A132" s="17" t="s">
        <v>142</v>
      </c>
      <c r="B132" s="69" t="s">
        <v>327</v>
      </c>
      <c r="C132" s="115"/>
      <c r="D132" s="72">
        <v>1</v>
      </c>
      <c r="E132" s="73">
        <v>1</v>
      </c>
      <c r="F132" s="74">
        <v>1.48</v>
      </c>
      <c r="G132" s="74">
        <f>E132*F132</f>
        <v>1.48</v>
      </c>
      <c r="H132" s="100" t="s">
        <v>328</v>
      </c>
      <c r="I132" s="179" t="s">
        <v>87</v>
      </c>
      <c r="J132" s="29">
        <v>1</v>
      </c>
      <c r="K132" s="12"/>
      <c r="L132" s="75"/>
    </row>
    <row r="133" spans="1:12" s="14" customFormat="1" ht="15.75">
      <c r="A133" s="17" t="s">
        <v>142</v>
      </c>
      <c r="B133" s="70" t="s">
        <v>329</v>
      </c>
      <c r="C133" s="115"/>
      <c r="D133" s="72">
        <v>1</v>
      </c>
      <c r="E133" s="73">
        <v>1</v>
      </c>
      <c r="F133" s="74">
        <v>2.17</v>
      </c>
      <c r="G133" s="74">
        <f>E133*F133</f>
        <v>2.17</v>
      </c>
      <c r="H133" s="100" t="s">
        <v>330</v>
      </c>
      <c r="I133" s="179" t="s">
        <v>87</v>
      </c>
      <c r="J133" s="29">
        <v>1</v>
      </c>
      <c r="K133" s="12"/>
      <c r="L133" s="75"/>
    </row>
    <row r="134" spans="1:12" s="14" customFormat="1" ht="15.75">
      <c r="A134" s="17" t="s">
        <v>142</v>
      </c>
      <c r="B134" s="13" t="s">
        <v>331</v>
      </c>
      <c r="C134" s="115"/>
      <c r="D134" s="72">
        <v>1</v>
      </c>
      <c r="E134" s="73">
        <v>1</v>
      </c>
      <c r="F134" s="74">
        <v>10.62</v>
      </c>
      <c r="G134" s="74">
        <f>E134*F134</f>
        <v>10.62</v>
      </c>
      <c r="H134" s="100" t="s">
        <v>332</v>
      </c>
      <c r="I134" s="109" t="s">
        <v>87</v>
      </c>
      <c r="J134" s="29">
        <v>1</v>
      </c>
      <c r="K134" s="12"/>
      <c r="L134" s="75"/>
    </row>
    <row r="135" spans="1:12" s="14" customFormat="1" ht="15.75">
      <c r="A135" s="17" t="s">
        <v>53</v>
      </c>
      <c r="B135" s="28" t="s">
        <v>333</v>
      </c>
      <c r="C135" s="183" t="s">
        <v>334</v>
      </c>
      <c r="D135" s="15">
        <v>2</v>
      </c>
      <c r="E135" s="73">
        <v>2</v>
      </c>
      <c r="F135" s="74">
        <v>9.7200000000000006</v>
      </c>
      <c r="G135" s="74">
        <f>E135*F135</f>
        <v>19.440000000000001</v>
      </c>
      <c r="H135" s="99" t="s">
        <v>335</v>
      </c>
      <c r="I135" s="181" t="s">
        <v>56</v>
      </c>
      <c r="J135" s="29">
        <v>1</v>
      </c>
      <c r="K135" s="12"/>
      <c r="L135" s="75"/>
    </row>
    <row r="136" spans="1:12" s="14" customFormat="1" ht="15.75">
      <c r="A136" s="33" t="s">
        <v>84</v>
      </c>
      <c r="B136" s="165" t="s">
        <v>336</v>
      </c>
      <c r="C136" s="183"/>
      <c r="D136" s="15">
        <v>2</v>
      </c>
      <c r="E136" s="73">
        <v>1</v>
      </c>
      <c r="F136" s="165">
        <v>2.3199999999999998</v>
      </c>
      <c r="G136" s="74">
        <f>E136*F136</f>
        <v>2.3199999999999998</v>
      </c>
      <c r="H136" s="99" t="s">
        <v>337</v>
      </c>
      <c r="I136" s="181" t="s">
        <v>338</v>
      </c>
      <c r="J136" s="29">
        <v>1</v>
      </c>
      <c r="K136" s="12"/>
      <c r="L136" s="75"/>
    </row>
    <row r="137" spans="1:12" s="14" customFormat="1" ht="15.75">
      <c r="A137" s="33" t="s">
        <v>84</v>
      </c>
      <c r="B137" s="165" t="s">
        <v>339</v>
      </c>
      <c r="C137" s="183"/>
      <c r="D137" s="15">
        <v>1</v>
      </c>
      <c r="E137" s="73">
        <v>1</v>
      </c>
      <c r="F137" s="189">
        <v>4.82</v>
      </c>
      <c r="G137" s="74">
        <f>E137*F137</f>
        <v>4.82</v>
      </c>
      <c r="H137" s="99" t="s">
        <v>340</v>
      </c>
      <c r="I137" s="190" t="s">
        <v>338</v>
      </c>
      <c r="J137" s="29">
        <v>1</v>
      </c>
      <c r="K137" s="12"/>
      <c r="L137" s="75"/>
    </row>
    <row r="138" spans="1:12" s="14" customFormat="1" ht="15.75">
      <c r="A138" s="33" t="s">
        <v>84</v>
      </c>
      <c r="B138" s="2" t="s">
        <v>341</v>
      </c>
      <c r="C138" s="183"/>
      <c r="D138" s="15">
        <v>1</v>
      </c>
      <c r="E138" s="73">
        <v>1</v>
      </c>
      <c r="F138" s="189">
        <v>12.01</v>
      </c>
      <c r="G138" s="74">
        <f>E138*F138</f>
        <v>12.01</v>
      </c>
      <c r="H138" s="99" t="s">
        <v>342</v>
      </c>
      <c r="I138" s="190" t="s">
        <v>338</v>
      </c>
      <c r="J138" s="29">
        <v>1</v>
      </c>
      <c r="K138" s="12"/>
      <c r="L138" s="75"/>
    </row>
    <row r="139" spans="1:12" s="14" customFormat="1" ht="15.75">
      <c r="A139" s="33" t="s">
        <v>84</v>
      </c>
      <c r="B139" s="165" t="s">
        <v>343</v>
      </c>
      <c r="C139" s="183"/>
      <c r="D139" s="15">
        <v>1</v>
      </c>
      <c r="E139" s="73">
        <v>1</v>
      </c>
      <c r="F139" s="189">
        <v>3.22</v>
      </c>
      <c r="G139" s="74">
        <f>E139*F139</f>
        <v>3.22</v>
      </c>
      <c r="H139" s="99" t="s">
        <v>344</v>
      </c>
      <c r="I139" s="109" t="s">
        <v>345</v>
      </c>
      <c r="J139" s="29">
        <v>1</v>
      </c>
      <c r="K139" s="12"/>
      <c r="L139" s="75"/>
    </row>
    <row r="140" spans="1:12" s="14" customFormat="1" ht="15.75">
      <c r="A140" s="33" t="s">
        <v>84</v>
      </c>
      <c r="B140" s="13" t="s">
        <v>346</v>
      </c>
      <c r="C140" s="183"/>
      <c r="D140" s="165">
        <v>1</v>
      </c>
      <c r="E140" s="73">
        <v>1</v>
      </c>
      <c r="F140" s="189">
        <v>13.59</v>
      </c>
      <c r="G140" s="74">
        <f>E140*F140</f>
        <v>13.59</v>
      </c>
      <c r="H140" s="99" t="s">
        <v>347</v>
      </c>
      <c r="I140" s="110" t="s">
        <v>348</v>
      </c>
      <c r="J140" s="29">
        <v>1</v>
      </c>
      <c r="K140" s="12"/>
      <c r="L140" s="75"/>
    </row>
    <row r="141" spans="1:12" s="14" customFormat="1" ht="15.75">
      <c r="A141" s="33" t="s">
        <v>84</v>
      </c>
      <c r="B141" s="165" t="s">
        <v>349</v>
      </c>
      <c r="C141" s="183"/>
      <c r="D141" s="165">
        <v>1</v>
      </c>
      <c r="E141" s="73">
        <v>1</v>
      </c>
      <c r="F141" s="189">
        <v>33.700000000000003</v>
      </c>
      <c r="G141" s="74">
        <f>E141*F141</f>
        <v>33.700000000000003</v>
      </c>
      <c r="H141" s="99" t="s">
        <v>350</v>
      </c>
      <c r="I141" s="109" t="s">
        <v>324</v>
      </c>
      <c r="J141" s="29">
        <v>1</v>
      </c>
      <c r="K141" s="12"/>
      <c r="L141" s="75"/>
    </row>
    <row r="142" spans="1:12" s="14" customFormat="1" ht="15.75">
      <c r="A142" s="33" t="s">
        <v>84</v>
      </c>
      <c r="B142" s="2" t="s">
        <v>351</v>
      </c>
      <c r="C142" s="183"/>
      <c r="D142" s="15">
        <v>3</v>
      </c>
      <c r="E142" s="73">
        <v>3</v>
      </c>
      <c r="F142" s="74">
        <v>15.18</v>
      </c>
      <c r="G142" s="74">
        <f>E142*F142</f>
        <v>45.54</v>
      </c>
      <c r="H142" s="99" t="s">
        <v>352</v>
      </c>
      <c r="I142" s="181" t="s">
        <v>87</v>
      </c>
      <c r="J142" s="29">
        <v>1</v>
      </c>
      <c r="K142" s="12"/>
      <c r="L142" s="75"/>
    </row>
    <row r="143" spans="1:12" s="14" customFormat="1" ht="15.75">
      <c r="A143" s="33" t="s">
        <v>84</v>
      </c>
      <c r="B143" s="177" t="s">
        <v>353</v>
      </c>
      <c r="C143" s="115"/>
      <c r="D143" s="60">
        <v>1</v>
      </c>
      <c r="E143" s="73">
        <v>1</v>
      </c>
      <c r="F143" s="74">
        <v>12.4</v>
      </c>
      <c r="G143" s="74">
        <f>E143*F143</f>
        <v>12.4</v>
      </c>
      <c r="H143" s="99" t="s">
        <v>354</v>
      </c>
      <c r="I143" s="179" t="s">
        <v>87</v>
      </c>
      <c r="J143" s="29">
        <v>1</v>
      </c>
      <c r="K143" s="12"/>
      <c r="L143" s="75"/>
    </row>
    <row r="144" spans="1:12" s="14" customFormat="1" ht="15.75">
      <c r="A144" s="17" t="s">
        <v>142</v>
      </c>
      <c r="B144" s="1" t="s">
        <v>355</v>
      </c>
      <c r="C144" s="115"/>
      <c r="D144" s="72">
        <v>1</v>
      </c>
      <c r="E144" s="73">
        <v>1</v>
      </c>
      <c r="F144" s="74">
        <v>10</v>
      </c>
      <c r="G144" s="74">
        <f>E144*F144</f>
        <v>10</v>
      </c>
      <c r="H144" s="100" t="s">
        <v>356</v>
      </c>
      <c r="I144" s="108" t="s">
        <v>357</v>
      </c>
      <c r="J144" s="29">
        <v>5</v>
      </c>
      <c r="K144" s="12"/>
      <c r="L144" s="75"/>
    </row>
    <row r="145" spans="1:12" ht="16.5" thickBot="1">
      <c r="A145" s="34"/>
      <c r="B145" s="35" t="s">
        <v>358</v>
      </c>
      <c r="C145" s="131"/>
      <c r="D145" s="35"/>
      <c r="E145" s="35"/>
      <c r="F145" s="36"/>
      <c r="G145" s="37">
        <f>SUBTOTAL(109,Table1321[*Cost Price $USD])</f>
        <v>2339.0300000000007</v>
      </c>
      <c r="H145" s="103" t="s">
        <v>359</v>
      </c>
      <c r="I145" s="113"/>
      <c r="J145" s="96"/>
      <c r="K145" s="97"/>
      <c r="L145" s="98"/>
    </row>
    <row r="146" spans="1:12">
      <c r="G146" s="13"/>
      <c r="K146" s="191"/>
    </row>
  </sheetData>
  <hyperlinks>
    <hyperlink ref="J18" r:id="rId1" display="Color: Buffer 14inch 35cm" xr:uid="{A45C1E65-4D2C-4E50-A96D-C3609389891E}"/>
    <hyperlink ref="J73" r:id="rId2" display="https://s.click.aliexpress.com/e/_c3L3d1ir" xr:uid="{AEFB707D-A1AE-4EFB-B9AF-075A426325F3}"/>
    <hyperlink ref="H63" r:id="rId3" display="W: 9mm-EPDM L: 5M" xr:uid="{8547EB01-111D-4369-8F6F-6D71E163457E}"/>
    <hyperlink ref="H101" r:id="rId4" xr:uid="{DCB991D1-6060-4115-8549-0F88BF037265}"/>
    <hyperlink ref="H4" r:id="rId5" xr:uid="{27E41D46-C6ED-4D48-B23F-D522BD1B8CAD}"/>
    <hyperlink ref="H12:H13" r:id="rId6" display="https://www.aliexpress.com/item/1005010042779749.html" xr:uid="{83FF34FE-EF9B-4920-90F5-2E0883376D67}"/>
    <hyperlink ref="H124" r:id="rId7" display="Color: 6PCS" xr:uid="{83110E66-78FF-482A-A936-8F1BF7578A3C}"/>
    <hyperlink ref="H5" r:id="rId8" xr:uid="{165F55F9-93B5-4C34-AB3E-2D5640BE01F4}"/>
    <hyperlink ref="H18" r:id="rId9" display="https://www.aliexpress.com/item/4001085251691.html" xr:uid="{6FC7652C-4336-480C-B2E7-E04728B15743}"/>
    <hyperlink ref="H15" r:id="rId10" display="688ZZ" xr:uid="{E47035C0-0384-4F36-8610-B86A56A6353C}"/>
    <hyperlink ref="H10" r:id="rId11" display="F606ZZ" xr:uid="{7A42191B-CFDD-4A32-8150-88F26E71C9AC}"/>
    <hyperlink ref="H3" r:id="rId12" xr:uid="{79950C8E-6C0D-43A7-9D36-8F08E49E0336}"/>
    <hyperlink ref="H56" r:id="rId13" xr:uid="{96A70493-75D0-4733-A3CA-6179A33F98AC}"/>
    <hyperlink ref="H55" r:id="rId14" xr:uid="{87783477-33AB-4F63-96D6-84FFA77C3655}"/>
    <hyperlink ref="H74" r:id="rId15" display="C: 30x30" xr:uid="{606973F0-66B4-48E0-9052-7FF9AC915346}"/>
    <hyperlink ref="H143" r:id="rId16" xr:uid="{9E6D60F7-4FD8-4383-A6FD-19E6F8255EF5}"/>
    <hyperlink ref="H28" r:id="rId17" display="https://s.click.aliexpress.com/e/_c3suoWc5" xr:uid="{171176F6-4231-406A-9168-9A596B642215}"/>
    <hyperlink ref="H77" r:id="rId18" xr:uid="{0241C0AB-3D65-413B-8BA6-3B272D19AC35}"/>
    <hyperlink ref="H71" r:id="rId19" xr:uid="{52ADCB77-FF0E-42E8-AC3C-EF1C337A8CEE}"/>
    <hyperlink ref="H126" r:id="rId20" display="Color: L400 - MGN12H" xr:uid="{38BCC57D-FD03-4471-B927-A7E12E3DB518}"/>
    <hyperlink ref="H127" r:id="rId21" display="Color: L400 - MGN12H" xr:uid="{BD6A1B04-1DB5-4668-9226-2B16CD7A0FF8}"/>
    <hyperlink ref="H128" r:id="rId22" display="Color: L400 - MGN12H" xr:uid="{84FFEA79-873A-463E-9519-EA26805DD99E}"/>
    <hyperlink ref="H131" r:id="rId23" display="Color: 17HS19-2504S-H-V1" xr:uid="{63EC9369-3A56-4A55-ADB6-E63DA70C5687}"/>
    <hyperlink ref="H130" r:id="rId24" display="Color: 17HS16 2004S1" xr:uid="{982DA236-4666-4A0F-ABF1-9B4663B545D1}"/>
    <hyperlink ref="H9" r:id="rId25" display="M6x12x1mm -50PCS" xr:uid="{A89E7AD8-F920-4AF5-B677-81DF07FB2B6D}"/>
    <hyperlink ref="H6" r:id="rId26" display="688ZZ" xr:uid="{67E8D5C1-A156-413D-AF31-8133207133A7}"/>
    <hyperlink ref="H11" r:id="rId27" xr:uid="{960B587A-C345-41F8-9F00-5A72468B4E5D}"/>
    <hyperlink ref="H12" r:id="rId28" display="6x25 - 20PCS" xr:uid="{C587A070-5E91-4470-9462-B26505335891}"/>
    <hyperlink ref="H8" r:id="rId29" display="5x50 - 20PCS" xr:uid="{E2BC9294-BE45-4337-94D9-D1A7EB5D4876}"/>
    <hyperlink ref="H16" r:id="rId30" xr:uid="{5DF1E2A3-6063-41FD-B02D-4A4F1F17507D}"/>
    <hyperlink ref="H27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85" r:id="rId34" display="S: M3 - Color: 100PCS" xr:uid="{6449E8A0-482C-470E-97D7-EF72A2F2A913}"/>
    <hyperlink ref="H104" r:id="rId35" xr:uid="{6EB531E8-C3FE-4D01-8D5C-97575E119FCC}"/>
    <hyperlink ref="H109" r:id="rId36" xr:uid="{91B40BE5-71A5-4A12-84CC-1243069DE4B2}"/>
    <hyperlink ref="H86" r:id="rId37" xr:uid="{78488DAB-B700-44AA-A232-44B7D5C2B043}"/>
    <hyperlink ref="H113" r:id="rId38" display="ID: M5(100PCS)" xr:uid="{D89841D5-DE86-4EF3-A46E-87C4608B9CB4}"/>
    <hyperlink ref="H117" r:id="rId39" display="https://www.aliexpress.com/item/1005008848776055.html" xr:uid="{7702497C-D29A-4776-9646-42512A281763}"/>
    <hyperlink ref="H107" r:id="rId40" display="S: 10PCS M4 - L: 35" xr:uid="{EEAD0EA0-423E-407A-8EED-083AE2165F0E}"/>
    <hyperlink ref="H2" r:id="rId41" xr:uid="{62AD37E9-A9DA-4CA1-A9DB-A74CBED013B4}"/>
    <hyperlink ref="H17" r:id="rId42" display="500mm - 20x20x1mm" xr:uid="{6064A7A7-4811-4867-831D-5DD621C8F26F}"/>
    <hyperlink ref="H13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21" r:id="rId46" xr:uid="{0C02753A-60E1-4368-AD8A-ED26844E80A1}"/>
    <hyperlink ref="H20" r:id="rId47" display="Color: 420 mm" xr:uid="{0E8E3DCA-6FE1-423A-9C75-E7E7B690BDB7}"/>
    <hyperlink ref="H22" r:id="rId48" display="Color: L 368mm - 2020" xr:uid="{E9E961A2-7ED9-40FE-ABB1-92D1495A6058}"/>
    <hyperlink ref="H24" r:id="rId49" display="Color: 420 mm" xr:uid="{70CC92A1-3489-49FF-A305-EA4BEBA40EE8}"/>
    <hyperlink ref="H25" r:id="rId50" display="Color: 420 mm" xr:uid="{C2D7AC6A-2B7A-4CF5-B4C9-0F3C2D52367F}"/>
    <hyperlink ref="H26" r:id="rId51" display="Color: 420 mm" xr:uid="{A4259B2C-35E6-4E18-9A22-B39EA6E8A3E3}"/>
    <hyperlink ref="H23" r:id="rId52" display="Color: 4x10PCS 2028 Silver" xr:uid="{C93219CF-4D32-482A-8275-37C1A02D7B04}"/>
    <hyperlink ref="H19" r:id="rId53" display="Color: 1x2020 (4pcs)" xr:uid="{4F3C13A1-F52F-4206-900C-B4E77902BF50}"/>
    <hyperlink ref="H31" r:id="rId54" display="300x300 750W - 120VAC/220VAC" xr:uid="{CEFC505C-03F9-43E8-B793-CAA5CFF42081}"/>
    <hyperlink ref="H57" r:id="rId55" display="https://www.aliexpress.com/item/1005003495377989.html" xr:uid="{53405AEA-9397-4AE8-B810-7AEBBF316A57}"/>
    <hyperlink ref="H52" r:id="rId56" xr:uid="{3B1014CC-EECD-463A-9B67-F6D6371D1C92}"/>
    <hyperlink ref="H64" r:id="rId57" xr:uid="{6308B7F3-791E-4EE3-8A90-FF14B0C92347}"/>
    <hyperlink ref="H65" r:id="rId58" display="Color: 10Pin" xr:uid="{862B1710-40DD-4D45-8591-8540A1F3795D}"/>
    <hyperlink ref="H82" r:id="rId59" xr:uid="{F18AAE1C-3310-4534-A2A0-FD276F0CB471}"/>
    <hyperlink ref="H83" r:id="rId60" xr:uid="{D225820F-DD6F-47AC-B161-59F21384AEB1}"/>
    <hyperlink ref="H84" r:id="rId61" xr:uid="{A1C476E8-4C0A-416C-895F-CB0FF4CF4DA2}"/>
    <hyperlink ref="H73" r:id="rId62" xr:uid="{C6F7896B-3895-437C-B832-E4CE37CFA899}"/>
    <hyperlink ref="H30" r:id="rId63" xr:uid="{400AB169-DF3B-458B-B4BC-D325DD62A206}"/>
    <hyperlink ref="H7" r:id="rId64" display="5x50 - 20PCS" xr:uid="{4E84AE98-52E0-42C1-9368-357566ADE35E}"/>
    <hyperlink ref="H87" r:id="rId65" xr:uid="{18DA0DDC-EFC4-469D-9FB9-5EDF23E44C1F}"/>
    <hyperlink ref="H92" r:id="rId66" xr:uid="{42D5885D-D05C-4C8F-A0A6-31196BC8A998}"/>
    <hyperlink ref="H100" r:id="rId67" display="ID: M4(100PCS)" xr:uid="{B2777790-305B-4258-B27E-0B0510452C92}"/>
    <hyperlink ref="H105" r:id="rId68" xr:uid="{E30EE4AB-92BC-47EC-8B87-851649ADA300}"/>
    <hyperlink ref="H114" r:id="rId69" xr:uid="{5BE91CE9-3DDA-46F2-B5E0-34464497242A}"/>
    <hyperlink ref="H115" r:id="rId70" display="S: 10pcs M5 - L: 10mm" xr:uid="{9EF647D7-AE79-4758-903A-ED27EAD2484C}"/>
    <hyperlink ref="H116" r:id="rId71" display="S: 10pcs M5 - L: 10mm" xr:uid="{639FCC7E-D9C2-4EA7-AE47-19FB48D156C7}"/>
    <hyperlink ref="H118" r:id="rId72" display="S: 10pcs M5 - L: 10mm" xr:uid="{EBB69F9E-0C12-4E8C-AC83-B56049138C2E}"/>
    <hyperlink ref="H119" r:id="rId73" display="https://www.aliexpress.com/item/1005008848776055.html" xr:uid="{065EAEDB-D131-478B-8370-8C2E5646A41E}"/>
    <hyperlink ref="H120" r:id="rId74" display="https://www.aliexpress.com/item/1005008848776055.html" xr:uid="{98ED755C-0D14-4662-8A4F-2E49986E3D9B}"/>
    <hyperlink ref="H121" r:id="rId75" display="https://www.aliexpress.com/item/1005008848776055.html" xr:uid="{6BE4BDC7-9A08-4700-B501-17D2AA7DB2EE}"/>
    <hyperlink ref="H122" r:id="rId76" display="S: 10pcs M5 - L: 10mm" xr:uid="{DED82DCD-2FAA-4C81-9787-A3BB7443A197}"/>
    <hyperlink ref="H14" r:id="rId77" xr:uid="{C1232C0C-9B0D-4F15-9A17-88DD0F0B366E}"/>
    <hyperlink ref="H78" r:id="rId78" xr:uid="{6B342A7C-3223-441B-BA54-EB726DAE7228}"/>
    <hyperlink ref="H75" r:id="rId79" display="P16 RGB Silent Fan 120mm" xr:uid="{E4B8A3C8-371E-4D73-B3EC-96050B57F24F}"/>
    <hyperlink ref="H79" r:id="rId80" xr:uid="{EDBD9826-6B9E-46B8-AAB8-5C973DAABC96}"/>
    <hyperlink ref="H80" r:id="rId81" xr:uid="{8464A2DC-023A-4919-B297-2FDBBBD4D5B6}"/>
    <hyperlink ref="H76" r:id="rId82" xr:uid="{ECF57003-5ABF-4AD9-83DB-0628060DDD7B}"/>
    <hyperlink ref="H53" r:id="rId83" xr:uid="{097FDA04-D005-411A-B496-1BC475898E6F}"/>
    <hyperlink ref="H106" r:id="rId84" display="S: 10pcs M4 - L: 20mm" xr:uid="{C5826B9A-F771-46EF-9B2A-46E7597015A5}"/>
    <hyperlink ref="H108" r:id="rId85" display="S: 10pcs M4 - L: 20mm" xr:uid="{663B6ED5-C954-4DFD-AB9B-74D8830DCC67}"/>
    <hyperlink ref="H90" r:id="rId86" display="S: 10pcs M5 - L: 10mm" xr:uid="{8BCBDD54-C503-4A68-8616-51AB3BEA554B}"/>
    <hyperlink ref="H91" r:id="rId87" display="S: 10pcs M4 - L: 20mm" xr:uid="{6AAD8BA5-EC70-47FD-ACE5-B23DC37802DA}"/>
    <hyperlink ref="H93" r:id="rId88" display="S: 10pcs M3 - L: 8mm" xr:uid="{EA94F40A-3AF8-4F90-8F8B-18F229D3E320}"/>
    <hyperlink ref="H95" r:id="rId89" display="S: 10pcs M3 - L: 8mm" xr:uid="{8DA919EA-F0B5-4F30-99F9-DC086E0C9680}"/>
    <hyperlink ref="H97" r:id="rId90" display="S: 10pcs M3 - L: 8mm" xr:uid="{0F4A8E86-8F66-4D81-80B4-86F35EA862D9}"/>
    <hyperlink ref="H103" r:id="rId91" display="S: 10pcs M3 - L: 8mm" xr:uid="{3CDA4528-16EC-41F7-9A9D-351E96644BBA}"/>
    <hyperlink ref="H98" r:id="rId92" display="S: 25pcs M3" xr:uid="{E906F13E-EDC9-4892-9B18-79329B3CF0B7}"/>
    <hyperlink ref="H99" r:id="rId93" display="S: 10pcs M3" xr:uid="{71794BBC-CA39-4991-8CD1-307EFA2F836E}"/>
    <hyperlink ref="H110" r:id="rId94" display="S: 25pcs M3" xr:uid="{3131039F-B734-41A4-A204-A59C22ED9A57}"/>
    <hyperlink ref="H112" r:id="rId95" display="S: 10pcs M3" xr:uid="{F0B7A532-41BF-4348-B107-C1C26F684AC4}"/>
    <hyperlink ref="H125" r:id="rId96" display="https://s.click.aliexpress.com/e/_c3h7Zh5j" xr:uid="{C0116F09-FFC3-4E4E-8906-DA78E1D65DB9}"/>
    <hyperlink ref="H111" r:id="rId97" display="S: M3 - Color: 100PCS" xr:uid="{E80C8403-CA67-4B32-A81C-274DCBF027B6}"/>
    <hyperlink ref="H96" r:id="rId98" xr:uid="{3F8DDBEA-B7BB-4E3F-8466-A29F32CAF5D1}"/>
    <hyperlink ref="H72" r:id="rId99" xr:uid="{1C65B190-B877-4BEB-87D4-18BD33936E76}"/>
    <hyperlink ref="H129" r:id="rId100" xr:uid="{386B7278-E3B9-4DF0-B1C5-4005B9ADF7D4}"/>
    <hyperlink ref="H134" r:id="rId101" xr:uid="{09E8DC7A-1819-446C-B668-2580916B7F9F}"/>
    <hyperlink ref="H133" r:id="rId102" xr:uid="{888646B3-24C6-4409-9F44-77E56E7B7A8B}"/>
    <hyperlink ref="H132" r:id="rId103" display="Color: SET2" xr:uid="{52E04A98-B60B-4F15-8B05-408178C29178}"/>
    <hyperlink ref="H144" r:id="rId104" xr:uid="{BD4F34BF-BABC-43F5-BAB4-A3DF2FBBEDAB}"/>
    <hyperlink ref="H29" r:id="rId105" xr:uid="{8F819BE9-2369-4701-A38A-4CAAAAF7D828}"/>
    <hyperlink ref="H89" r:id="rId106" xr:uid="{FD857523-6A28-46A3-A3E9-9EC609DE7931}"/>
    <hyperlink ref="H88" r:id="rId107" xr:uid="{20046C27-ACC6-4E89-B149-345EDFAAC2D6}"/>
    <hyperlink ref="H102" r:id="rId108" display="https://www.aliexpress.com/item/1005004714550250.html?" xr:uid="{8E0A33B9-E206-4DB6-8F30-FE6E8DD914BF}"/>
    <hyperlink ref="H94" r:id="rId109" xr:uid="{330AC5D7-13FB-4E52-B95E-B580AC70C6B1}"/>
    <hyperlink ref="H123" r:id="rId110" xr:uid="{28376BAC-F087-487C-B2F0-7FF772C19284}"/>
    <hyperlink ref="H58" r:id="rId111" xr:uid="{F715A1CC-9CA1-442B-B658-7D77B0B5A47D}"/>
    <hyperlink ref="H70" r:id="rId112" xr:uid="{B2F77E2D-41DB-4334-9EF1-942450EAF1F0}"/>
    <hyperlink ref="H42" r:id="rId113" xr:uid="{4697CE9F-37A6-4EBE-B5CB-0B78D55AAF4A}"/>
    <hyperlink ref="H35" r:id="rId114" xr:uid="{BADCFAD1-27AD-4FC2-8F46-C04A1360F2D8}"/>
    <hyperlink ref="H36" r:id="rId115" xr:uid="{6B121041-A93E-47A9-944A-3A627E278258}"/>
    <hyperlink ref="H37" r:id="rId116" xr:uid="{D4B1DA1E-4846-4F4A-9BC5-CE5ABF7520A0}"/>
    <hyperlink ref="H39" r:id="rId117" xr:uid="{2B21CB21-157A-49F7-B2B5-2F1C9F8E6411}"/>
    <hyperlink ref="H38" r:id="rId118" xr:uid="{5D32C397-7AFE-4122-BE46-B36FFDF71890}"/>
    <hyperlink ref="H40" r:id="rId119" xr:uid="{3794AF2F-CC40-40C0-A070-5461966818B8}"/>
    <hyperlink ref="H44" r:id="rId120" xr:uid="{D4BDB1A2-A048-4EAD-B8FA-D5374824CC7C}"/>
    <hyperlink ref="H48" r:id="rId121" xr:uid="{C7B3D09D-EE0B-425C-87A5-2054DE685917}"/>
    <hyperlink ref="H47" r:id="rId122" xr:uid="{BC3B9D3E-7B7A-4C32-9BE6-07C092D57328}"/>
    <hyperlink ref="H50" r:id="rId123" xr:uid="{647B07C0-31E9-4F52-BEAE-F21124CE485C}"/>
    <hyperlink ref="H49" r:id="rId124" xr:uid="{C6036535-BBAD-4686-A216-4C5A14B3519D}"/>
    <hyperlink ref="H41" r:id="rId125" display="Color: Black - L: 5M - S: 24AWG" xr:uid="{FD94E789-F51F-47B9-99FE-39EB00339656}"/>
    <hyperlink ref="H45" r:id="rId126" display="Color: Black - L: 5M - S: 24AWG" xr:uid="{33053AC9-6732-4B4A-93DC-65BEC8CB8D63}"/>
    <hyperlink ref="H46" r:id="rId127" display="https://www.aliexpress.com/item/1005007376443518.html?" xr:uid="{1C3C086E-0886-4D17-B01B-476BDFB5FF95}"/>
    <hyperlink ref="H141" r:id="rId128" xr:uid="{9E56B61D-3D94-40A6-873E-D1EC559BA3B8}"/>
    <hyperlink ref="H140" r:id="rId129" xr:uid="{5D34AC5C-61D1-4876-A16D-0E2E72F6E01A}"/>
    <hyperlink ref="H138" r:id="rId130" display="https://www.digikey.co.nz/en/products/detail/te-connectivity-corcom-filters/1-1609112-2/2292077" xr:uid="{FE495711-5012-4CB3-86E1-430BB590F25E}"/>
    <hyperlink ref="H137" r:id="rId131" display="https://www.digikey.co.nz/en/products/detail/optifuse/PMA-DB-04-Q1S/13146953" xr:uid="{5DB56580-13E1-4753-8657-60F62B9670BE}"/>
    <hyperlink ref="H136" r:id="rId132" display="https://www.digikey.co.nz/en/products/detail/schurter-inc/8020-5078/6588337" xr:uid="{D716434F-96BF-4A26-B466-FF05D9C11228}"/>
    <hyperlink ref="H139" r:id="rId133" xr:uid="{94EE536E-1057-493B-B7FC-557614908FE9}"/>
    <hyperlink ref="H142" r:id="rId134" display="https://www.aliexpress.com/item/1005007567533885.html?" xr:uid="{47928692-95F8-432E-A6FC-1C08C7D78049}"/>
    <hyperlink ref="H51" r:id="rId135" xr:uid="{EAC50E0E-BECB-45E5-AD4B-3EFDBB8FF8A6}"/>
    <hyperlink ref="H54" r:id="rId136" xr:uid="{9008FD27-46CC-442D-B7F1-940E4267925E}"/>
    <hyperlink ref="H81" r:id="rId137" xr:uid="{F951F5EF-0183-46FD-ACF6-0831ED584BA5}"/>
    <hyperlink ref="H135" r:id="rId138" xr:uid="{FC5FF998-2236-4239-A1E8-2E263A1911D2}"/>
    <hyperlink ref="H43" r:id="rId139" xr:uid="{13A6BF78-0B33-499B-98F6-B3C4948AE96D}"/>
    <hyperlink ref="H68" r:id="rId140" xr:uid="{AFF701D0-1731-49B5-8101-8A2803F65D59}"/>
    <hyperlink ref="H69" r:id="rId141" xr:uid="{7ECBCDEC-1F6D-45A3-AEA3-1923B6C6EA2E}"/>
    <hyperlink ref="H66" r:id="rId142" display="https://www.aliexpress.com/item/32950061517.html?" xr:uid="{C0677D29-1183-4D38-AEC1-1EA1A576852E}"/>
    <hyperlink ref="H67" r:id="rId143" display="https://www.aliexpress.com/item/32950061517.html?" xr:uid="{969D89FE-A081-4790-BD95-00E7AB3F75EA}"/>
    <hyperlink ref="H33" r:id="rId144" display="Color: Brown L: 1M S: 18 AWG" xr:uid="{EDF38EC5-67D4-48C9-B6C3-79FA6ED002C3}"/>
    <hyperlink ref="H34" r:id="rId145" display="Color: Brown L: 1M S: 18 AWG" xr:uid="{CD758287-6157-49E7-BFD0-B4849E977BB4}"/>
    <hyperlink ref="H32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8"/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9" sqref="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360</v>
      </c>
      <c r="C1" s="176" t="s">
        <v>361</v>
      </c>
      <c r="D1" s="176" t="s">
        <v>2</v>
      </c>
      <c r="E1" s="176" t="s">
        <v>362</v>
      </c>
      <c r="F1" s="141"/>
    </row>
    <row r="2" spans="1:10">
      <c r="A2" s="54" t="s">
        <v>363</v>
      </c>
      <c r="B2" s="20" t="s">
        <v>364</v>
      </c>
      <c r="C2" s="1" t="s">
        <v>365</v>
      </c>
      <c r="D2" s="192">
        <v>420</v>
      </c>
      <c r="E2" s="1">
        <v>1</v>
      </c>
      <c r="F2" s="142" t="s">
        <v>366</v>
      </c>
      <c r="G2" s="193"/>
      <c r="H2" s="193"/>
      <c r="I2" s="193"/>
      <c r="J2" s="193"/>
    </row>
    <row r="3" spans="1:10">
      <c r="A3" s="51" t="s">
        <v>367</v>
      </c>
      <c r="B3" s="20" t="s">
        <v>364</v>
      </c>
      <c r="C3" s="1" t="s">
        <v>368</v>
      </c>
      <c r="D3" s="192">
        <v>368</v>
      </c>
      <c r="E3" s="1">
        <v>1</v>
      </c>
      <c r="F3" s="194" t="s">
        <v>369</v>
      </c>
      <c r="G3" s="193"/>
      <c r="H3" s="193"/>
      <c r="I3" s="193"/>
      <c r="J3" s="193"/>
    </row>
    <row r="4" spans="1:10">
      <c r="A4" s="51" t="s">
        <v>370</v>
      </c>
      <c r="B4" s="20" t="s">
        <v>364</v>
      </c>
      <c r="C4" s="1" t="s">
        <v>371</v>
      </c>
      <c r="D4" s="192">
        <v>172</v>
      </c>
      <c r="E4" s="1">
        <v>1</v>
      </c>
      <c r="F4" s="194" t="s">
        <v>372</v>
      </c>
      <c r="G4" s="193"/>
      <c r="H4" s="193"/>
      <c r="I4" s="193"/>
      <c r="J4" s="193"/>
    </row>
    <row r="5" spans="1:10">
      <c r="A5" s="51" t="s">
        <v>373</v>
      </c>
      <c r="B5" s="20" t="s">
        <v>374</v>
      </c>
      <c r="C5" s="1" t="s">
        <v>375</v>
      </c>
      <c r="D5" s="192">
        <v>420</v>
      </c>
      <c r="E5" s="1">
        <v>4</v>
      </c>
      <c r="F5" s="194" t="s">
        <v>376</v>
      </c>
      <c r="G5" s="193"/>
      <c r="H5" s="193"/>
      <c r="I5" s="193"/>
      <c r="J5" s="193"/>
    </row>
    <row r="6" spans="1:10">
      <c r="A6" s="25"/>
      <c r="B6" s="20" t="s">
        <v>374</v>
      </c>
      <c r="C6" s="1" t="s">
        <v>377</v>
      </c>
      <c r="D6" s="192">
        <v>480</v>
      </c>
      <c r="E6" s="1">
        <v>4</v>
      </c>
      <c r="F6" s="143"/>
      <c r="G6" s="193"/>
      <c r="H6" s="193"/>
      <c r="I6" s="193"/>
      <c r="J6" s="193"/>
    </row>
    <row r="7" spans="1:10">
      <c r="A7" s="25"/>
      <c r="B7" s="20" t="s">
        <v>374</v>
      </c>
      <c r="C7" s="1" t="s">
        <v>378</v>
      </c>
      <c r="D7" s="192">
        <v>750</v>
      </c>
      <c r="E7" s="1">
        <v>4</v>
      </c>
      <c r="F7" s="143"/>
      <c r="G7" s="193"/>
      <c r="H7" s="193"/>
      <c r="I7" s="193"/>
      <c r="J7" s="193"/>
    </row>
    <row r="8" spans="1:10">
      <c r="A8" s="25"/>
      <c r="B8" s="20" t="s">
        <v>379</v>
      </c>
      <c r="C8" s="1" t="s">
        <v>380</v>
      </c>
      <c r="D8" s="192"/>
      <c r="E8" s="1">
        <v>34</v>
      </c>
      <c r="F8" s="143"/>
      <c r="G8" s="193"/>
      <c r="H8" s="193"/>
      <c r="I8" s="193"/>
      <c r="J8" s="193"/>
    </row>
    <row r="9" spans="1:10">
      <c r="A9" s="25"/>
      <c r="B9" s="20" t="s">
        <v>381</v>
      </c>
      <c r="C9" s="1" t="s">
        <v>382</v>
      </c>
      <c r="D9" s="192"/>
      <c r="E9" s="1">
        <v>2</v>
      </c>
      <c r="F9" s="143"/>
      <c r="G9" s="193"/>
      <c r="H9" s="193"/>
      <c r="I9" s="193"/>
      <c r="J9" s="193"/>
    </row>
    <row r="10" spans="1:10">
      <c r="A10" s="25"/>
      <c r="B10" s="20" t="s">
        <v>383</v>
      </c>
      <c r="C10" s="165" t="s">
        <v>20</v>
      </c>
      <c r="D10" s="192"/>
      <c r="E10" s="1">
        <v>81</v>
      </c>
      <c r="F10" s="143"/>
      <c r="G10" s="193"/>
      <c r="H10" s="193"/>
      <c r="I10" s="193"/>
      <c r="J10" s="193"/>
    </row>
    <row r="11" spans="1:10">
      <c r="A11" s="25"/>
      <c r="B11" s="20" t="s">
        <v>282</v>
      </c>
      <c r="C11" s="165" t="s">
        <v>20</v>
      </c>
      <c r="D11" s="192"/>
      <c r="E11" s="1">
        <v>8</v>
      </c>
      <c r="F11" s="154"/>
      <c r="G11" s="193"/>
      <c r="H11" s="193"/>
      <c r="I11" s="193"/>
      <c r="J11" s="193"/>
    </row>
    <row r="12" spans="1:10">
      <c r="A12" s="51" t="s">
        <v>384</v>
      </c>
      <c r="B12" s="20" t="s">
        <v>385</v>
      </c>
      <c r="C12" s="165" t="s">
        <v>20</v>
      </c>
      <c r="D12" s="192"/>
      <c r="E12" s="1">
        <v>78</v>
      </c>
      <c r="F12" s="158"/>
      <c r="G12" s="193"/>
      <c r="H12" s="193"/>
      <c r="I12" s="193"/>
      <c r="J12" s="193"/>
    </row>
    <row r="13" spans="1:10">
      <c r="A13" s="25"/>
      <c r="B13" s="20" t="s">
        <v>286</v>
      </c>
      <c r="C13" s="165" t="s">
        <v>20</v>
      </c>
      <c r="D13" s="192"/>
      <c r="E13" s="1">
        <v>81</v>
      </c>
      <c r="F13" s="155"/>
      <c r="G13" s="193"/>
      <c r="H13" s="193"/>
      <c r="I13" s="193"/>
      <c r="J13" s="193"/>
    </row>
    <row r="14" spans="1:10">
      <c r="A14" s="25"/>
      <c r="B14" s="20" t="s">
        <v>294</v>
      </c>
      <c r="C14" s="165" t="s">
        <v>20</v>
      </c>
      <c r="D14" s="192"/>
      <c r="E14" s="1">
        <v>4</v>
      </c>
      <c r="F14" s="154"/>
      <c r="G14" s="193"/>
      <c r="H14" s="193"/>
      <c r="I14" s="193"/>
      <c r="J14" s="193"/>
    </row>
    <row r="15" spans="1:10">
      <c r="A15" s="25"/>
      <c r="B15" s="20" t="s">
        <v>302</v>
      </c>
      <c r="C15" s="165" t="s">
        <v>20</v>
      </c>
      <c r="D15" s="192"/>
      <c r="E15" s="1">
        <v>24</v>
      </c>
      <c r="F15" s="155"/>
      <c r="G15" s="193"/>
      <c r="H15" s="193"/>
      <c r="I15" s="193"/>
      <c r="J15" s="193"/>
    </row>
    <row r="16" spans="1:10">
      <c r="A16" s="159" t="s">
        <v>386</v>
      </c>
      <c r="B16" s="20" t="s">
        <v>387</v>
      </c>
      <c r="C16" s="153" t="s">
        <v>388</v>
      </c>
      <c r="D16" s="192"/>
      <c r="E16" s="1">
        <v>1</v>
      </c>
      <c r="F16" s="144"/>
      <c r="G16" s="193"/>
      <c r="H16" s="193"/>
      <c r="I16" s="193"/>
      <c r="J16" s="193"/>
    </row>
    <row r="17" spans="1:7">
      <c r="A17" s="25"/>
      <c r="B17" s="20" t="s">
        <v>389</v>
      </c>
      <c r="C17" s="145" t="s">
        <v>390</v>
      </c>
      <c r="D17" s="192"/>
      <c r="E17" s="1">
        <v>4</v>
      </c>
      <c r="F17" s="154"/>
      <c r="G17" s="193"/>
    </row>
    <row r="18" spans="1:7">
      <c r="A18" s="25"/>
      <c r="B18" s="20" t="s">
        <v>391</v>
      </c>
      <c r="C18" s="1" t="s">
        <v>388</v>
      </c>
      <c r="D18" s="192"/>
      <c r="E18" s="1">
        <v>4</v>
      </c>
      <c r="F18" s="154"/>
      <c r="G18" s="193"/>
    </row>
    <row r="19" spans="1:7">
      <c r="A19" s="61"/>
      <c r="B19" s="43" t="s">
        <v>392</v>
      </c>
      <c r="C19" s="1" t="s">
        <v>388</v>
      </c>
      <c r="D19" s="195"/>
      <c r="E19" s="44">
        <v>4</v>
      </c>
      <c r="F19" s="156"/>
      <c r="G19" s="193"/>
    </row>
    <row r="20" spans="1:7">
      <c r="B20" s="193"/>
      <c r="C20" s="193"/>
      <c r="E20" s="193"/>
      <c r="G20" s="19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4"/>
  <sheetViews>
    <sheetView view="pageLayout" topLeftCell="A6" zoomScaleNormal="100" workbookViewId="0">
      <selection activeCell="H27" sqref="H27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53"/>
      <c r="B1" s="66" t="s">
        <v>360</v>
      </c>
      <c r="C1" s="176" t="s">
        <v>361</v>
      </c>
      <c r="D1" s="176" t="s">
        <v>362</v>
      </c>
      <c r="E1" s="146"/>
      <c r="G1" t="s">
        <v>360</v>
      </c>
      <c r="H1" t="s">
        <v>393</v>
      </c>
    </row>
    <row r="2" spans="1:8">
      <c r="A2" s="54" t="s">
        <v>363</v>
      </c>
      <c r="B2" s="165" t="s">
        <v>26</v>
      </c>
      <c r="C2" s="28"/>
      <c r="D2" s="15">
        <v>2</v>
      </c>
      <c r="E2" s="147" t="s">
        <v>366</v>
      </c>
      <c r="G2" t="s">
        <v>26</v>
      </c>
      <c r="H2">
        <v>2</v>
      </c>
    </row>
    <row r="3" spans="1:8">
      <c r="A3" s="51" t="s">
        <v>367</v>
      </c>
      <c r="B3" s="165"/>
      <c r="C3" s="28"/>
      <c r="D3" s="15"/>
      <c r="E3" s="196" t="s">
        <v>369</v>
      </c>
      <c r="G3" s="166" t="s">
        <v>394</v>
      </c>
      <c r="H3" s="166">
        <v>1</v>
      </c>
    </row>
    <row r="4" spans="1:8">
      <c r="A4" s="51" t="s">
        <v>370</v>
      </c>
      <c r="B4" s="165" t="s">
        <v>34</v>
      </c>
      <c r="C4" s="28"/>
      <c r="D4" s="15">
        <v>36</v>
      </c>
      <c r="E4" s="196" t="s">
        <v>372</v>
      </c>
      <c r="G4" t="s">
        <v>34</v>
      </c>
      <c r="H4">
        <v>36</v>
      </c>
    </row>
    <row r="5" spans="1:8">
      <c r="A5" s="51" t="s">
        <v>373</v>
      </c>
      <c r="B5" s="165" t="s">
        <v>36</v>
      </c>
      <c r="C5" s="28"/>
      <c r="D5" s="15">
        <v>24</v>
      </c>
      <c r="E5" s="196" t="s">
        <v>376</v>
      </c>
      <c r="G5" t="s">
        <v>36</v>
      </c>
      <c r="H5">
        <v>24</v>
      </c>
    </row>
    <row r="6" spans="1:8">
      <c r="A6" s="25"/>
      <c r="B6" s="165" t="s">
        <v>38</v>
      </c>
      <c r="C6" s="28"/>
      <c r="D6" s="15">
        <v>4</v>
      </c>
      <c r="E6" s="148"/>
      <c r="G6" s="1" t="s">
        <v>38</v>
      </c>
      <c r="H6">
        <v>4</v>
      </c>
    </row>
    <row r="7" spans="1:8">
      <c r="A7" s="25"/>
      <c r="B7" s="165" t="s">
        <v>40</v>
      </c>
      <c r="C7" s="28"/>
      <c r="D7" s="15">
        <v>8</v>
      </c>
      <c r="E7" s="148"/>
      <c r="G7" s="1" t="s">
        <v>40</v>
      </c>
      <c r="H7">
        <v>8</v>
      </c>
    </row>
    <row r="8" spans="1:8">
      <c r="A8" s="25"/>
      <c r="B8" s="165" t="s">
        <v>395</v>
      </c>
      <c r="C8" s="28"/>
      <c r="D8" s="15">
        <v>1</v>
      </c>
      <c r="E8" s="148"/>
      <c r="G8" t="s">
        <v>396</v>
      </c>
      <c r="H8">
        <v>1</v>
      </c>
    </row>
    <row r="9" spans="1:8">
      <c r="A9" s="25"/>
      <c r="B9" s="165"/>
      <c r="C9" s="28"/>
      <c r="D9" s="15"/>
      <c r="E9" s="148"/>
      <c r="G9" s="166" t="s">
        <v>397</v>
      </c>
      <c r="H9" s="166">
        <v>1</v>
      </c>
    </row>
    <row r="10" spans="1:8">
      <c r="A10" s="25"/>
      <c r="B10" t="s">
        <v>398</v>
      </c>
      <c r="C10"/>
      <c r="D10" s="15">
        <v>2</v>
      </c>
      <c r="E10" s="148"/>
      <c r="G10" t="s">
        <v>398</v>
      </c>
      <c r="H10">
        <v>2</v>
      </c>
    </row>
    <row r="11" spans="1:8">
      <c r="A11" s="25"/>
      <c r="B11" s="1" t="s">
        <v>399</v>
      </c>
      <c r="C11" s="1"/>
      <c r="D11" s="15">
        <v>5</v>
      </c>
      <c r="E11" s="148"/>
      <c r="G11" s="1" t="s">
        <v>399</v>
      </c>
      <c r="H11">
        <v>1</v>
      </c>
    </row>
    <row r="12" spans="1:8">
      <c r="A12" s="51" t="s">
        <v>384</v>
      </c>
      <c r="B12" s="2" t="s">
        <v>400</v>
      </c>
      <c r="C12" s="28"/>
      <c r="D12" s="15">
        <v>52</v>
      </c>
      <c r="E12" s="152" t="s">
        <v>386</v>
      </c>
      <c r="G12" t="s">
        <v>400</v>
      </c>
      <c r="H12">
        <v>52</v>
      </c>
    </row>
    <row r="13" spans="1:8">
      <c r="A13" s="25"/>
      <c r="B13" s="165" t="s">
        <v>401</v>
      </c>
      <c r="C13" s="28"/>
      <c r="D13" s="15">
        <v>8</v>
      </c>
      <c r="E13" s="148"/>
      <c r="G13" t="s">
        <v>402</v>
      </c>
      <c r="H13">
        <v>8</v>
      </c>
    </row>
    <row r="14" spans="1:8">
      <c r="A14" s="25"/>
      <c r="B14" s="165" t="s">
        <v>403</v>
      </c>
      <c r="C14" s="28"/>
      <c r="D14" s="15">
        <v>8</v>
      </c>
      <c r="E14" s="148"/>
      <c r="G14" s="166" t="s">
        <v>232</v>
      </c>
      <c r="H14" s="166">
        <v>12</v>
      </c>
    </row>
    <row r="15" spans="1:8">
      <c r="A15" s="25"/>
      <c r="B15" s="2" t="s">
        <v>238</v>
      </c>
      <c r="C15" s="28"/>
      <c r="D15" s="15">
        <v>8</v>
      </c>
      <c r="E15" s="148"/>
      <c r="G15" t="s">
        <v>238</v>
      </c>
      <c r="H15">
        <v>8</v>
      </c>
    </row>
    <row r="16" spans="1:8">
      <c r="A16" s="25"/>
      <c r="B16" s="2" t="s">
        <v>241</v>
      </c>
      <c r="C16" s="28"/>
      <c r="D16" s="15">
        <v>52</v>
      </c>
      <c r="E16" s="148"/>
      <c r="G16" t="s">
        <v>241</v>
      </c>
      <c r="H16">
        <v>52</v>
      </c>
    </row>
    <row r="17" spans="1:8">
      <c r="A17" s="25"/>
      <c r="B17" s="2" t="s">
        <v>243</v>
      </c>
      <c r="C17" s="28"/>
      <c r="D17" s="15">
        <v>8</v>
      </c>
      <c r="E17" s="148"/>
      <c r="G17" s="166" t="s">
        <v>404</v>
      </c>
      <c r="H17" s="166">
        <v>12</v>
      </c>
    </row>
    <row r="18" spans="1:8">
      <c r="A18" s="25"/>
      <c r="C18" s="28"/>
      <c r="D18" s="15"/>
      <c r="E18" s="148"/>
      <c r="G18" s="166" t="s">
        <v>405</v>
      </c>
      <c r="H18" s="166">
        <v>4</v>
      </c>
    </row>
    <row r="19" spans="1:8">
      <c r="A19" s="25"/>
      <c r="B19" s="2" t="s">
        <v>406</v>
      </c>
      <c r="C19" s="28"/>
      <c r="D19" s="15">
        <v>2</v>
      </c>
      <c r="E19" s="148"/>
      <c r="G19" t="s">
        <v>406</v>
      </c>
      <c r="H19">
        <v>2</v>
      </c>
    </row>
    <row r="20" spans="1:8">
      <c r="A20" s="25"/>
      <c r="B20" s="2" t="s">
        <v>407</v>
      </c>
      <c r="C20" s="28"/>
      <c r="D20" s="15">
        <v>11</v>
      </c>
      <c r="E20" s="148"/>
      <c r="G20" t="s">
        <v>278</v>
      </c>
      <c r="H20">
        <v>11</v>
      </c>
    </row>
    <row r="21" spans="1:8">
      <c r="A21" s="25"/>
      <c r="B21" s="2" t="s">
        <v>383</v>
      </c>
      <c r="C21" s="28"/>
      <c r="D21" s="15">
        <v>19</v>
      </c>
      <c r="E21" s="148"/>
      <c r="G21" s="166" t="s">
        <v>383</v>
      </c>
      <c r="H21" s="166">
        <v>23</v>
      </c>
    </row>
    <row r="22" spans="1:8">
      <c r="A22" s="25"/>
      <c r="B22" s="2" t="s">
        <v>385</v>
      </c>
      <c r="C22" s="28"/>
      <c r="D22" s="15">
        <v>4</v>
      </c>
      <c r="E22" s="148"/>
      <c r="G22" s="166" t="s">
        <v>385</v>
      </c>
      <c r="H22" s="166">
        <v>6</v>
      </c>
    </row>
    <row r="23" spans="1:8">
      <c r="A23" s="25"/>
      <c r="B23" s="2" t="s">
        <v>286</v>
      </c>
      <c r="C23" s="28"/>
      <c r="D23" s="15">
        <v>27</v>
      </c>
      <c r="E23" s="148"/>
      <c r="G23" s="166" t="s">
        <v>286</v>
      </c>
      <c r="H23" s="166">
        <v>31</v>
      </c>
    </row>
    <row r="24" spans="1:8">
      <c r="A24" s="25"/>
      <c r="B24" s="2" t="s">
        <v>290</v>
      </c>
      <c r="C24" s="28"/>
      <c r="D24" s="15">
        <v>4</v>
      </c>
      <c r="E24" s="148"/>
      <c r="G24" t="s">
        <v>290</v>
      </c>
      <c r="H24">
        <v>4</v>
      </c>
    </row>
    <row r="25" spans="1:8">
      <c r="A25" s="25"/>
      <c r="B25" s="2" t="s">
        <v>296</v>
      </c>
      <c r="C25" s="28"/>
      <c r="D25" s="15">
        <v>2</v>
      </c>
      <c r="E25" s="148"/>
      <c r="G25" t="s">
        <v>296</v>
      </c>
      <c r="H25">
        <v>2</v>
      </c>
    </row>
    <row r="26" spans="1:8">
      <c r="A26" s="25"/>
      <c r="B26" s="165" t="s">
        <v>408</v>
      </c>
      <c r="C26" s="149" t="s">
        <v>409</v>
      </c>
      <c r="D26" s="15">
        <v>2</v>
      </c>
      <c r="E26" s="150"/>
      <c r="G26" t="s">
        <v>410</v>
      </c>
      <c r="H26">
        <v>2</v>
      </c>
    </row>
    <row r="27" spans="1:8">
      <c r="A27" s="25"/>
      <c r="B27" s="165" t="s">
        <v>411</v>
      </c>
      <c r="C27" s="149" t="s">
        <v>412</v>
      </c>
      <c r="D27" s="15">
        <v>1</v>
      </c>
      <c r="E27" s="148"/>
      <c r="G27" t="s">
        <v>413</v>
      </c>
      <c r="H27">
        <v>1</v>
      </c>
    </row>
    <row r="28" spans="1:8">
      <c r="A28" s="25"/>
      <c r="B28" s="165" t="s">
        <v>414</v>
      </c>
      <c r="C28" s="28"/>
      <c r="D28" s="15">
        <v>2</v>
      </c>
      <c r="E28" s="148"/>
      <c r="G28" t="s">
        <v>414</v>
      </c>
      <c r="H28">
        <v>2</v>
      </c>
    </row>
    <row r="29" spans="1:8">
      <c r="A29" s="25"/>
      <c r="B29" s="2" t="s">
        <v>415</v>
      </c>
      <c r="C29" s="145" t="s">
        <v>386</v>
      </c>
      <c r="D29" s="15">
        <v>1</v>
      </c>
      <c r="E29" s="148"/>
      <c r="G29" t="s">
        <v>416</v>
      </c>
      <c r="H29">
        <v>1</v>
      </c>
    </row>
    <row r="30" spans="1:8">
      <c r="A30" s="25"/>
      <c r="B30" s="2" t="s">
        <v>417</v>
      </c>
      <c r="C30" s="165" t="s">
        <v>388</v>
      </c>
      <c r="D30" s="15">
        <v>4</v>
      </c>
      <c r="E30" s="148"/>
      <c r="G30" t="s">
        <v>417</v>
      </c>
      <c r="H30">
        <v>4</v>
      </c>
    </row>
    <row r="31" spans="1:8">
      <c r="A31" s="25"/>
      <c r="B31" s="165" t="s">
        <v>418</v>
      </c>
      <c r="C31" s="165" t="s">
        <v>388</v>
      </c>
      <c r="D31" s="15">
        <v>2</v>
      </c>
      <c r="E31" s="148"/>
      <c r="G31" s="165" t="s">
        <v>418</v>
      </c>
      <c r="H31">
        <v>2</v>
      </c>
    </row>
    <row r="32" spans="1:8">
      <c r="A32" s="25"/>
      <c r="B32" s="165" t="s">
        <v>419</v>
      </c>
      <c r="C32" s="165" t="s">
        <v>388</v>
      </c>
      <c r="D32" s="15">
        <v>1</v>
      </c>
      <c r="E32" s="148"/>
      <c r="G32" t="s">
        <v>420</v>
      </c>
      <c r="H32">
        <v>1</v>
      </c>
    </row>
    <row r="33" spans="1:8">
      <c r="A33" s="25"/>
      <c r="B33" s="165"/>
      <c r="C33" s="165"/>
      <c r="D33" s="15"/>
      <c r="E33" s="148"/>
      <c r="G33" s="166" t="s">
        <v>421</v>
      </c>
      <c r="H33" s="166">
        <v>1</v>
      </c>
    </row>
    <row r="34" spans="1:8">
      <c r="A34" s="25"/>
      <c r="B34" s="165"/>
      <c r="C34" s="165"/>
      <c r="D34" s="15"/>
      <c r="E34" s="148"/>
      <c r="G34" s="166" t="s">
        <v>422</v>
      </c>
      <c r="H34" s="166">
        <v>1</v>
      </c>
    </row>
    <row r="35" spans="1:8">
      <c r="A35" s="25"/>
      <c r="B35" s="2" t="s">
        <v>423</v>
      </c>
      <c r="C35" s="165" t="s">
        <v>388</v>
      </c>
      <c r="D35" s="15">
        <v>1</v>
      </c>
      <c r="E35" s="148"/>
      <c r="G35" t="s">
        <v>423</v>
      </c>
      <c r="H35">
        <v>1</v>
      </c>
    </row>
    <row r="36" spans="1:8">
      <c r="A36" s="25"/>
      <c r="B36" s="2" t="s">
        <v>424</v>
      </c>
      <c r="C36" s="165" t="s">
        <v>388</v>
      </c>
      <c r="D36" s="15">
        <v>1</v>
      </c>
      <c r="E36" s="148"/>
      <c r="G36" t="s">
        <v>424</v>
      </c>
      <c r="H36">
        <v>1</v>
      </c>
    </row>
    <row r="37" spans="1:8" ht="15.75" thickBot="1">
      <c r="A37" s="61"/>
      <c r="B37" s="2" t="s">
        <v>425</v>
      </c>
      <c r="C37" s="165" t="s">
        <v>388</v>
      </c>
      <c r="D37" s="15">
        <v>2</v>
      </c>
      <c r="E37" s="151"/>
      <c r="G37" t="s">
        <v>425</v>
      </c>
      <c r="H37">
        <v>2</v>
      </c>
    </row>
    <row r="38" spans="1:8">
      <c r="B38" s="165" t="s">
        <v>426</v>
      </c>
      <c r="C38" s="165" t="s">
        <v>388</v>
      </c>
      <c r="D38" s="15">
        <v>2</v>
      </c>
      <c r="G38" s="167" t="s">
        <v>427</v>
      </c>
      <c r="H38" s="168">
        <v>2</v>
      </c>
    </row>
    <row r="39" spans="1:8">
      <c r="B39" s="2" t="s">
        <v>428</v>
      </c>
      <c r="C39" s="165" t="s">
        <v>388</v>
      </c>
      <c r="D39" s="15">
        <v>1</v>
      </c>
      <c r="G39" t="s">
        <v>429</v>
      </c>
      <c r="H39">
        <v>1</v>
      </c>
    </row>
    <row r="40" spans="1:8">
      <c r="B40" s="2" t="s">
        <v>430</v>
      </c>
      <c r="C40" s="165" t="s">
        <v>388</v>
      </c>
      <c r="D40" s="15">
        <v>1</v>
      </c>
      <c r="G40" t="s">
        <v>430</v>
      </c>
      <c r="H40">
        <v>1</v>
      </c>
    </row>
    <row r="41" spans="1:8">
      <c r="C41" s="165"/>
      <c r="D41" s="15"/>
      <c r="G41" s="166" t="s">
        <v>431</v>
      </c>
      <c r="H41" s="166">
        <v>1</v>
      </c>
    </row>
    <row r="42" spans="1:8">
      <c r="C42" s="165"/>
      <c r="D42" s="15"/>
      <c r="G42" s="166" t="s">
        <v>432</v>
      </c>
      <c r="H42" s="166">
        <v>1</v>
      </c>
    </row>
    <row r="43" spans="1:8">
      <c r="B43" s="2" t="s">
        <v>433</v>
      </c>
      <c r="C43" s="165" t="s">
        <v>388</v>
      </c>
      <c r="D43" s="15">
        <v>1</v>
      </c>
      <c r="G43" t="s">
        <v>433</v>
      </c>
      <c r="H43">
        <v>1</v>
      </c>
    </row>
    <row r="44" spans="1:8" ht="15.75" thickBot="1">
      <c r="B44" s="52" t="s">
        <v>434</v>
      </c>
      <c r="C44" s="197" t="s">
        <v>388</v>
      </c>
      <c r="D44" s="62">
        <v>1</v>
      </c>
      <c r="G44" t="s">
        <v>434</v>
      </c>
      <c r="H44">
        <v>1</v>
      </c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2"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>
      <selection activeCell="B26" sqref="B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360</v>
      </c>
      <c r="C1" s="176" t="s">
        <v>361</v>
      </c>
      <c r="D1" s="176" t="s">
        <v>362</v>
      </c>
      <c r="E1" s="50"/>
    </row>
    <row r="2" spans="1:5">
      <c r="A2" s="54" t="s">
        <v>363</v>
      </c>
      <c r="B2" s="165" t="s">
        <v>435</v>
      </c>
      <c r="C2"/>
      <c r="D2" s="15">
        <v>1</v>
      </c>
      <c r="E2" s="55" t="s">
        <v>366</v>
      </c>
    </row>
    <row r="3" spans="1:5">
      <c r="A3" s="51" t="s">
        <v>367</v>
      </c>
      <c r="B3" s="177" t="s">
        <v>154</v>
      </c>
      <c r="C3" s="177"/>
      <c r="D3" s="15">
        <v>1</v>
      </c>
      <c r="E3" s="198" t="s">
        <v>369</v>
      </c>
    </row>
    <row r="4" spans="1:5">
      <c r="A4" s="51" t="s">
        <v>370</v>
      </c>
      <c r="B4" s="177" t="s">
        <v>436</v>
      </c>
      <c r="C4" s="177"/>
      <c r="D4" s="15">
        <v>1</v>
      </c>
      <c r="E4" s="198" t="s">
        <v>372</v>
      </c>
    </row>
    <row r="5" spans="1:5">
      <c r="A5" s="51" t="s">
        <v>373</v>
      </c>
      <c r="B5" t="s">
        <v>157</v>
      </c>
      <c r="C5"/>
      <c r="D5" s="15">
        <v>1</v>
      </c>
      <c r="E5" s="198" t="s">
        <v>376</v>
      </c>
    </row>
    <row r="6" spans="1:5">
      <c r="A6" s="25"/>
      <c r="B6" s="28" t="s">
        <v>437</v>
      </c>
      <c r="C6"/>
      <c r="D6" s="15">
        <v>1</v>
      </c>
      <c r="E6" s="56"/>
    </row>
    <row r="7" spans="1:5">
      <c r="A7" s="25"/>
      <c r="B7" s="58" t="s">
        <v>438</v>
      </c>
      <c r="C7"/>
      <c r="D7" s="15">
        <v>1</v>
      </c>
      <c r="E7" s="56"/>
    </row>
    <row r="8" spans="1:5">
      <c r="A8" s="25"/>
      <c r="B8" t="s">
        <v>439</v>
      </c>
      <c r="C8" s="67"/>
      <c r="D8" s="15">
        <v>9</v>
      </c>
      <c r="E8" s="56"/>
    </row>
    <row r="9" spans="1:5">
      <c r="A9" s="25"/>
      <c r="B9" t="s">
        <v>440</v>
      </c>
      <c r="C9"/>
      <c r="D9" s="15">
        <v>2</v>
      </c>
      <c r="E9" s="56"/>
    </row>
    <row r="10" spans="1:5">
      <c r="A10" s="25"/>
      <c r="B10" s="1" t="s">
        <v>441</v>
      </c>
      <c r="C10" s="1"/>
      <c r="D10" s="15">
        <v>7</v>
      </c>
      <c r="E10" s="56"/>
    </row>
    <row r="11" spans="1:5">
      <c r="A11" s="25"/>
      <c r="B11" t="s">
        <v>240</v>
      </c>
      <c r="C11"/>
      <c r="D11" s="15">
        <v>6</v>
      </c>
      <c r="E11" s="56"/>
    </row>
    <row r="12" spans="1:5">
      <c r="A12" s="51" t="s">
        <v>384</v>
      </c>
      <c r="B12" s="1" t="s">
        <v>404</v>
      </c>
      <c r="C12" s="1"/>
      <c r="D12" s="15">
        <v>2</v>
      </c>
      <c r="E12" s="56"/>
    </row>
    <row r="13" spans="1:5">
      <c r="A13" s="25"/>
      <c r="B13" s="1" t="s">
        <v>442</v>
      </c>
      <c r="C13" s="1"/>
      <c r="D13" s="15">
        <v>10</v>
      </c>
      <c r="E13" s="56"/>
    </row>
    <row r="14" spans="1:5">
      <c r="A14" s="25"/>
      <c r="B14" t="s">
        <v>443</v>
      </c>
      <c r="C14" s="1"/>
      <c r="D14" s="15">
        <v>1</v>
      </c>
      <c r="E14" s="56"/>
    </row>
    <row r="15" spans="1:5">
      <c r="A15" s="25"/>
      <c r="B15" s="1" t="s">
        <v>444</v>
      </c>
      <c r="C15" s="1"/>
      <c r="D15" s="15">
        <v>1</v>
      </c>
      <c r="E15" s="56"/>
    </row>
    <row r="16" spans="1:5">
      <c r="A16" s="25"/>
      <c r="B16" s="13" t="s">
        <v>304</v>
      </c>
      <c r="C16" s="13"/>
      <c r="D16" s="15">
        <v>4</v>
      </c>
      <c r="E16" s="56"/>
    </row>
    <row r="17" spans="1:5">
      <c r="A17" s="25"/>
      <c r="B17" s="13" t="s">
        <v>445</v>
      </c>
      <c r="C17" s="13"/>
      <c r="D17" s="15">
        <v>1</v>
      </c>
      <c r="E17" s="56"/>
    </row>
    <row r="18" spans="1:5">
      <c r="A18" s="25"/>
      <c r="B18" s="199" t="s">
        <v>446</v>
      </c>
      <c r="C18" s="68" t="s">
        <v>447</v>
      </c>
      <c r="D18" s="57">
        <v>1</v>
      </c>
      <c r="E18" s="56"/>
    </row>
    <row r="19" spans="1:5">
      <c r="A19" s="25"/>
      <c r="B19" s="69" t="s">
        <v>448</v>
      </c>
      <c r="C19" s="69"/>
      <c r="D19" s="15">
        <v>1</v>
      </c>
      <c r="E19" s="56"/>
    </row>
    <row r="20" spans="1:5">
      <c r="A20" s="25"/>
      <c r="B20" s="200" t="s">
        <v>449</v>
      </c>
      <c r="C20" s="200"/>
      <c r="D20" s="15">
        <v>1</v>
      </c>
      <c r="E20" s="56"/>
    </row>
    <row r="21" spans="1:5">
      <c r="A21" s="25"/>
      <c r="B21" s="67" t="s">
        <v>450</v>
      </c>
      <c r="C21" s="67"/>
      <c r="D21" s="15">
        <v>1</v>
      </c>
      <c r="E21" s="56"/>
    </row>
    <row r="22" spans="1:5">
      <c r="A22" s="25"/>
      <c r="B22" s="200" t="s">
        <v>451</v>
      </c>
      <c r="C22" s="200"/>
      <c r="D22" s="15">
        <v>1</v>
      </c>
      <c r="E22" s="56"/>
    </row>
    <row r="23" spans="1:5">
      <c r="A23" s="25"/>
      <c r="B23" s="67" t="s">
        <v>452</v>
      </c>
      <c r="C23" s="67"/>
      <c r="D23" s="15">
        <v>1</v>
      </c>
      <c r="E23" s="56"/>
    </row>
    <row r="24" spans="1:5">
      <c r="A24" s="25"/>
      <c r="B24" s="70" t="s">
        <v>453</v>
      </c>
      <c r="C24" s="70"/>
      <c r="D24" s="15">
        <v>1</v>
      </c>
      <c r="E24" s="56"/>
    </row>
    <row r="25" spans="1:5">
      <c r="A25" s="25"/>
      <c r="B25" s="38" t="s">
        <v>454</v>
      </c>
      <c r="C25" s="70"/>
      <c r="D25" s="15">
        <v>1</v>
      </c>
      <c r="E25" s="56"/>
    </row>
    <row r="26" spans="1:5">
      <c r="A26" s="25"/>
      <c r="B26" s="70" t="s">
        <v>455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193"/>
      <c r="E27" s="56"/>
    </row>
    <row r="28" spans="1:5" ht="18.75">
      <c r="A28" s="25"/>
      <c r="B28" s="21" t="s">
        <v>456</v>
      </c>
      <c r="C28" s="22"/>
      <c r="D28" s="46"/>
      <c r="E28" s="56"/>
    </row>
    <row r="29" spans="1:5" ht="30" customHeight="1">
      <c r="A29" s="25"/>
      <c r="B29" s="23" t="s">
        <v>360</v>
      </c>
      <c r="C29" s="201" t="s">
        <v>361</v>
      </c>
      <c r="D29" s="202" t="s">
        <v>362</v>
      </c>
      <c r="E29" s="56"/>
    </row>
    <row r="30" spans="1:5">
      <c r="A30" s="25"/>
      <c r="B30" s="20" t="s">
        <v>192</v>
      </c>
      <c r="C30" s="1"/>
      <c r="D30" s="47">
        <v>1</v>
      </c>
      <c r="E30" s="56"/>
    </row>
    <row r="31" spans="1:5">
      <c r="A31" s="25"/>
      <c r="B31" s="20" t="s">
        <v>457</v>
      </c>
      <c r="C31"/>
      <c r="D31" s="47">
        <v>1</v>
      </c>
      <c r="E31" s="56"/>
    </row>
    <row r="32" spans="1:5">
      <c r="A32" s="25"/>
      <c r="B32" s="20" t="s">
        <v>458</v>
      </c>
      <c r="C32" s="1"/>
      <c r="D32" s="47">
        <v>2</v>
      </c>
      <c r="E32" s="56"/>
    </row>
    <row r="33" spans="1:5">
      <c r="A33" s="25"/>
      <c r="B33" s="24" t="s">
        <v>459</v>
      </c>
      <c r="C33" s="67"/>
      <c r="D33" s="47">
        <v>1</v>
      </c>
      <c r="E33" s="56"/>
    </row>
    <row r="34" spans="1:5">
      <c r="A34" s="25"/>
      <c r="B34" s="17" t="s">
        <v>319</v>
      </c>
      <c r="C34" s="13"/>
      <c r="D34" s="47">
        <v>1</v>
      </c>
      <c r="E34" s="56"/>
    </row>
    <row r="35" spans="1:5">
      <c r="A35" s="25"/>
      <c r="B35" s="26" t="s">
        <v>327</v>
      </c>
      <c r="C35" s="69"/>
      <c r="D35" s="47">
        <v>1</v>
      </c>
      <c r="E35" s="56"/>
    </row>
    <row r="36" spans="1:5">
      <c r="A36" s="25"/>
      <c r="B36" s="27" t="s">
        <v>329</v>
      </c>
      <c r="C36" s="200"/>
      <c r="D36" s="47">
        <v>1</v>
      </c>
      <c r="E36" s="56"/>
    </row>
    <row r="37" spans="1:5">
      <c r="A37" s="25"/>
      <c r="B37" s="17" t="s">
        <v>331</v>
      </c>
      <c r="C37" s="13"/>
      <c r="D37" s="47">
        <v>1</v>
      </c>
      <c r="E37" s="56"/>
    </row>
    <row r="38" spans="1:5">
      <c r="A38" s="25"/>
      <c r="B38" s="20" t="s">
        <v>460</v>
      </c>
      <c r="C38" s="1"/>
      <c r="D38" s="47">
        <v>1</v>
      </c>
      <c r="E38" s="56"/>
    </row>
    <row r="39" spans="1:5" ht="15.75" thickBot="1">
      <c r="A39" s="61"/>
      <c r="B39" s="43" t="s">
        <v>355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360</v>
      </c>
      <c r="C1" s="201" t="s">
        <v>361</v>
      </c>
      <c r="D1" s="201" t="s">
        <v>362</v>
      </c>
      <c r="E1" s="50"/>
    </row>
    <row r="2" spans="1:5" ht="18" customHeight="1">
      <c r="A2" s="54" t="s">
        <v>363</v>
      </c>
      <c r="B2" s="28" t="s">
        <v>21</v>
      </c>
      <c r="D2" s="15">
        <v>12</v>
      </c>
      <c r="E2" s="55" t="s">
        <v>366</v>
      </c>
    </row>
    <row r="3" spans="1:5" ht="18" customHeight="1">
      <c r="A3" s="51" t="s">
        <v>367</v>
      </c>
      <c r="B3" s="165" t="s">
        <v>461</v>
      </c>
      <c r="C3" s="165"/>
      <c r="D3" s="15">
        <v>12</v>
      </c>
      <c r="E3" s="198" t="s">
        <v>369</v>
      </c>
    </row>
    <row r="4" spans="1:5">
      <c r="A4" s="51" t="s">
        <v>370</v>
      </c>
      <c r="B4" s="165" t="s">
        <v>29</v>
      </c>
      <c r="C4" s="165"/>
      <c r="D4" s="15">
        <v>3</v>
      </c>
      <c r="E4" s="198" t="s">
        <v>372</v>
      </c>
    </row>
    <row r="5" spans="1:5">
      <c r="A5" s="51" t="s">
        <v>373</v>
      </c>
      <c r="B5" s="165" t="s">
        <v>32</v>
      </c>
      <c r="C5" s="165"/>
      <c r="D5" s="15">
        <v>6</v>
      </c>
      <c r="E5" s="198" t="s">
        <v>376</v>
      </c>
    </row>
    <row r="6" spans="1:5">
      <c r="A6" s="25"/>
      <c r="B6" s="45" t="s">
        <v>88</v>
      </c>
      <c r="C6" s="165" t="s">
        <v>89</v>
      </c>
      <c r="D6" s="184">
        <v>1</v>
      </c>
      <c r="E6" s="56"/>
    </row>
    <row r="7" spans="1:5">
      <c r="A7" s="25"/>
      <c r="B7" s="13" t="s">
        <v>462</v>
      </c>
      <c r="C7" s="165" t="s">
        <v>463</v>
      </c>
      <c r="D7" s="184">
        <v>28</v>
      </c>
      <c r="E7" s="56"/>
    </row>
    <row r="8" spans="1:5">
      <c r="A8" s="25"/>
      <c r="B8" s="165" t="s">
        <v>464</v>
      </c>
      <c r="C8" s="165"/>
      <c r="D8" s="15">
        <v>1</v>
      </c>
      <c r="E8" s="56"/>
    </row>
    <row r="9" spans="1:5">
      <c r="A9" s="25"/>
      <c r="B9" s="38" t="s">
        <v>465</v>
      </c>
      <c r="D9" s="15">
        <v>3</v>
      </c>
      <c r="E9" s="56"/>
    </row>
    <row r="10" spans="1:5">
      <c r="A10" s="25"/>
      <c r="B10" s="165" t="s">
        <v>170</v>
      </c>
      <c r="C10" s="165"/>
      <c r="D10" s="184">
        <v>6</v>
      </c>
      <c r="E10" s="56"/>
    </row>
    <row r="11" spans="1:5">
      <c r="A11" s="25"/>
      <c r="B11" s="182" t="s">
        <v>466</v>
      </c>
      <c r="C11" s="165"/>
      <c r="D11" s="15">
        <v>1</v>
      </c>
      <c r="E11" s="56"/>
    </row>
    <row r="12" spans="1:5">
      <c r="A12" s="51" t="s">
        <v>384</v>
      </c>
      <c r="B12" s="165" t="s">
        <v>400</v>
      </c>
      <c r="C12" s="165"/>
      <c r="D12" s="15">
        <v>42</v>
      </c>
      <c r="E12" s="56"/>
    </row>
    <row r="13" spans="1:5">
      <c r="A13" s="25"/>
      <c r="B13" s="2" t="s">
        <v>402</v>
      </c>
      <c r="D13" s="15">
        <v>3</v>
      </c>
      <c r="E13" s="56"/>
    </row>
    <row r="14" spans="1:5">
      <c r="A14" s="25"/>
      <c r="B14" s="2" t="s">
        <v>467</v>
      </c>
      <c r="D14" s="15">
        <v>27</v>
      </c>
      <c r="E14" s="56"/>
    </row>
    <row r="15" spans="1:5">
      <c r="A15" s="25"/>
      <c r="B15" s="2" t="s">
        <v>241</v>
      </c>
      <c r="D15" s="15">
        <v>54</v>
      </c>
      <c r="E15" s="56"/>
    </row>
    <row r="16" spans="1:5">
      <c r="A16" s="25"/>
      <c r="B16" s="2" t="s">
        <v>243</v>
      </c>
      <c r="D16" s="15">
        <v>8</v>
      </c>
      <c r="E16" s="56"/>
    </row>
    <row r="17" spans="1:5">
      <c r="A17" s="25"/>
      <c r="B17" s="2" t="s">
        <v>405</v>
      </c>
      <c r="D17" s="15">
        <v>7</v>
      </c>
      <c r="E17" s="56"/>
    </row>
    <row r="18" spans="1:5">
      <c r="A18" s="25"/>
      <c r="B18" s="2" t="s">
        <v>468</v>
      </c>
      <c r="D18" s="15">
        <v>3</v>
      </c>
      <c r="E18" s="56"/>
    </row>
    <row r="19" spans="1:5">
      <c r="A19" s="25"/>
      <c r="B19" s="2" t="s">
        <v>469</v>
      </c>
      <c r="D19" s="15">
        <v>3</v>
      </c>
      <c r="E19" s="56"/>
    </row>
    <row r="20" spans="1:5">
      <c r="A20" s="25"/>
      <c r="B20" s="2" t="s">
        <v>470</v>
      </c>
      <c r="D20" s="15">
        <v>3</v>
      </c>
      <c r="E20" s="56"/>
    </row>
    <row r="21" spans="1:5">
      <c r="A21" s="25"/>
      <c r="B21" s="2" t="s">
        <v>270</v>
      </c>
      <c r="D21" s="15">
        <v>3</v>
      </c>
      <c r="E21" s="56"/>
    </row>
    <row r="22" spans="1:5">
      <c r="A22" s="25"/>
      <c r="B22" s="2" t="s">
        <v>406</v>
      </c>
      <c r="D22" s="15">
        <v>3</v>
      </c>
      <c r="E22" s="56"/>
    </row>
    <row r="23" spans="1:5">
      <c r="A23" s="25"/>
      <c r="B23" s="2" t="s">
        <v>383</v>
      </c>
      <c r="D23" s="15">
        <v>24</v>
      </c>
      <c r="E23" s="56"/>
    </row>
    <row r="24" spans="1:5">
      <c r="A24" s="25"/>
      <c r="B24" s="165" t="s">
        <v>385</v>
      </c>
      <c r="C24" s="165"/>
      <c r="D24" s="15">
        <v>6</v>
      </c>
      <c r="E24" s="56"/>
    </row>
    <row r="25" spans="1:5">
      <c r="A25" s="25"/>
      <c r="B25" s="165" t="s">
        <v>286</v>
      </c>
      <c r="C25" s="165"/>
      <c r="D25" s="15">
        <v>21</v>
      </c>
      <c r="E25" s="56"/>
    </row>
    <row r="26" spans="1:5">
      <c r="A26" s="25"/>
      <c r="B26" s="2" t="s">
        <v>288</v>
      </c>
      <c r="D26" s="15">
        <v>3</v>
      </c>
      <c r="E26" s="56"/>
    </row>
    <row r="27" spans="1:5">
      <c r="A27" s="25"/>
      <c r="B27" s="2" t="s">
        <v>471</v>
      </c>
      <c r="D27" s="15">
        <v>3</v>
      </c>
      <c r="E27" s="56"/>
    </row>
    <row r="28" spans="1:5">
      <c r="A28" s="25"/>
      <c r="B28" s="2" t="s">
        <v>472</v>
      </c>
      <c r="D28" s="15">
        <v>3</v>
      </c>
      <c r="E28" s="56"/>
    </row>
    <row r="29" spans="1:5">
      <c r="A29" s="25"/>
      <c r="B29" s="2" t="s">
        <v>473</v>
      </c>
      <c r="D29" s="15">
        <v>3</v>
      </c>
      <c r="E29" s="56"/>
    </row>
    <row r="30" spans="1:5">
      <c r="A30" s="25"/>
      <c r="B30" s="2" t="s">
        <v>474</v>
      </c>
      <c r="D30" s="15">
        <v>1</v>
      </c>
      <c r="E30" s="56"/>
    </row>
    <row r="31" spans="1:5">
      <c r="A31" s="25"/>
      <c r="B31" s="2" t="s">
        <v>475</v>
      </c>
      <c r="D31" s="15">
        <v>1</v>
      </c>
      <c r="E31" s="56"/>
    </row>
    <row r="32" spans="1:5">
      <c r="A32" s="25"/>
      <c r="B32" s="2" t="s">
        <v>476</v>
      </c>
      <c r="D32" s="15">
        <v>1</v>
      </c>
      <c r="E32" s="56"/>
    </row>
    <row r="33" spans="1:5">
      <c r="A33" s="25"/>
      <c r="B33" s="2" t="s">
        <v>477</v>
      </c>
      <c r="D33" s="15">
        <v>2</v>
      </c>
      <c r="E33" s="56"/>
    </row>
    <row r="34" spans="1:5">
      <c r="A34" s="25"/>
      <c r="B34" s="2" t="s">
        <v>478</v>
      </c>
      <c r="D34" s="15">
        <v>1</v>
      </c>
      <c r="E34" s="56"/>
    </row>
    <row r="35" spans="1:5">
      <c r="A35" s="25"/>
      <c r="B35" s="2" t="s">
        <v>479</v>
      </c>
      <c r="D35" s="15">
        <v>1</v>
      </c>
      <c r="E35" s="56"/>
    </row>
    <row r="36" spans="1:5">
      <c r="A36" s="25"/>
      <c r="B36" s="165" t="s">
        <v>480</v>
      </c>
      <c r="C36" s="165"/>
      <c r="D36" s="15">
        <v>1</v>
      </c>
      <c r="E36" s="56"/>
    </row>
    <row r="37" spans="1:5">
      <c r="A37" s="25"/>
      <c r="B37" s="2" t="s">
        <v>481</v>
      </c>
      <c r="D37" s="15">
        <v>1</v>
      </c>
      <c r="E37" s="56"/>
    </row>
    <row r="38" spans="1:5">
      <c r="A38" s="25"/>
      <c r="B38" s="2" t="s">
        <v>482</v>
      </c>
      <c r="D38" s="15">
        <v>1</v>
      </c>
      <c r="E38" s="56"/>
    </row>
    <row r="39" spans="1:5">
      <c r="A39" s="25"/>
      <c r="B39" s="2" t="s">
        <v>483</v>
      </c>
      <c r="D39" s="15">
        <v>1</v>
      </c>
      <c r="E39" s="56"/>
    </row>
    <row r="40" spans="1:5">
      <c r="A40" s="25"/>
      <c r="B40" s="2" t="s">
        <v>484</v>
      </c>
      <c r="D40" s="15">
        <v>1</v>
      </c>
      <c r="E40" s="56"/>
    </row>
    <row r="41" spans="1:5">
      <c r="A41" s="25"/>
      <c r="B41" s="2" t="s">
        <v>485</v>
      </c>
      <c r="D41" s="15">
        <v>3</v>
      </c>
      <c r="E41" s="56"/>
    </row>
    <row r="42" spans="1:5">
      <c r="A42" s="25"/>
      <c r="B42" s="2" t="s">
        <v>486</v>
      </c>
      <c r="D42" s="15">
        <v>1</v>
      </c>
      <c r="E42" s="56"/>
    </row>
    <row r="43" spans="1:5">
      <c r="A43" s="25"/>
      <c r="B43" s="2" t="s">
        <v>487</v>
      </c>
      <c r="D43" s="15">
        <v>1</v>
      </c>
      <c r="E43" s="56"/>
    </row>
    <row r="44" spans="1:5" ht="15.75" thickBot="1">
      <c r="A44" s="61"/>
      <c r="B44" s="2" t="s">
        <v>488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5"/>
  <sheetViews>
    <sheetView view="pageLayout" topLeftCell="A41" zoomScaleNormal="100" workbookViewId="0">
      <selection activeCell="C46" sqref="C46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360</v>
      </c>
      <c r="C1" s="176" t="s">
        <v>361</v>
      </c>
      <c r="D1" s="176" t="s">
        <v>362</v>
      </c>
      <c r="E1" s="50"/>
    </row>
    <row r="2" spans="1:5">
      <c r="A2" s="54" t="s">
        <v>363</v>
      </c>
      <c r="B2" s="28" t="s">
        <v>21</v>
      </c>
      <c r="C2" s="165"/>
      <c r="D2" s="15">
        <v>14</v>
      </c>
      <c r="E2" s="55" t="s">
        <v>366</v>
      </c>
    </row>
    <row r="3" spans="1:5">
      <c r="A3" s="51" t="s">
        <v>367</v>
      </c>
      <c r="B3" t="s">
        <v>489</v>
      </c>
      <c r="C3" s="165"/>
      <c r="D3" s="15">
        <v>13</v>
      </c>
      <c r="E3" s="198" t="s">
        <v>369</v>
      </c>
    </row>
    <row r="4" spans="1:5">
      <c r="A4" s="51" t="s">
        <v>370</v>
      </c>
      <c r="B4" s="165" t="s">
        <v>46</v>
      </c>
      <c r="C4" s="165"/>
      <c r="D4" s="15">
        <v>2</v>
      </c>
      <c r="E4" s="198" t="s">
        <v>372</v>
      </c>
    </row>
    <row r="5" spans="1:5">
      <c r="A5" s="51" t="s">
        <v>373</v>
      </c>
      <c r="B5" t="s">
        <v>490</v>
      </c>
      <c r="C5" s="165"/>
      <c r="D5" s="15">
        <v>2</v>
      </c>
      <c r="E5" s="198" t="s">
        <v>376</v>
      </c>
    </row>
    <row r="6" spans="1:5">
      <c r="A6" s="25"/>
      <c r="B6" s="165" t="s">
        <v>491</v>
      </c>
      <c r="C6" s="165"/>
      <c r="D6" s="15">
        <v>1</v>
      </c>
      <c r="E6" s="56"/>
    </row>
    <row r="7" spans="1:5">
      <c r="A7" s="25"/>
      <c r="B7" s="165" t="s">
        <v>492</v>
      </c>
      <c r="C7" s="165"/>
      <c r="D7" s="15">
        <v>4</v>
      </c>
      <c r="E7" s="56"/>
    </row>
    <row r="8" spans="1:5">
      <c r="A8" s="25"/>
      <c r="B8" s="1" t="s">
        <v>493</v>
      </c>
      <c r="C8" s="165"/>
      <c r="D8" s="15">
        <v>6</v>
      </c>
      <c r="E8" s="56"/>
    </row>
    <row r="9" spans="1:5">
      <c r="A9" s="25"/>
      <c r="B9" s="1" t="s">
        <v>494</v>
      </c>
      <c r="C9" s="165"/>
      <c r="D9" s="15">
        <v>6</v>
      </c>
      <c r="E9" s="56"/>
    </row>
    <row r="10" spans="1:5">
      <c r="A10" s="25"/>
      <c r="B10" s="13" t="s">
        <v>81</v>
      </c>
      <c r="C10" s="183" t="s">
        <v>495</v>
      </c>
      <c r="D10" s="15">
        <v>2</v>
      </c>
      <c r="E10" s="56"/>
    </row>
    <row r="11" spans="1:5">
      <c r="A11" s="25"/>
      <c r="B11" s="13" t="s">
        <v>496</v>
      </c>
      <c r="C11" s="165"/>
      <c r="D11" s="15">
        <v>1</v>
      </c>
      <c r="E11" s="56"/>
    </row>
    <row r="12" spans="1:5">
      <c r="A12" s="25"/>
      <c r="B12" s="165" t="s">
        <v>174</v>
      </c>
      <c r="C12" s="165"/>
      <c r="D12" s="15">
        <v>1</v>
      </c>
      <c r="E12" s="56"/>
    </row>
    <row r="13" spans="1:5">
      <c r="A13" s="51" t="s">
        <v>384</v>
      </c>
      <c r="B13" s="165" t="s">
        <v>177</v>
      </c>
      <c r="C13" s="165"/>
      <c r="D13" s="15">
        <v>1</v>
      </c>
      <c r="E13" s="56"/>
    </row>
    <row r="14" spans="1:5">
      <c r="A14" s="25"/>
      <c r="B14" t="s">
        <v>439</v>
      </c>
      <c r="C14" s="1"/>
      <c r="D14" s="15">
        <v>29</v>
      </c>
      <c r="E14" s="56"/>
    </row>
    <row r="15" spans="1:5">
      <c r="A15" s="25"/>
      <c r="B15" t="s">
        <v>497</v>
      </c>
      <c r="C15" s="1"/>
      <c r="D15" s="15">
        <v>19</v>
      </c>
      <c r="E15" s="56"/>
    </row>
    <row r="16" spans="1:5">
      <c r="A16" s="25"/>
      <c r="B16" t="s">
        <v>498</v>
      </c>
      <c r="C16" s="165"/>
      <c r="D16" s="15">
        <v>4</v>
      </c>
      <c r="E16" s="56"/>
    </row>
    <row r="17" spans="1:5">
      <c r="A17" s="25"/>
      <c r="B17" s="2" t="s">
        <v>404</v>
      </c>
      <c r="C17" s="165"/>
      <c r="D17" s="15">
        <v>19</v>
      </c>
      <c r="E17" s="56"/>
    </row>
    <row r="18" spans="1:5">
      <c r="A18" s="25"/>
      <c r="B18" s="65" t="s">
        <v>245</v>
      </c>
      <c r="C18" s="165"/>
      <c r="D18" s="15">
        <v>6</v>
      </c>
      <c r="E18" s="56"/>
    </row>
    <row r="19" spans="1:5">
      <c r="A19" s="25"/>
      <c r="B19" s="2" t="s">
        <v>469</v>
      </c>
      <c r="C19" s="165"/>
      <c r="D19" s="15">
        <v>13</v>
      </c>
      <c r="E19" s="56"/>
    </row>
    <row r="20" spans="1:5">
      <c r="A20" s="25"/>
      <c r="B20" s="165" t="s">
        <v>499</v>
      </c>
      <c r="C20" s="165"/>
      <c r="D20" s="15">
        <v>4</v>
      </c>
      <c r="E20" s="56"/>
    </row>
    <row r="21" spans="1:5">
      <c r="A21" s="25"/>
      <c r="B21" s="165" t="s">
        <v>500</v>
      </c>
      <c r="C21" s="165"/>
      <c r="D21" s="15">
        <v>6</v>
      </c>
      <c r="E21" s="56"/>
    </row>
    <row r="22" spans="1:5">
      <c r="A22" s="25"/>
      <c r="B22" s="28" t="s">
        <v>262</v>
      </c>
      <c r="C22" s="165"/>
      <c r="D22" s="15">
        <v>4</v>
      </c>
      <c r="E22" s="56"/>
    </row>
    <row r="23" spans="1:5">
      <c r="A23" s="25"/>
      <c r="B23" t="s">
        <v>501</v>
      </c>
      <c r="C23" s="165"/>
      <c r="D23" s="15">
        <v>6</v>
      </c>
      <c r="E23" s="56"/>
    </row>
    <row r="24" spans="1:5">
      <c r="A24" s="25"/>
      <c r="B24" s="28" t="s">
        <v>268</v>
      </c>
      <c r="C24" s="165"/>
      <c r="D24" s="15">
        <v>4</v>
      </c>
      <c r="E24" s="56"/>
    </row>
    <row r="25" spans="1:5">
      <c r="A25" s="25"/>
      <c r="B25" s="28" t="s">
        <v>274</v>
      </c>
      <c r="C25" s="165"/>
      <c r="D25" s="15">
        <v>4</v>
      </c>
      <c r="E25" s="56"/>
    </row>
    <row r="26" spans="1:5">
      <c r="A26" s="25"/>
      <c r="B26" s="165" t="s">
        <v>502</v>
      </c>
      <c r="C26" s="165"/>
      <c r="D26" s="15">
        <v>1</v>
      </c>
      <c r="E26" s="56"/>
    </row>
    <row r="27" spans="1:5">
      <c r="A27" s="25"/>
      <c r="B27" s="165" t="s">
        <v>278</v>
      </c>
      <c r="C27" s="165"/>
      <c r="D27" s="15">
        <v>16</v>
      </c>
      <c r="E27" s="56"/>
    </row>
    <row r="28" spans="1:5">
      <c r="A28" s="25"/>
      <c r="B28" s="2" t="s">
        <v>383</v>
      </c>
      <c r="C28" s="165"/>
      <c r="D28" s="15">
        <v>52</v>
      </c>
      <c r="E28" s="56"/>
    </row>
    <row r="29" spans="1:5">
      <c r="A29" s="25"/>
      <c r="B29" s="2" t="s">
        <v>385</v>
      </c>
      <c r="C29" s="165"/>
      <c r="D29" s="15">
        <v>77</v>
      </c>
      <c r="E29" s="56"/>
    </row>
    <row r="30" spans="1:5">
      <c r="A30" s="25"/>
      <c r="B30" s="2" t="s">
        <v>286</v>
      </c>
      <c r="C30" s="165"/>
      <c r="D30" s="15">
        <v>16</v>
      </c>
      <c r="E30" s="56"/>
    </row>
    <row r="31" spans="1:5">
      <c r="A31" s="25"/>
      <c r="B31" s="165" t="s">
        <v>503</v>
      </c>
      <c r="C31" s="165"/>
      <c r="D31" s="15">
        <v>44</v>
      </c>
      <c r="E31" s="56"/>
    </row>
    <row r="32" spans="1:5">
      <c r="A32" s="25"/>
      <c r="B32" s="165" t="s">
        <v>504</v>
      </c>
      <c r="C32" s="165"/>
      <c r="D32" s="15">
        <v>17</v>
      </c>
      <c r="E32" s="56"/>
    </row>
    <row r="33" spans="1:5">
      <c r="A33" s="25"/>
      <c r="B33" s="2" t="s">
        <v>505</v>
      </c>
      <c r="C33" s="2" t="s">
        <v>506</v>
      </c>
      <c r="D33" s="15">
        <v>1</v>
      </c>
      <c r="E33" s="56"/>
    </row>
    <row r="34" spans="1:5">
      <c r="A34" s="25"/>
      <c r="B34" s="165" t="s">
        <v>507</v>
      </c>
      <c r="C34" s="165" t="s">
        <v>508</v>
      </c>
      <c r="D34" s="15">
        <v>1</v>
      </c>
      <c r="E34" s="56"/>
    </row>
    <row r="35" spans="1:5">
      <c r="A35" s="25"/>
      <c r="B35" s="165" t="s">
        <v>509</v>
      </c>
      <c r="C35" s="2" t="s">
        <v>506</v>
      </c>
      <c r="D35" s="15">
        <v>2</v>
      </c>
      <c r="E35" s="56"/>
    </row>
    <row r="36" spans="1:5">
      <c r="A36" s="25"/>
      <c r="B36" s="2" t="s">
        <v>510</v>
      </c>
      <c r="C36" s="2" t="s">
        <v>506</v>
      </c>
      <c r="D36" s="15">
        <v>1</v>
      </c>
      <c r="E36" s="56"/>
    </row>
    <row r="37" spans="1:5">
      <c r="A37" s="25"/>
      <c r="B37" s="2" t="s">
        <v>511</v>
      </c>
      <c r="C37" s="2" t="s">
        <v>506</v>
      </c>
      <c r="D37" s="15">
        <v>1</v>
      </c>
      <c r="E37" s="56"/>
    </row>
    <row r="38" spans="1:5">
      <c r="A38" s="25"/>
      <c r="B38" s="199" t="s">
        <v>512</v>
      </c>
      <c r="C38" s="199" t="s">
        <v>513</v>
      </c>
      <c r="D38" s="57">
        <v>1</v>
      </c>
      <c r="E38" s="56"/>
    </row>
    <row r="39" spans="1:5">
      <c r="A39" s="25"/>
      <c r="B39" s="2" t="s">
        <v>514</v>
      </c>
      <c r="C39" s="2" t="s">
        <v>506</v>
      </c>
      <c r="D39" s="15">
        <v>4</v>
      </c>
      <c r="E39" s="56"/>
    </row>
    <row r="40" spans="1:5">
      <c r="A40" s="25"/>
      <c r="B40" s="165" t="s">
        <v>515</v>
      </c>
      <c r="C40" s="2" t="s">
        <v>506</v>
      </c>
      <c r="D40" s="15">
        <v>2</v>
      </c>
      <c r="E40" s="56"/>
    </row>
    <row r="41" spans="1:5">
      <c r="A41" s="25"/>
      <c r="B41" s="2" t="s">
        <v>516</v>
      </c>
      <c r="C41" s="2" t="s">
        <v>506</v>
      </c>
      <c r="D41" s="15">
        <v>1</v>
      </c>
      <c r="E41" s="56"/>
    </row>
    <row r="42" spans="1:5">
      <c r="A42" s="25"/>
      <c r="B42" s="2" t="s">
        <v>517</v>
      </c>
      <c r="C42" s="2" t="s">
        <v>506</v>
      </c>
      <c r="D42" s="15">
        <v>1</v>
      </c>
      <c r="E42" s="56"/>
    </row>
    <row r="43" spans="1:5">
      <c r="A43" s="25"/>
      <c r="B43" s="2" t="s">
        <v>518</v>
      </c>
      <c r="C43" s="2" t="s">
        <v>506</v>
      </c>
      <c r="D43" s="15">
        <v>2</v>
      </c>
      <c r="E43" s="56"/>
    </row>
    <row r="44" spans="1:5">
      <c r="A44" s="25"/>
      <c r="B44" s="2" t="s">
        <v>519</v>
      </c>
      <c r="C44" s="2" t="s">
        <v>506</v>
      </c>
      <c r="D44" s="15">
        <v>1</v>
      </c>
      <c r="E44" s="56"/>
    </row>
    <row r="45" spans="1:5">
      <c r="A45" s="25"/>
      <c r="B45" s="2" t="s">
        <v>520</v>
      </c>
      <c r="C45" s="2" t="s">
        <v>506</v>
      </c>
      <c r="D45" s="15">
        <v>1</v>
      </c>
      <c r="E45" s="56"/>
    </row>
    <row r="46" spans="1:5">
      <c r="A46" s="25"/>
      <c r="B46" s="2" t="s">
        <v>521</v>
      </c>
      <c r="C46" s="2" t="s">
        <v>506</v>
      </c>
      <c r="D46" s="15">
        <v>1</v>
      </c>
      <c r="E46" s="56"/>
    </row>
    <row r="47" spans="1:5">
      <c r="A47" s="25"/>
      <c r="B47" s="2" t="s">
        <v>522</v>
      </c>
      <c r="C47" s="2" t="s">
        <v>506</v>
      </c>
      <c r="D47" s="15">
        <v>1</v>
      </c>
      <c r="E47" s="56"/>
    </row>
    <row r="48" spans="1:5">
      <c r="A48" s="25"/>
      <c r="B48" s="165" t="s">
        <v>523</v>
      </c>
      <c r="C48" s="2" t="s">
        <v>506</v>
      </c>
      <c r="D48" s="15">
        <v>1</v>
      </c>
      <c r="E48" s="56"/>
    </row>
    <row r="49" spans="1:5">
      <c r="A49" s="25"/>
      <c r="B49" s="165" t="s">
        <v>524</v>
      </c>
      <c r="C49" s="2" t="s">
        <v>506</v>
      </c>
      <c r="D49" s="15">
        <v>1</v>
      </c>
      <c r="E49" s="56"/>
    </row>
    <row r="50" spans="1:5">
      <c r="A50" s="25"/>
      <c r="B50" s="165" t="s">
        <v>525</v>
      </c>
      <c r="C50" s="2" t="s">
        <v>506</v>
      </c>
      <c r="D50" s="15">
        <v>1</v>
      </c>
      <c r="E50" s="56"/>
    </row>
    <row r="51" spans="1:5">
      <c r="A51" s="25"/>
      <c r="B51" s="165" t="s">
        <v>526</v>
      </c>
      <c r="C51" s="2" t="s">
        <v>506</v>
      </c>
      <c r="D51" s="15">
        <v>1</v>
      </c>
      <c r="E51" s="56"/>
    </row>
    <row r="52" spans="1:5">
      <c r="A52" s="25"/>
      <c r="B52" s="2" t="s">
        <v>527</v>
      </c>
      <c r="C52" s="2" t="s">
        <v>506</v>
      </c>
      <c r="D52" s="15">
        <v>1</v>
      </c>
      <c r="E52" s="56"/>
    </row>
    <row r="53" spans="1:5">
      <c r="A53" s="25"/>
      <c r="B53" s="2" t="s">
        <v>528</v>
      </c>
      <c r="C53" s="2" t="s">
        <v>506</v>
      </c>
      <c r="D53" s="15">
        <v>1</v>
      </c>
      <c r="E53" s="56"/>
    </row>
    <row r="54" spans="1:5">
      <c r="A54" s="25"/>
      <c r="B54" s="2" t="s">
        <v>529</v>
      </c>
      <c r="C54" s="2" t="s">
        <v>530</v>
      </c>
      <c r="D54" s="15">
        <v>1</v>
      </c>
      <c r="E54" s="56"/>
    </row>
    <row r="55" spans="1:5">
      <c r="A55" s="25"/>
      <c r="B55" s="2" t="s">
        <v>531</v>
      </c>
      <c r="C55" s="2" t="s">
        <v>530</v>
      </c>
      <c r="D55" s="15">
        <v>1</v>
      </c>
      <c r="E55" s="56"/>
    </row>
    <row r="56" spans="1:5">
      <c r="A56" s="25"/>
      <c r="B56" s="2" t="s">
        <v>532</v>
      </c>
      <c r="C56" s="2" t="s">
        <v>530</v>
      </c>
      <c r="D56" s="15">
        <v>1</v>
      </c>
      <c r="E56" s="56"/>
    </row>
    <row r="57" spans="1:5">
      <c r="A57" s="25"/>
      <c r="B57" s="2" t="s">
        <v>533</v>
      </c>
      <c r="C57" s="2" t="s">
        <v>530</v>
      </c>
      <c r="D57" s="15">
        <v>1</v>
      </c>
      <c r="E57" s="56"/>
    </row>
    <row r="58" spans="1:5">
      <c r="A58" s="25"/>
      <c r="B58" s="2" t="s">
        <v>534</v>
      </c>
      <c r="C58" s="2" t="s">
        <v>530</v>
      </c>
      <c r="D58" s="15">
        <v>1</v>
      </c>
      <c r="E58" s="56"/>
    </row>
    <row r="59" spans="1:5">
      <c r="A59" s="25"/>
      <c r="B59" s="2" t="s">
        <v>535</v>
      </c>
      <c r="C59" s="2" t="s">
        <v>530</v>
      </c>
      <c r="D59" s="15">
        <v>1</v>
      </c>
      <c r="E59" s="56"/>
    </row>
    <row r="60" spans="1:5">
      <c r="A60" s="25"/>
      <c r="B60" s="2" t="s">
        <v>536</v>
      </c>
      <c r="C60" s="2" t="s">
        <v>537</v>
      </c>
      <c r="D60" s="15">
        <v>1</v>
      </c>
      <c r="E60" s="56"/>
    </row>
    <row r="61" spans="1:5">
      <c r="A61" s="25"/>
      <c r="B61" s="2" t="s">
        <v>538</v>
      </c>
      <c r="C61" s="2" t="s">
        <v>537</v>
      </c>
      <c r="D61" s="15">
        <v>2</v>
      </c>
      <c r="E61" s="56"/>
    </row>
    <row r="62" spans="1:5">
      <c r="A62" s="25"/>
      <c r="B62" s="2" t="s">
        <v>539</v>
      </c>
      <c r="C62" s="2" t="s">
        <v>537</v>
      </c>
      <c r="D62" s="15">
        <v>1</v>
      </c>
      <c r="E62" s="56"/>
    </row>
    <row r="63" spans="1:5">
      <c r="A63" s="25"/>
      <c r="B63" s="2" t="s">
        <v>540</v>
      </c>
      <c r="C63" s="2" t="s">
        <v>537</v>
      </c>
      <c r="D63" s="15">
        <v>1</v>
      </c>
      <c r="E63" s="56"/>
    </row>
    <row r="64" spans="1:5">
      <c r="A64" s="25"/>
      <c r="B64" s="2" t="s">
        <v>541</v>
      </c>
      <c r="C64" s="2" t="s">
        <v>537</v>
      </c>
      <c r="D64" s="15">
        <v>1</v>
      </c>
      <c r="E64" s="56"/>
    </row>
    <row r="65" spans="1:5">
      <c r="A65" s="25"/>
      <c r="B65" s="2" t="s">
        <v>542</v>
      </c>
      <c r="C65" s="2" t="s">
        <v>537</v>
      </c>
      <c r="D65" s="15">
        <v>1</v>
      </c>
      <c r="E65" s="56"/>
    </row>
    <row r="66" spans="1:5">
      <c r="A66" s="25"/>
      <c r="B66" s="2" t="s">
        <v>543</v>
      </c>
      <c r="C66" s="2" t="s">
        <v>537</v>
      </c>
      <c r="D66" s="15">
        <v>1</v>
      </c>
      <c r="E66" s="56"/>
    </row>
    <row r="67" spans="1:5">
      <c r="A67" s="25"/>
      <c r="B67" s="2" t="s">
        <v>544</v>
      </c>
      <c r="C67" s="2" t="s">
        <v>537</v>
      </c>
      <c r="D67" s="15">
        <v>1</v>
      </c>
      <c r="E67" s="56"/>
    </row>
    <row r="68" spans="1:5">
      <c r="A68" s="25"/>
      <c r="B68" s="2" t="s">
        <v>545</v>
      </c>
      <c r="C68" s="2" t="s">
        <v>537</v>
      </c>
      <c r="D68" s="15">
        <v>1</v>
      </c>
      <c r="E68" s="56"/>
    </row>
    <row r="69" spans="1:5">
      <c r="A69" s="25"/>
      <c r="B69" s="165" t="s">
        <v>546</v>
      </c>
      <c r="C69" s="2" t="s">
        <v>506</v>
      </c>
      <c r="D69" s="15">
        <v>6</v>
      </c>
      <c r="E69" s="56"/>
    </row>
    <row r="70" spans="1:5">
      <c r="A70" s="25"/>
      <c r="B70" s="2" t="s">
        <v>547</v>
      </c>
      <c r="C70" s="2" t="s">
        <v>537</v>
      </c>
      <c r="D70" s="15">
        <v>1</v>
      </c>
      <c r="E70" s="56"/>
    </row>
    <row r="71" spans="1:5">
      <c r="A71" s="25"/>
      <c r="B71" s="1" t="s">
        <v>548</v>
      </c>
      <c r="C71" s="165" t="s">
        <v>506</v>
      </c>
      <c r="D71" s="15">
        <v>1</v>
      </c>
      <c r="E71" s="56"/>
    </row>
    <row r="72" spans="1:5">
      <c r="A72" s="25"/>
      <c r="B72" t="s">
        <v>549</v>
      </c>
      <c r="C72" s="165" t="s">
        <v>506</v>
      </c>
      <c r="D72" s="15">
        <v>2</v>
      </c>
      <c r="E72" s="56"/>
    </row>
    <row r="73" spans="1:5">
      <c r="A73" s="25"/>
      <c r="B73" t="s">
        <v>550</v>
      </c>
      <c r="C73" s="165" t="s">
        <v>506</v>
      </c>
      <c r="D73" s="15">
        <v>2</v>
      </c>
      <c r="E73" s="56"/>
    </row>
    <row r="74" spans="1:5">
      <c r="A74" s="25"/>
      <c r="B74" s="2" t="s">
        <v>551</v>
      </c>
      <c r="C74" s="2" t="s">
        <v>506</v>
      </c>
      <c r="D74" s="15">
        <v>2</v>
      </c>
      <c r="E74" s="56"/>
    </row>
    <row r="75" spans="1:5" ht="15.75" thickBot="1">
      <c r="A75" s="61"/>
      <c r="B75" s="52" t="s">
        <v>552</v>
      </c>
      <c r="C75" s="52" t="s">
        <v>506</v>
      </c>
      <c r="D75" s="62">
        <v>1</v>
      </c>
      <c r="E75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360</v>
      </c>
      <c r="C1" s="201" t="s">
        <v>361</v>
      </c>
      <c r="D1" s="201" t="s">
        <v>362</v>
      </c>
      <c r="E1" s="50"/>
    </row>
    <row r="2" spans="1:5">
      <c r="A2" s="54" t="s">
        <v>363</v>
      </c>
      <c r="B2" s="13" t="s">
        <v>553</v>
      </c>
      <c r="C2" s="201" t="s">
        <v>554</v>
      </c>
      <c r="D2" s="203" t="s">
        <v>555</v>
      </c>
      <c r="E2" s="55" t="s">
        <v>366</v>
      </c>
    </row>
    <row r="3" spans="1:5">
      <c r="A3" s="51" t="s">
        <v>367</v>
      </c>
      <c r="B3" s="165" t="s">
        <v>23</v>
      </c>
      <c r="C3" s="165" t="s">
        <v>554</v>
      </c>
      <c r="D3" s="165">
        <v>1</v>
      </c>
      <c r="E3" s="198" t="s">
        <v>369</v>
      </c>
    </row>
    <row r="4" spans="1:5">
      <c r="A4" s="51" t="s">
        <v>370</v>
      </c>
      <c r="B4" t="s">
        <v>489</v>
      </c>
      <c r="C4" s="165" t="s">
        <v>554</v>
      </c>
      <c r="D4" s="165">
        <v>4</v>
      </c>
      <c r="E4" s="198" t="s">
        <v>372</v>
      </c>
    </row>
    <row r="5" spans="1:5">
      <c r="A5" s="51" t="s">
        <v>373</v>
      </c>
      <c r="B5" s="165" t="s">
        <v>29</v>
      </c>
      <c r="C5" s="165" t="s">
        <v>554</v>
      </c>
      <c r="D5" s="165">
        <v>3</v>
      </c>
      <c r="E5" s="198" t="s">
        <v>376</v>
      </c>
    </row>
    <row r="6" spans="1:5">
      <c r="A6" s="25"/>
      <c r="B6" s="13" t="s">
        <v>43</v>
      </c>
      <c r="C6" s="165" t="s">
        <v>554</v>
      </c>
      <c r="D6" s="165">
        <v>1</v>
      </c>
      <c r="E6" s="56"/>
    </row>
    <row r="7" spans="1:5">
      <c r="A7" s="25"/>
      <c r="B7" s="165" t="s">
        <v>556</v>
      </c>
      <c r="C7" s="165" t="s">
        <v>554</v>
      </c>
      <c r="D7" s="2">
        <v>2</v>
      </c>
      <c r="E7" s="56"/>
    </row>
    <row r="8" spans="1:5">
      <c r="A8" s="25"/>
      <c r="B8" s="165" t="s">
        <v>557</v>
      </c>
      <c r="C8" s="165" t="s">
        <v>558</v>
      </c>
      <c r="D8" s="165">
        <v>1</v>
      </c>
      <c r="E8" s="56"/>
    </row>
    <row r="9" spans="1:5">
      <c r="A9" s="25"/>
      <c r="B9" s="186" t="s">
        <v>151</v>
      </c>
      <c r="C9" s="165" t="s">
        <v>558</v>
      </c>
      <c r="D9" s="165">
        <v>1</v>
      </c>
      <c r="E9" s="56"/>
    </row>
    <row r="10" spans="1:5">
      <c r="A10" s="25"/>
      <c r="B10" s="2" t="s">
        <v>221</v>
      </c>
      <c r="C10" s="165" t="s">
        <v>558</v>
      </c>
      <c r="D10" s="165">
        <v>1</v>
      </c>
      <c r="E10" s="56"/>
    </row>
    <row r="11" spans="1:5">
      <c r="A11" s="25"/>
      <c r="B11" s="28" t="s">
        <v>559</v>
      </c>
      <c r="C11" s="165" t="s">
        <v>558</v>
      </c>
      <c r="D11" s="165">
        <v>1</v>
      </c>
      <c r="E11" s="56"/>
    </row>
    <row r="12" spans="1:5">
      <c r="A12" s="51" t="s">
        <v>384</v>
      </c>
      <c r="B12" s="2" t="s">
        <v>240</v>
      </c>
      <c r="C12" s="165" t="s">
        <v>554</v>
      </c>
      <c r="D12" s="165">
        <v>10</v>
      </c>
      <c r="E12" s="56"/>
    </row>
    <row r="13" spans="1:5">
      <c r="A13" s="25"/>
      <c r="B13" s="165" t="s">
        <v>243</v>
      </c>
      <c r="C13" s="165" t="s">
        <v>554</v>
      </c>
      <c r="D13" s="165">
        <v>1</v>
      </c>
      <c r="E13" s="56"/>
    </row>
    <row r="14" spans="1:5">
      <c r="A14" s="25"/>
      <c r="B14" s="2" t="s">
        <v>560</v>
      </c>
      <c r="C14" s="165" t="s">
        <v>554</v>
      </c>
      <c r="D14" s="165">
        <v>2</v>
      </c>
      <c r="E14" s="56"/>
    </row>
    <row r="15" spans="1:5">
      <c r="A15" s="25"/>
      <c r="B15" s="2" t="s">
        <v>561</v>
      </c>
      <c r="C15" s="165" t="s">
        <v>554</v>
      </c>
      <c r="D15" s="165">
        <v>7</v>
      </c>
      <c r="E15" s="56"/>
    </row>
    <row r="16" spans="1:5">
      <c r="A16" s="25"/>
      <c r="B16" s="2" t="s">
        <v>264</v>
      </c>
      <c r="C16" s="165" t="s">
        <v>554</v>
      </c>
      <c r="D16" s="165">
        <v>3</v>
      </c>
      <c r="E16" s="56"/>
    </row>
    <row r="17" spans="1:5">
      <c r="A17" s="25"/>
      <c r="B17" s="165" t="s">
        <v>562</v>
      </c>
      <c r="C17" s="165" t="s">
        <v>554</v>
      </c>
      <c r="D17" s="2">
        <v>2</v>
      </c>
      <c r="E17" s="56"/>
    </row>
    <row r="18" spans="1:5">
      <c r="A18" s="25"/>
      <c r="B18" s="165" t="s">
        <v>276</v>
      </c>
      <c r="C18" s="165" t="s">
        <v>554</v>
      </c>
      <c r="D18" s="165">
        <v>1</v>
      </c>
      <c r="E18" s="56"/>
    </row>
    <row r="19" spans="1:5">
      <c r="A19" s="25"/>
      <c r="B19" t="s">
        <v>563</v>
      </c>
      <c r="C19" s="165" t="s">
        <v>554</v>
      </c>
      <c r="D19" s="165">
        <v>2</v>
      </c>
      <c r="E19" s="56"/>
    </row>
    <row r="20" spans="1:5">
      <c r="A20" s="25"/>
      <c r="B20" t="s">
        <v>564</v>
      </c>
      <c r="C20" s="165" t="s">
        <v>554</v>
      </c>
      <c r="D20" s="165">
        <v>2</v>
      </c>
      <c r="E20" s="56"/>
    </row>
    <row r="21" spans="1:5">
      <c r="A21" s="25"/>
      <c r="B21" s="165" t="s">
        <v>565</v>
      </c>
      <c r="C21" s="165" t="s">
        <v>558</v>
      </c>
      <c r="D21" s="2">
        <v>1</v>
      </c>
      <c r="E21" s="56"/>
    </row>
    <row r="22" spans="1:5">
      <c r="A22" s="25"/>
      <c r="B22" t="s">
        <v>566</v>
      </c>
      <c r="C22" s="165" t="s">
        <v>388</v>
      </c>
      <c r="D22" s="2">
        <v>1</v>
      </c>
      <c r="E22" s="56"/>
    </row>
    <row r="23" spans="1:5">
      <c r="A23" s="25"/>
      <c r="B23" t="s">
        <v>567</v>
      </c>
      <c r="C23" s="165" t="s">
        <v>388</v>
      </c>
      <c r="D23" s="2">
        <v>2</v>
      </c>
      <c r="E23" s="56"/>
    </row>
    <row r="24" spans="1:5">
      <c r="A24" s="25"/>
      <c r="B24" t="s">
        <v>568</v>
      </c>
      <c r="C24" s="165" t="s">
        <v>388</v>
      </c>
      <c r="D24" s="2">
        <v>1</v>
      </c>
      <c r="E24" s="56"/>
    </row>
    <row r="25" spans="1:5">
      <c r="A25" s="25"/>
      <c r="B25" t="s">
        <v>569</v>
      </c>
      <c r="C25" s="165" t="s">
        <v>388</v>
      </c>
      <c r="D25" s="165">
        <v>1</v>
      </c>
      <c r="E25" s="56"/>
    </row>
    <row r="26" spans="1:5">
      <c r="A26" s="25"/>
      <c r="B26" t="s">
        <v>570</v>
      </c>
      <c r="C26" s="165" t="s">
        <v>388</v>
      </c>
      <c r="D26" s="1">
        <v>1</v>
      </c>
      <c r="E26" s="56"/>
    </row>
    <row r="27" spans="1:5">
      <c r="A27" s="25"/>
      <c r="B27" t="s">
        <v>571</v>
      </c>
      <c r="C27" s="165" t="s">
        <v>388</v>
      </c>
      <c r="D27" s="1">
        <v>1</v>
      </c>
      <c r="E27" s="56"/>
    </row>
    <row r="28" spans="1:5">
      <c r="A28" s="25"/>
      <c r="B28" s="1" t="s">
        <v>572</v>
      </c>
      <c r="C28" s="165" t="s">
        <v>388</v>
      </c>
      <c r="D28" s="165">
        <v>2</v>
      </c>
      <c r="E28" s="56"/>
    </row>
    <row r="29" spans="1:5">
      <c r="A29" s="25"/>
      <c r="B29" s="165" t="s">
        <v>573</v>
      </c>
      <c r="C29" s="165" t="s">
        <v>388</v>
      </c>
      <c r="D29" s="2">
        <v>4</v>
      </c>
      <c r="E29" s="56"/>
    </row>
    <row r="30" spans="1:5">
      <c r="A30" s="25"/>
      <c r="B30" s="165" t="s">
        <v>574</v>
      </c>
      <c r="C30" s="165" t="s">
        <v>537</v>
      </c>
      <c r="D30" s="2">
        <v>1</v>
      </c>
      <c r="E30" s="56"/>
    </row>
    <row r="31" spans="1:5">
      <c r="A31" s="25"/>
      <c r="B31" t="s">
        <v>575</v>
      </c>
      <c r="C31" s="165" t="s">
        <v>388</v>
      </c>
      <c r="D31" s="165">
        <v>1</v>
      </c>
      <c r="E31" s="56"/>
    </row>
    <row r="32" spans="1:5">
      <c r="A32" s="25"/>
      <c r="B32" s="1" t="s">
        <v>576</v>
      </c>
      <c r="C32" s="165" t="s">
        <v>577</v>
      </c>
      <c r="D32" s="165">
        <v>2</v>
      </c>
      <c r="E32" s="56"/>
    </row>
    <row r="33" spans="1:5">
      <c r="A33" s="25"/>
      <c r="B33" t="s">
        <v>578</v>
      </c>
      <c r="C33" s="165" t="s">
        <v>579</v>
      </c>
      <c r="D33" s="165">
        <v>2</v>
      </c>
      <c r="E33" s="56"/>
    </row>
    <row r="34" spans="1:5">
      <c r="A34" s="25"/>
      <c r="B34" s="1" t="s">
        <v>580</v>
      </c>
      <c r="C34" s="165" t="s">
        <v>581</v>
      </c>
      <c r="D34" s="165">
        <v>2</v>
      </c>
      <c r="E34" s="56"/>
    </row>
    <row r="35" spans="1:5">
      <c r="A35" s="25"/>
      <c r="B35" s="1" t="s">
        <v>582</v>
      </c>
      <c r="C35" s="165" t="s">
        <v>577</v>
      </c>
      <c r="D35" s="165">
        <v>2</v>
      </c>
      <c r="E35" s="56"/>
    </row>
    <row r="36" spans="1:5">
      <c r="A36" s="25"/>
      <c r="B36" s="165" t="s">
        <v>583</v>
      </c>
      <c r="C36" s="165" t="s">
        <v>584</v>
      </c>
      <c r="D36" s="165">
        <v>2</v>
      </c>
      <c r="E36" s="56"/>
    </row>
    <row r="37" spans="1:5">
      <c r="A37" s="25"/>
      <c r="B37" s="165" t="s">
        <v>585</v>
      </c>
      <c r="C37" s="165" t="s">
        <v>581</v>
      </c>
      <c r="D37" s="165">
        <v>2</v>
      </c>
      <c r="E37" s="56"/>
    </row>
    <row r="38" spans="1:5">
      <c r="A38" s="25"/>
      <c r="B38" s="1" t="s">
        <v>586</v>
      </c>
      <c r="C38" s="165" t="s">
        <v>388</v>
      </c>
      <c r="D38" s="165">
        <v>1</v>
      </c>
      <c r="E38" s="56"/>
    </row>
    <row r="39" spans="1:5">
      <c r="A39" s="25"/>
      <c r="B39" s="165" t="s">
        <v>587</v>
      </c>
      <c r="C39" s="165" t="s">
        <v>388</v>
      </c>
      <c r="D39" s="2">
        <v>1</v>
      </c>
      <c r="E39" s="56"/>
    </row>
    <row r="40" spans="1:5">
      <c r="A40" s="25"/>
      <c r="B40" s="165" t="s">
        <v>588</v>
      </c>
      <c r="C40" s="165" t="s">
        <v>388</v>
      </c>
      <c r="D40" s="2">
        <v>1</v>
      </c>
      <c r="E40" s="56"/>
    </row>
    <row r="41" spans="1:5">
      <c r="A41" s="25"/>
      <c r="B41" s="165" t="s">
        <v>589</v>
      </c>
      <c r="C41" s="165" t="s">
        <v>388</v>
      </c>
      <c r="D41" s="2">
        <v>1</v>
      </c>
      <c r="E41" s="56"/>
    </row>
    <row r="42" spans="1:5">
      <c r="A42" s="25"/>
      <c r="B42" s="165" t="s">
        <v>590</v>
      </c>
      <c r="C42" s="165" t="s">
        <v>388</v>
      </c>
      <c r="D42" s="2">
        <v>1</v>
      </c>
      <c r="E42" s="56"/>
    </row>
    <row r="43" spans="1:5">
      <c r="A43" s="25"/>
      <c r="B43" s="165" t="s">
        <v>591</v>
      </c>
      <c r="C43" s="165" t="s">
        <v>388</v>
      </c>
      <c r="D43" s="165">
        <v>1</v>
      </c>
      <c r="E43" s="56"/>
    </row>
    <row r="44" spans="1:5" ht="15.75" thickBot="1">
      <c r="A44" s="61"/>
      <c r="B44" s="165" t="s">
        <v>592</v>
      </c>
      <c r="C44" s="165" t="s">
        <v>388</v>
      </c>
      <c r="D44" s="2">
        <v>1</v>
      </c>
      <c r="E44" s="63"/>
    </row>
    <row r="45" spans="1:5">
      <c r="C45" s="19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360</v>
      </c>
      <c r="C1" s="176" t="s">
        <v>361</v>
      </c>
      <c r="D1" s="176" t="s">
        <v>362</v>
      </c>
      <c r="E1" s="50"/>
    </row>
    <row r="2" spans="1:5">
      <c r="A2" s="54" t="s">
        <v>363</v>
      </c>
      <c r="B2" s="13" t="s">
        <v>593</v>
      </c>
      <c r="C2" s="165"/>
      <c r="D2" s="165">
        <v>6</v>
      </c>
      <c r="E2" s="55" t="s">
        <v>366</v>
      </c>
    </row>
    <row r="3" spans="1:5">
      <c r="A3" s="51" t="s">
        <v>367</v>
      </c>
      <c r="B3" s="185" t="s">
        <v>204</v>
      </c>
      <c r="D3" s="165">
        <v>1</v>
      </c>
      <c r="E3" s="198" t="s">
        <v>369</v>
      </c>
    </row>
    <row r="4" spans="1:5">
      <c r="A4" s="51" t="s">
        <v>370</v>
      </c>
      <c r="B4" s="165" t="s">
        <v>594</v>
      </c>
      <c r="C4" s="165"/>
      <c r="D4" s="165">
        <v>1</v>
      </c>
      <c r="E4" s="198" t="s">
        <v>372</v>
      </c>
    </row>
    <row r="5" spans="1:5">
      <c r="A5" s="51" t="s">
        <v>373</v>
      </c>
      <c r="B5" s="185" t="s">
        <v>213</v>
      </c>
      <c r="C5" s="165"/>
      <c r="D5" s="165">
        <v>1</v>
      </c>
      <c r="E5" s="198" t="s">
        <v>376</v>
      </c>
    </row>
    <row r="6" spans="1:5">
      <c r="A6" s="25"/>
      <c r="B6" s="185" t="s">
        <v>595</v>
      </c>
      <c r="D6" s="165">
        <v>1</v>
      </c>
      <c r="E6" s="56"/>
    </row>
    <row r="7" spans="1:5">
      <c r="A7" s="25"/>
      <c r="B7" s="165" t="s">
        <v>596</v>
      </c>
      <c r="C7" s="165"/>
      <c r="D7" s="165">
        <v>1</v>
      </c>
      <c r="E7" s="56"/>
    </row>
    <row r="8" spans="1:5">
      <c r="A8" s="25"/>
      <c r="B8" t="s">
        <v>226</v>
      </c>
      <c r="C8" s="165"/>
      <c r="D8" s="165">
        <v>4</v>
      </c>
      <c r="E8" s="56"/>
    </row>
    <row r="9" spans="1:5">
      <c r="A9" s="25"/>
      <c r="B9" t="s">
        <v>232</v>
      </c>
      <c r="D9" s="165">
        <v>12</v>
      </c>
      <c r="E9" s="56"/>
    </row>
    <row r="10" spans="1:5">
      <c r="A10" s="25"/>
      <c r="B10" t="s">
        <v>597</v>
      </c>
      <c r="D10" s="165">
        <v>4</v>
      </c>
      <c r="E10" s="56"/>
    </row>
    <row r="11" spans="1:5">
      <c r="A11" s="25"/>
      <c r="B11" t="s">
        <v>442</v>
      </c>
      <c r="D11" s="165">
        <v>4</v>
      </c>
      <c r="E11" s="56"/>
    </row>
    <row r="12" spans="1:5">
      <c r="A12" s="51" t="s">
        <v>384</v>
      </c>
      <c r="B12" t="s">
        <v>383</v>
      </c>
      <c r="D12" s="165">
        <v>2</v>
      </c>
      <c r="E12" s="56"/>
    </row>
    <row r="13" spans="1:5">
      <c r="A13" s="25"/>
      <c r="B13" s="1" t="s">
        <v>385</v>
      </c>
      <c r="D13" s="165">
        <v>2</v>
      </c>
      <c r="E13" s="56"/>
    </row>
    <row r="14" spans="1:5">
      <c r="A14" s="25"/>
      <c r="B14" s="2" t="s">
        <v>286</v>
      </c>
      <c r="D14" s="165">
        <v>6</v>
      </c>
      <c r="E14" s="56"/>
    </row>
    <row r="15" spans="1:5">
      <c r="A15" s="25"/>
      <c r="B15" t="s">
        <v>598</v>
      </c>
      <c r="D15" s="165">
        <v>1</v>
      </c>
      <c r="E15" s="56"/>
    </row>
    <row r="16" spans="1:5">
      <c r="A16" s="25"/>
      <c r="B16" s="182" t="s">
        <v>599</v>
      </c>
      <c r="D16" s="165">
        <v>1</v>
      </c>
      <c r="E16" s="56"/>
    </row>
    <row r="17" spans="1:5">
      <c r="A17" s="25"/>
      <c r="B17" s="28" t="s">
        <v>600</v>
      </c>
      <c r="D17" s="165">
        <v>1</v>
      </c>
      <c r="E17" s="56"/>
    </row>
    <row r="18" spans="1:5" ht="15.75" thickBot="1">
      <c r="A18" s="61"/>
      <c r="B18" s="52" t="s">
        <v>601</v>
      </c>
      <c r="C18" s="52"/>
      <c r="D18" s="197">
        <v>1</v>
      </c>
      <c r="E18" s="63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360</v>
      </c>
      <c r="C1" s="176" t="s">
        <v>361</v>
      </c>
      <c r="D1" s="176" t="s">
        <v>362</v>
      </c>
      <c r="E1" s="50"/>
    </row>
    <row r="2" spans="1:5">
      <c r="A2" s="54" t="s">
        <v>363</v>
      </c>
      <c r="B2" s="31" t="s">
        <v>602</v>
      </c>
      <c r="C2" s="2" t="s">
        <v>603</v>
      </c>
      <c r="D2" s="15">
        <v>1</v>
      </c>
      <c r="E2" s="55" t="s">
        <v>366</v>
      </c>
    </row>
    <row r="3" spans="1:5">
      <c r="A3" s="51" t="s">
        <v>367</v>
      </c>
      <c r="B3" s="31" t="s">
        <v>602</v>
      </c>
      <c r="C3" s="2" t="s">
        <v>604</v>
      </c>
      <c r="D3" s="15">
        <v>1</v>
      </c>
      <c r="E3" s="198" t="s">
        <v>369</v>
      </c>
    </row>
    <row r="4" spans="1:5">
      <c r="A4" s="51" t="s">
        <v>370</v>
      </c>
      <c r="B4" s="31" t="s">
        <v>602</v>
      </c>
      <c r="C4" s="2" t="s">
        <v>605</v>
      </c>
      <c r="D4" s="15">
        <v>1</v>
      </c>
      <c r="E4" s="198" t="s">
        <v>372</v>
      </c>
    </row>
    <row r="5" spans="1:5">
      <c r="A5" s="51" t="s">
        <v>373</v>
      </c>
      <c r="B5" s="30" t="s">
        <v>606</v>
      </c>
      <c r="C5" s="165" t="s">
        <v>607</v>
      </c>
      <c r="D5" s="184">
        <v>2</v>
      </c>
      <c r="E5" s="198" t="s">
        <v>376</v>
      </c>
    </row>
    <row r="6" spans="1:5">
      <c r="A6" s="25"/>
      <c r="B6" s="204" t="s">
        <v>606</v>
      </c>
      <c r="C6" s="165" t="s">
        <v>608</v>
      </c>
      <c r="D6" s="184">
        <v>5</v>
      </c>
      <c r="E6" s="56"/>
    </row>
    <row r="7" spans="1:5">
      <c r="A7" s="25"/>
      <c r="B7" s="20" t="s">
        <v>609</v>
      </c>
      <c r="C7" s="165" t="s">
        <v>607</v>
      </c>
      <c r="D7" s="184">
        <v>2</v>
      </c>
      <c r="E7" s="56"/>
    </row>
    <row r="8" spans="1:5">
      <c r="A8" s="25"/>
      <c r="B8" s="20" t="s">
        <v>609</v>
      </c>
      <c r="C8" s="165" t="s">
        <v>608</v>
      </c>
      <c r="D8" s="15">
        <v>2</v>
      </c>
      <c r="E8" s="56"/>
    </row>
    <row r="9" spans="1:5">
      <c r="A9" s="25"/>
      <c r="B9" s="30" t="s">
        <v>610</v>
      </c>
      <c r="C9" s="165" t="s">
        <v>607</v>
      </c>
      <c r="D9" s="184">
        <v>2</v>
      </c>
      <c r="E9" s="56"/>
    </row>
    <row r="10" spans="1:5">
      <c r="A10" s="25"/>
      <c r="B10" s="30" t="s">
        <v>610</v>
      </c>
      <c r="C10" s="165" t="s">
        <v>608</v>
      </c>
      <c r="D10" s="15">
        <v>2</v>
      </c>
      <c r="E10" s="56"/>
    </row>
    <row r="11" spans="1:5">
      <c r="A11" s="25"/>
      <c r="B11" s="205" t="s">
        <v>129</v>
      </c>
      <c r="C11" s="165" t="s">
        <v>611</v>
      </c>
      <c r="D11" s="15">
        <v>5</v>
      </c>
      <c r="E11" s="56"/>
    </row>
    <row r="12" spans="1:5">
      <c r="A12" s="51" t="s">
        <v>384</v>
      </c>
      <c r="B12" s="30" t="s">
        <v>612</v>
      </c>
      <c r="C12" s="165" t="s">
        <v>607</v>
      </c>
      <c r="D12" s="184">
        <v>2</v>
      </c>
      <c r="E12" s="56"/>
    </row>
    <row r="13" spans="1:5">
      <c r="A13" s="25"/>
      <c r="B13" s="30" t="s">
        <v>612</v>
      </c>
      <c r="C13" s="165" t="s">
        <v>608</v>
      </c>
      <c r="D13" s="184">
        <v>5</v>
      </c>
      <c r="E13" s="56"/>
    </row>
    <row r="14" spans="1:5">
      <c r="A14" s="25"/>
      <c r="B14" s="205" t="s">
        <v>613</v>
      </c>
      <c r="C14" s="165" t="s">
        <v>614</v>
      </c>
      <c r="D14" s="184">
        <v>5</v>
      </c>
      <c r="E14" s="56"/>
    </row>
    <row r="15" spans="1:5">
      <c r="A15" s="25"/>
      <c r="B15" s="205" t="s">
        <v>613</v>
      </c>
      <c r="C15" s="165" t="s">
        <v>608</v>
      </c>
      <c r="D15" s="184">
        <v>5</v>
      </c>
      <c r="E15" s="56"/>
    </row>
    <row r="16" spans="1:5">
      <c r="A16" s="25"/>
      <c r="B16" s="205" t="s">
        <v>122</v>
      </c>
      <c r="C16" s="165" t="s">
        <v>615</v>
      </c>
      <c r="D16" s="15">
        <v>1</v>
      </c>
      <c r="E16" s="56"/>
    </row>
    <row r="17" spans="1:5">
      <c r="A17" s="25"/>
      <c r="B17" s="199" t="s">
        <v>616</v>
      </c>
      <c r="C17" s="199" t="s">
        <v>447</v>
      </c>
      <c r="D17" s="57"/>
      <c r="E17" s="56"/>
    </row>
    <row r="18" spans="1:5">
      <c r="A18" s="25"/>
      <c r="B18" s="165" t="s">
        <v>139</v>
      </c>
      <c r="C18" s="165" t="s">
        <v>617</v>
      </c>
      <c r="D18" s="165">
        <v>1</v>
      </c>
      <c r="E18" s="56"/>
    </row>
    <row r="19" spans="1:5">
      <c r="A19" s="25"/>
      <c r="B19" s="165" t="s">
        <v>149</v>
      </c>
      <c r="D19" s="15">
        <v>1</v>
      </c>
      <c r="E19" s="56"/>
    </row>
    <row r="20" spans="1:5">
      <c r="A20" s="25"/>
      <c r="B20" s="58" t="s">
        <v>438</v>
      </c>
      <c r="D20" s="15">
        <v>1</v>
      </c>
      <c r="E20" s="56"/>
    </row>
    <row r="21" spans="1:5" ht="14.25" customHeight="1">
      <c r="A21" s="25"/>
      <c r="B21" s="59" t="s">
        <v>179</v>
      </c>
      <c r="C21" s="60"/>
      <c r="D21" s="60">
        <v>1</v>
      </c>
      <c r="E21" s="56"/>
    </row>
    <row r="22" spans="1:5" ht="15.75" customHeight="1">
      <c r="A22" s="25"/>
      <c r="B22" s="59" t="s">
        <v>182</v>
      </c>
      <c r="C22" s="60"/>
      <c r="D22" s="60">
        <v>1</v>
      </c>
      <c r="E22" s="56"/>
    </row>
    <row r="23" spans="1:5" ht="15" customHeight="1">
      <c r="A23" s="25"/>
      <c r="B23" s="59" t="s">
        <v>184</v>
      </c>
      <c r="C23" s="60"/>
      <c r="D23" s="60">
        <v>2</v>
      </c>
      <c r="E23" s="56"/>
    </row>
    <row r="24" spans="1:5" ht="14.25" customHeight="1">
      <c r="A24" s="25"/>
      <c r="B24" s="59" t="s">
        <v>186</v>
      </c>
      <c r="C24" s="60"/>
      <c r="D24" s="60">
        <v>2</v>
      </c>
      <c r="E24" s="56"/>
    </row>
    <row r="25" spans="1:5">
      <c r="A25" s="25"/>
      <c r="B25" s="185" t="s">
        <v>218</v>
      </c>
      <c r="D25" s="165">
        <v>1</v>
      </c>
      <c r="E25" s="56"/>
    </row>
    <row r="26" spans="1:5">
      <c r="A26" s="25"/>
      <c r="B26" t="s">
        <v>226</v>
      </c>
      <c r="C26" s="28"/>
      <c r="D26">
        <v>6</v>
      </c>
      <c r="E26" s="56"/>
    </row>
    <row r="27" spans="1:5">
      <c r="A27" s="25"/>
      <c r="B27" t="s">
        <v>232</v>
      </c>
      <c r="C27" s="28"/>
      <c r="D27">
        <v>20</v>
      </c>
      <c r="E27" s="56"/>
    </row>
    <row r="28" spans="1:5">
      <c r="A28" s="25"/>
      <c r="B28" s="18" t="s">
        <v>597</v>
      </c>
      <c r="C28" s="28"/>
      <c r="D28">
        <v>12</v>
      </c>
      <c r="E28" s="56"/>
    </row>
    <row r="29" spans="1:5">
      <c r="A29" s="25"/>
      <c r="B29" s="18" t="s">
        <v>442</v>
      </c>
      <c r="C29" s="28"/>
      <c r="D29">
        <v>6</v>
      </c>
      <c r="E29" s="56"/>
    </row>
    <row r="30" spans="1:5">
      <c r="A30" s="25"/>
      <c r="B30" s="18" t="s">
        <v>278</v>
      </c>
      <c r="C30" s="28"/>
      <c r="D30">
        <v>3</v>
      </c>
      <c r="E30" s="56"/>
    </row>
    <row r="31" spans="1:5">
      <c r="A31" s="25"/>
      <c r="B31" s="18" t="s">
        <v>383</v>
      </c>
      <c r="C31" s="28"/>
      <c r="D31">
        <v>14</v>
      </c>
      <c r="E31" s="56"/>
    </row>
    <row r="32" spans="1:5">
      <c r="A32" s="25"/>
      <c r="B32" s="18" t="s">
        <v>385</v>
      </c>
      <c r="C32" s="28"/>
      <c r="D32">
        <v>15</v>
      </c>
      <c r="E32" s="56"/>
    </row>
    <row r="33" spans="1:5">
      <c r="A33" s="25"/>
      <c r="B33" s="18" t="s">
        <v>286</v>
      </c>
      <c r="C33" s="28"/>
      <c r="D33">
        <v>17</v>
      </c>
      <c r="E33" s="56"/>
    </row>
    <row r="34" spans="1:5">
      <c r="A34" s="25"/>
      <c r="B34" s="205" t="s">
        <v>618</v>
      </c>
      <c r="C34" s="165" t="s">
        <v>619</v>
      </c>
      <c r="D34" s="15">
        <v>2</v>
      </c>
      <c r="E34" s="56"/>
    </row>
    <row r="35" spans="1:5" ht="15" customHeight="1">
      <c r="A35" s="25"/>
      <c r="B35" s="205" t="s">
        <v>336</v>
      </c>
      <c r="C35" s="165" t="s">
        <v>620</v>
      </c>
      <c r="D35" s="15">
        <v>2</v>
      </c>
      <c r="E35" s="56"/>
    </row>
    <row r="36" spans="1:5">
      <c r="A36" s="25"/>
      <c r="B36" s="205" t="s">
        <v>339</v>
      </c>
      <c r="C36" s="165" t="s">
        <v>620</v>
      </c>
      <c r="D36" s="15">
        <v>1</v>
      </c>
      <c r="E36" s="56"/>
    </row>
    <row r="37" spans="1:5">
      <c r="A37" s="25"/>
      <c r="B37" s="25" t="s">
        <v>341</v>
      </c>
      <c r="C37" s="165" t="s">
        <v>620</v>
      </c>
      <c r="D37" s="15">
        <v>1</v>
      </c>
      <c r="E37" s="56"/>
    </row>
    <row r="38" spans="1:5">
      <c r="A38" s="25"/>
      <c r="B38" s="205" t="s">
        <v>343</v>
      </c>
      <c r="C38" s="165" t="s">
        <v>621</v>
      </c>
      <c r="D38" s="15">
        <v>1</v>
      </c>
      <c r="E38" s="56"/>
    </row>
    <row r="39" spans="1:5">
      <c r="A39" s="25"/>
      <c r="B39" s="17" t="s">
        <v>346</v>
      </c>
      <c r="C39" s="165" t="s">
        <v>622</v>
      </c>
      <c r="D39" s="165">
        <v>1</v>
      </c>
      <c r="E39" s="56"/>
    </row>
    <row r="40" spans="1:5">
      <c r="A40" s="25"/>
      <c r="B40" s="165" t="s">
        <v>349</v>
      </c>
      <c r="C40" s="165" t="s">
        <v>623</v>
      </c>
      <c r="D40" s="165">
        <v>1</v>
      </c>
      <c r="E40" s="56"/>
    </row>
    <row r="41" spans="1:5" ht="16.5" customHeight="1">
      <c r="A41" s="25"/>
      <c r="B41" s="2" t="s">
        <v>351</v>
      </c>
      <c r="C41" s="165" t="s">
        <v>624</v>
      </c>
      <c r="D41" s="15">
        <v>3</v>
      </c>
      <c r="E41" s="56"/>
    </row>
    <row r="42" spans="1:5" ht="16.5" customHeight="1">
      <c r="A42" s="25"/>
      <c r="B42" t="s">
        <v>625</v>
      </c>
      <c r="C42" s="165" t="s">
        <v>626</v>
      </c>
      <c r="D42" s="15">
        <v>1</v>
      </c>
      <c r="E42" s="56"/>
    </row>
    <row r="43" spans="1:5" ht="16.5" customHeight="1">
      <c r="A43" s="25"/>
      <c r="B43" t="s">
        <v>627</v>
      </c>
      <c r="C43" s="165" t="s">
        <v>628</v>
      </c>
      <c r="D43" s="15">
        <v>1</v>
      </c>
      <c r="E43" s="56"/>
    </row>
    <row r="44" spans="1:5" ht="16.5" customHeight="1" thickBot="1">
      <c r="A44" s="61"/>
      <c r="B44" s="49" t="s">
        <v>629</v>
      </c>
      <c r="C44" s="197" t="s">
        <v>626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169" t="s">
        <v>630</v>
      </c>
      <c r="C1" s="170"/>
      <c r="D1" s="170"/>
      <c r="E1" s="171"/>
      <c r="F1" s="42"/>
    </row>
    <row r="2" spans="2:6">
      <c r="B2" s="40" t="s">
        <v>631</v>
      </c>
      <c r="C2" s="42" t="s">
        <v>632</v>
      </c>
      <c r="D2" s="6" t="s">
        <v>633</v>
      </c>
      <c r="E2" s="136" t="s">
        <v>634</v>
      </c>
      <c r="F2" s="42"/>
    </row>
    <row r="3" spans="2:6">
      <c r="B3" s="40" t="s">
        <v>635</v>
      </c>
      <c r="C3" s="42"/>
      <c r="E3" s="39"/>
      <c r="F3" s="9"/>
    </row>
    <row r="4" spans="2:6">
      <c r="B4" s="40">
        <v>1</v>
      </c>
      <c r="C4" s="42" t="s">
        <v>636</v>
      </c>
      <c r="D4" s="6" t="s">
        <v>637</v>
      </c>
      <c r="E4" s="136" t="s">
        <v>638</v>
      </c>
      <c r="F4" s="42"/>
    </row>
    <row r="5" spans="2:6">
      <c r="B5" s="40">
        <v>2</v>
      </c>
      <c r="C5" s="42" t="s">
        <v>639</v>
      </c>
      <c r="D5" s="6" t="s">
        <v>637</v>
      </c>
      <c r="E5" s="136" t="s">
        <v>640</v>
      </c>
      <c r="F5" s="42"/>
    </row>
    <row r="6" spans="2:6">
      <c r="B6" s="40">
        <v>3</v>
      </c>
      <c r="C6" s="42" t="s">
        <v>641</v>
      </c>
      <c r="D6" s="6" t="s">
        <v>637</v>
      </c>
      <c r="E6" s="136" t="s">
        <v>642</v>
      </c>
      <c r="F6" s="42"/>
    </row>
    <row r="7" spans="2:6">
      <c r="B7" s="40">
        <v>4</v>
      </c>
      <c r="C7" s="42" t="s">
        <v>643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644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645</v>
      </c>
      <c r="E11" s="136" t="s">
        <v>646</v>
      </c>
      <c r="F11" s="42"/>
    </row>
    <row r="12" spans="2:6">
      <c r="B12" s="40">
        <v>2</v>
      </c>
      <c r="C12" s="42"/>
      <c r="D12" s="6" t="s">
        <v>645</v>
      </c>
      <c r="E12" s="136" t="s">
        <v>646</v>
      </c>
      <c r="F12" s="42"/>
    </row>
    <row r="13" spans="2:6">
      <c r="B13" s="40">
        <v>3</v>
      </c>
      <c r="C13" s="42"/>
      <c r="D13" s="6" t="s">
        <v>647</v>
      </c>
      <c r="E13" s="136" t="s">
        <v>648</v>
      </c>
      <c r="F13" s="42"/>
    </row>
    <row r="14" spans="2:6">
      <c r="B14" s="40">
        <v>4</v>
      </c>
      <c r="C14" s="42"/>
      <c r="D14" s="6" t="s">
        <v>647</v>
      </c>
      <c r="E14" s="136" t="s">
        <v>649</v>
      </c>
      <c r="F14" s="42"/>
    </row>
    <row r="15" spans="2:6">
      <c r="B15" s="40">
        <v>5</v>
      </c>
      <c r="C15" s="42"/>
      <c r="D15" s="6" t="s">
        <v>650</v>
      </c>
      <c r="E15" s="136" t="s">
        <v>651</v>
      </c>
      <c r="F15" s="42"/>
    </row>
    <row r="16" spans="2:6">
      <c r="B16" s="40">
        <v>6</v>
      </c>
      <c r="C16" s="42"/>
      <c r="D16" s="6" t="s">
        <v>650</v>
      </c>
      <c r="E16" s="136" t="s">
        <v>651</v>
      </c>
      <c r="F16" s="42"/>
    </row>
    <row r="17" spans="2:6">
      <c r="B17" s="40">
        <v>7</v>
      </c>
      <c r="C17" s="42"/>
      <c r="D17" s="6"/>
      <c r="E17" s="41" t="s">
        <v>652</v>
      </c>
      <c r="F17" s="42"/>
    </row>
    <row r="18" spans="2:6">
      <c r="B18" s="40">
        <v>8</v>
      </c>
      <c r="C18" s="42"/>
      <c r="D18" s="6"/>
      <c r="E18" s="41" t="s">
        <v>653</v>
      </c>
      <c r="F18" s="42"/>
    </row>
    <row r="19" spans="2:6">
      <c r="B19" s="40">
        <v>9</v>
      </c>
      <c r="C19" s="42"/>
      <c r="D19" s="6" t="s">
        <v>647</v>
      </c>
      <c r="E19" s="136" t="s">
        <v>654</v>
      </c>
      <c r="F19" s="42"/>
    </row>
    <row r="20" spans="2:6">
      <c r="B20" s="40">
        <v>10</v>
      </c>
      <c r="C20" s="42"/>
      <c r="D20" s="6" t="s">
        <v>647</v>
      </c>
      <c r="E20" s="136" t="s">
        <v>655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635</v>
      </c>
      <c r="C22" s="42" t="s">
        <v>656</v>
      </c>
      <c r="D22" s="6" t="s">
        <v>633</v>
      </c>
      <c r="E22" s="136"/>
      <c r="F22" s="42"/>
    </row>
    <row r="23" spans="2:6">
      <c r="B23" s="40">
        <v>1</v>
      </c>
      <c r="C23" s="42" t="s">
        <v>636</v>
      </c>
      <c r="D23" s="6" t="s">
        <v>637</v>
      </c>
      <c r="E23" s="136" t="s">
        <v>657</v>
      </c>
      <c r="F23" s="42"/>
    </row>
    <row r="24" spans="2:6">
      <c r="B24" s="40">
        <v>2</v>
      </c>
      <c r="C24" s="42" t="s">
        <v>639</v>
      </c>
      <c r="D24" s="6" t="s">
        <v>637</v>
      </c>
      <c r="E24" s="136" t="s">
        <v>657</v>
      </c>
      <c r="F24" s="42"/>
    </row>
    <row r="25" spans="2:6">
      <c r="B25" s="40">
        <v>3</v>
      </c>
      <c r="C25" s="42" t="s">
        <v>641</v>
      </c>
      <c r="D25" s="6" t="s">
        <v>637</v>
      </c>
      <c r="E25" s="136" t="s">
        <v>657</v>
      </c>
      <c r="F25" s="42"/>
    </row>
    <row r="26" spans="2:6" ht="15.75" thickBot="1">
      <c r="B26" s="137">
        <v>4</v>
      </c>
      <c r="C26" s="138" t="s">
        <v>643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tabSelected="1" workbookViewId="0">
      <selection activeCell="C19" sqref="C19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658</v>
      </c>
      <c r="B1" t="s">
        <v>659</v>
      </c>
      <c r="C1" t="s">
        <v>660</v>
      </c>
      <c r="D1" t="s">
        <v>661</v>
      </c>
    </row>
    <row r="2" spans="1:4" ht="20.25" customHeight="1">
      <c r="A2" s="4" t="s">
        <v>662</v>
      </c>
      <c r="B2" t="s">
        <v>663</v>
      </c>
      <c r="C2" s="4" t="s">
        <v>664</v>
      </c>
      <c r="D2" s="8" t="s">
        <v>665</v>
      </c>
    </row>
    <row r="3" spans="1:4">
      <c r="A3" t="s">
        <v>666</v>
      </c>
      <c r="B3" t="s">
        <v>667</v>
      </c>
      <c r="C3" s="4" t="s">
        <v>668</v>
      </c>
      <c r="D3" t="s">
        <v>669</v>
      </c>
    </row>
    <row r="4" spans="1:4" ht="14.25" customHeight="1">
      <c r="A4" t="s">
        <v>670</v>
      </c>
      <c r="B4" t="s">
        <v>667</v>
      </c>
      <c r="C4" s="4" t="s">
        <v>671</v>
      </c>
    </row>
    <row r="5" spans="1:4">
      <c r="A5" t="s">
        <v>672</v>
      </c>
    </row>
    <row r="6" spans="1:4">
      <c r="A6" t="s">
        <v>673</v>
      </c>
      <c r="B6" t="s">
        <v>674</v>
      </c>
      <c r="C6" s="7" t="s">
        <v>675</v>
      </c>
    </row>
    <row r="7" spans="1:4">
      <c r="A7" s="168" t="s">
        <v>676</v>
      </c>
      <c r="B7" s="168" t="s">
        <v>674</v>
      </c>
      <c r="C7" s="7" t="s">
        <v>677</v>
      </c>
      <c r="D7" s="168"/>
    </row>
    <row r="8" spans="1:4">
      <c r="A8" s="6" t="s">
        <v>678</v>
      </c>
      <c r="B8" t="s">
        <v>679</v>
      </c>
      <c r="C8" s="7" t="s">
        <v>677</v>
      </c>
    </row>
    <row r="9" spans="1:4">
      <c r="A9" t="s">
        <v>680</v>
      </c>
    </row>
    <row r="10" spans="1:4">
      <c r="A10" s="1" t="s">
        <v>681</v>
      </c>
      <c r="C10" t="s">
        <v>682</v>
      </c>
    </row>
    <row r="11" spans="1:4">
      <c r="A11" s="1" t="s">
        <v>683</v>
      </c>
    </row>
    <row r="12" spans="1:4">
      <c r="A12" s="1" t="s">
        <v>684</v>
      </c>
      <c r="C12" t="s">
        <v>685</v>
      </c>
    </row>
    <row r="13" spans="1:4">
      <c r="A13" t="s">
        <v>686</v>
      </c>
    </row>
    <row r="14" spans="1:4">
      <c r="A14" t="s">
        <v>687</v>
      </c>
    </row>
    <row r="15" spans="1:4" ht="15.75">
      <c r="A15" s="162" t="s">
        <v>688</v>
      </c>
    </row>
    <row r="16" spans="1:4">
      <c r="A16" t="s">
        <v>689</v>
      </c>
      <c r="C16" s="7" t="s">
        <v>690</v>
      </c>
    </row>
    <row r="17" spans="1:1">
      <c r="A17" t="s">
        <v>691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dimension ref="A1:D47"/>
  <sheetViews>
    <sheetView topLeftCell="A27" workbookViewId="0">
      <selection activeCell="B36" sqref="B36"/>
    </sheetView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692</v>
      </c>
      <c r="B1" t="s">
        <v>693</v>
      </c>
      <c r="C1" t="s">
        <v>361</v>
      </c>
    </row>
    <row r="2" spans="1:3">
      <c r="A2" t="s">
        <v>694</v>
      </c>
      <c r="B2" s="42" t="s">
        <v>695</v>
      </c>
      <c r="C2" t="s">
        <v>696</v>
      </c>
    </row>
    <row r="3" spans="1:3" ht="15" customHeight="1">
      <c r="A3" t="s">
        <v>697</v>
      </c>
      <c r="B3" s="42" t="s">
        <v>698</v>
      </c>
      <c r="C3" s="4" t="s">
        <v>699</v>
      </c>
    </row>
    <row r="4" spans="1:3">
      <c r="A4" t="s">
        <v>700</v>
      </c>
      <c r="B4" s="42" t="s">
        <v>701</v>
      </c>
      <c r="C4" t="s">
        <v>702</v>
      </c>
    </row>
    <row r="5" spans="1:3">
      <c r="A5" t="s">
        <v>703</v>
      </c>
      <c r="B5" s="42" t="s">
        <v>704</v>
      </c>
      <c r="C5" s="4" t="s">
        <v>705</v>
      </c>
    </row>
    <row r="6" spans="1:3">
      <c r="A6" t="s">
        <v>706</v>
      </c>
      <c r="B6" s="42" t="s">
        <v>707</v>
      </c>
      <c r="C6" t="s">
        <v>708</v>
      </c>
    </row>
    <row r="7" spans="1:3">
      <c r="A7" t="s">
        <v>709</v>
      </c>
      <c r="B7" s="42" t="s">
        <v>710</v>
      </c>
      <c r="C7" t="s">
        <v>711</v>
      </c>
    </row>
    <row r="8" spans="1:3">
      <c r="A8" t="s">
        <v>712</v>
      </c>
      <c r="B8" s="42" t="s">
        <v>713</v>
      </c>
      <c r="C8" t="s">
        <v>714</v>
      </c>
    </row>
    <row r="9" spans="1:3">
      <c r="A9" t="s">
        <v>715</v>
      </c>
      <c r="B9" s="42" t="s">
        <v>716</v>
      </c>
      <c r="C9" t="s">
        <v>717</v>
      </c>
    </row>
    <row r="10" spans="1:3">
      <c r="A10" t="s">
        <v>718</v>
      </c>
      <c r="B10" s="42" t="s">
        <v>719</v>
      </c>
      <c r="C10" t="s">
        <v>720</v>
      </c>
    </row>
    <row r="11" spans="1:3">
      <c r="A11" t="s">
        <v>721</v>
      </c>
      <c r="B11" s="42" t="s">
        <v>722</v>
      </c>
      <c r="C11" t="s">
        <v>723</v>
      </c>
    </row>
    <row r="12" spans="1:3">
      <c r="A12" t="s">
        <v>724</v>
      </c>
      <c r="B12" s="42" t="s">
        <v>725</v>
      </c>
      <c r="C12" t="s">
        <v>726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692</v>
      </c>
      <c r="B19" s="163" t="s">
        <v>727</v>
      </c>
      <c r="C19" t="s">
        <v>361</v>
      </c>
    </row>
    <row r="20" spans="1:3">
      <c r="A20" t="s">
        <v>728</v>
      </c>
      <c r="B20" s="42" t="s">
        <v>729</v>
      </c>
      <c r="C20" t="s">
        <v>730</v>
      </c>
    </row>
    <row r="21" spans="1:3">
      <c r="B21" s="42" t="s">
        <v>731</v>
      </c>
      <c r="C21" s="4" t="s">
        <v>732</v>
      </c>
    </row>
    <row r="22" spans="1:3">
      <c r="B22" s="42" t="s">
        <v>733</v>
      </c>
      <c r="C22" t="s">
        <v>734</v>
      </c>
    </row>
    <row r="23" spans="1:3">
      <c r="B23" s="42" t="s">
        <v>735</v>
      </c>
      <c r="C23" t="s">
        <v>736</v>
      </c>
    </row>
    <row r="24" spans="1:3">
      <c r="B24" s="42" t="s">
        <v>737</v>
      </c>
      <c r="C24" t="s">
        <v>738</v>
      </c>
    </row>
    <row r="25" spans="1:3">
      <c r="B25" s="42" t="s">
        <v>739</v>
      </c>
      <c r="C25" t="s">
        <v>740</v>
      </c>
    </row>
    <row r="26" spans="1:3">
      <c r="B26" s="42" t="s">
        <v>741</v>
      </c>
      <c r="C26" t="s">
        <v>742</v>
      </c>
    </row>
    <row r="27" spans="1:3">
      <c r="B27" s="42" t="s">
        <v>743</v>
      </c>
      <c r="C27" t="s">
        <v>744</v>
      </c>
    </row>
    <row r="28" spans="1:3">
      <c r="B28" s="42" t="s">
        <v>745</v>
      </c>
      <c r="C28" t="s">
        <v>746</v>
      </c>
    </row>
    <row r="29" spans="1:3">
      <c r="B29" s="42" t="s">
        <v>747</v>
      </c>
      <c r="C29" t="s">
        <v>748</v>
      </c>
    </row>
    <row r="30" spans="1:3">
      <c r="B30" s="42" t="s">
        <v>749</v>
      </c>
      <c r="C30" t="s">
        <v>750</v>
      </c>
    </row>
    <row r="31" spans="1:3">
      <c r="A31" t="s">
        <v>696</v>
      </c>
      <c r="B31" s="42" t="s">
        <v>751</v>
      </c>
      <c r="C31" t="s">
        <v>752</v>
      </c>
    </row>
    <row r="32" spans="1:3">
      <c r="B32" s="42" t="s">
        <v>753</v>
      </c>
      <c r="C32" t="s">
        <v>754</v>
      </c>
    </row>
    <row r="33" spans="1:4">
      <c r="B33" s="42" t="s">
        <v>755</v>
      </c>
      <c r="C33" t="s">
        <v>756</v>
      </c>
    </row>
    <row r="34" spans="1:4">
      <c r="B34" s="42" t="s">
        <v>757</v>
      </c>
      <c r="C34" t="s">
        <v>758</v>
      </c>
    </row>
    <row r="35" spans="1:4">
      <c r="B35" s="42" t="s">
        <v>759</v>
      </c>
      <c r="C35" t="s">
        <v>760</v>
      </c>
    </row>
    <row r="36" spans="1:4">
      <c r="A36" t="s">
        <v>761</v>
      </c>
      <c r="B36" s="42" t="s">
        <v>762</v>
      </c>
      <c r="C36" t="s">
        <v>763</v>
      </c>
    </row>
    <row r="37" spans="1:4">
      <c r="B37" s="42"/>
    </row>
    <row r="38" spans="1:4">
      <c r="B38" s="42"/>
    </row>
    <row r="39" spans="1:4">
      <c r="A39" t="s">
        <v>764</v>
      </c>
      <c r="B39" s="164" t="s">
        <v>765</v>
      </c>
      <c r="C39" t="s">
        <v>361</v>
      </c>
    </row>
    <row r="40" spans="1:4">
      <c r="B40" t="s">
        <v>766</v>
      </c>
      <c r="C40" t="s">
        <v>767</v>
      </c>
    </row>
    <row r="41" spans="1:4">
      <c r="B41" t="s">
        <v>768</v>
      </c>
      <c r="C41" t="s">
        <v>767</v>
      </c>
    </row>
    <row r="42" spans="1:4">
      <c r="B42" t="s">
        <v>769</v>
      </c>
      <c r="C42" t="s">
        <v>767</v>
      </c>
    </row>
    <row r="43" spans="1:4">
      <c r="B43" t="s">
        <v>770</v>
      </c>
      <c r="C43" t="s">
        <v>767</v>
      </c>
    </row>
    <row r="44" spans="1:4">
      <c r="B44" t="s">
        <v>771</v>
      </c>
      <c r="C44" t="s">
        <v>767</v>
      </c>
    </row>
    <row r="46" spans="1:4">
      <c r="B46" t="s">
        <v>772</v>
      </c>
      <c r="D46" t="s">
        <v>679</v>
      </c>
    </row>
    <row r="47" spans="1:4">
      <c r="B47" t="s">
        <v>773</v>
      </c>
      <c r="D47" t="s">
        <v>774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5" sqref="A15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360</v>
      </c>
      <c r="B1" s="3" t="s">
        <v>775</v>
      </c>
      <c r="C1" s="3" t="s">
        <v>361</v>
      </c>
      <c r="D1" s="3" t="s">
        <v>8</v>
      </c>
      <c r="E1" s="3" t="s">
        <v>776</v>
      </c>
    </row>
    <row r="2" spans="1:5">
      <c r="A2" t="s">
        <v>777</v>
      </c>
      <c r="B2" t="s">
        <v>778</v>
      </c>
      <c r="C2" t="s">
        <v>779</v>
      </c>
      <c r="D2" t="s">
        <v>780</v>
      </c>
    </row>
    <row r="3" spans="1:5">
      <c r="A3" t="s">
        <v>781</v>
      </c>
      <c r="C3" t="s">
        <v>782</v>
      </c>
    </row>
    <row r="4" spans="1:5">
      <c r="A4" t="s">
        <v>783</v>
      </c>
    </row>
    <row r="5" spans="1:5">
      <c r="A5" t="s">
        <v>784</v>
      </c>
    </row>
    <row r="6" spans="1:5" ht="16.5" customHeight="1">
      <c r="A6" t="s">
        <v>785</v>
      </c>
      <c r="C6" s="4" t="s">
        <v>786</v>
      </c>
    </row>
    <row r="7" spans="1:5">
      <c r="A7" t="s">
        <v>787</v>
      </c>
    </row>
    <row r="8" spans="1:5">
      <c r="A8" t="s">
        <v>788</v>
      </c>
    </row>
    <row r="9" spans="1:5">
      <c r="A9" t="s">
        <v>789</v>
      </c>
    </row>
    <row r="10" spans="1:5" ht="14.25" customHeight="1">
      <c r="A10" s="4" t="s">
        <v>790</v>
      </c>
    </row>
    <row r="11" spans="1:5">
      <c r="A11" t="s">
        <v>791</v>
      </c>
    </row>
    <row r="12" spans="1:5">
      <c r="A12" t="s">
        <v>792</v>
      </c>
      <c r="C12" t="s">
        <v>793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2026-01-21T01:54:31Z</dcterms:modified>
  <cp:category/>
  <cp:contentStatus/>
</cp:coreProperties>
</file>