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414" documentId="8_{5107759B-8870-48A8-933E-C4A7F6F41B8D}" xr6:coauthVersionLast="47" xr6:coauthVersionMax="47" xr10:uidLastSave="{EBA6BCF7-36CD-4550-99FB-E630A20A0FF9}"/>
  <bookViews>
    <workbookView minimized="1" xWindow="36000" yWindow="75" windowWidth="21600" windowHeight="11295" firstSheet="9" activeTab="9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Parts'!$A$1:$G$92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2" i="45"/>
  <c r="D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E92" i="45" l="1"/>
  <c r="F92" i="45"/>
  <c r="F149" i="43"/>
</calcChain>
</file>

<file path=xl/sharedStrings.xml><?xml version="1.0" encoding="utf-8"?>
<sst xmlns="http://schemas.openxmlformats.org/spreadsheetml/2006/main" count="2100" uniqueCount="1198">
  <si>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</si>
  <si>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</si>
  <si>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</si>
  <si>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</si>
  <si>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</si>
  <si>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</si>
  <si>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</si>
  <si>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</si>
  <si>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</si>
  <si>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</si>
  <si>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</si>
  <si>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</si>
  <si>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</si>
  <si>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</si>
  <si>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</si>
  <si>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</si>
  <si>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</si>
  <si>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</si>
  <si>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</si>
  <si>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</si>
  <si>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</si>
  <si>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</si>
  <si>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</si>
  <si>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</si>
  <si>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</si>
  <si>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</si>
  <si>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</si>
  <si>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</si>
  <si>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</si>
  <si>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</si>
  <si>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</si>
  <si>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</si>
  <si>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</si>
  <si>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</si>
  <si>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</si>
  <si>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</si>
  <si>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</si>
  <si>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</si>
  <si>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</si>
  <si>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</si>
  <si>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</si>
  <si>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</si>
  <si>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</si>
  <si>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</si>
  <si>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</si>
  <si>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</si>
  <si>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</si>
  <si>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</si>
  <si>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</si>
  <si>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</si>
  <si>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</si>
  <si>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</si>
  <si>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</si>
  <si>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</si>
  <si>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</si>
  <si>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</si>
  <si>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</si>
  <si>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</si>
  <si>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</si>
  <si>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</si>
  <si>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</si>
  <si>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</si>
  <si>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</si>
  <si>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</si>
  <si>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</si>
  <si>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</si>
  <si>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</si>
  <si>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</si>
  <si>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</si>
  <si>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</si>
  <si>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</si>
  <si>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</si>
  <si>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</si>
  <si>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</si>
  <si>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</si>
  <si>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</si>
  <si>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</si>
  <si>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</si>
  <si>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</si>
  <si>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</si>
  <si>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</si>
  <si>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</si>
  <si>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</si>
  <si>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</si>
  <si>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</si>
  <si>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</si>
  <si>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</si>
  <si>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</si>
  <si>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</si>
  <si>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</si>
  <si>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</si>
  <si>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</si>
  <si>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</si>
  <si>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</si>
  <si>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</si>
  <si>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</si>
  <si>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</si>
  <si>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</si>
  <si>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</si>
  <si>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</si>
  <si>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</si>
  <si>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</si>
  <si>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</si>
  <si>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</si>
  <si>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</si>
  <si>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</si>
  <si>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</si>
  <si>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</si>
  <si>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</si>
  <si>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</si>
  <si>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</si>
  <si>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</si>
  <si>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</si>
  <si>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</si>
  <si>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</si>
  <si>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</si>
  <si>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</si>
  <si>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</si>
  <si>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</si>
  <si>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</si>
  <si>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</si>
  <si>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</si>
  <si>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</si>
  <si>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</si>
  <si>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</si>
  <si>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</si>
  <si>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</si>
  <si>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</si>
  <si>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</si>
  <si>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</si>
  <si>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</si>
  <si>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</si>
  <si>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</si>
  <si>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</si>
  <si>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</si>
  <si>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</si>
  <si>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</si>
  <si>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</si>
  <si>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</si>
  <si>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</si>
  <si>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</si>
  <si>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</si>
  <si>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</si>
  <si>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</si>
  <si>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</si>
  <si>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</si>
  <si>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</si>
  <si>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</si>
  <si>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</si>
  <si>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</si>
  <si>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</si>
  <si>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</si>
  <si>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</si>
  <si>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</si>
  <si>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</si>
  <si>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</si>
  <si>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</si>
  <si>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</si>
  <si>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</si>
  <si>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</si>
  <si>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</si>
  <si>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</si>
  <si>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</si>
  <si>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</si>
  <si>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</si>
  <si>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</si>
  <si>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</si>
  <si>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</si>
  <si>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</si>
  <si>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</si>
  <si>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</si>
  <si>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</si>
  <si>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</si>
  <si>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</si>
  <si>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</si>
  <si>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</si>
  <si>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</si>
  <si>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</si>
  <si>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</si>
  <si>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</si>
  <si>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</si>
  <si>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</si>
  <si>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</si>
  <si>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</si>
  <si>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</si>
  <si>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</si>
  <si>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</si>
  <si>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</si>
  <si>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</si>
  <si>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</si>
  <si>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</si>
  <si>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</si>
  <si>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</si>
  <si>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</si>
  <si>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</si>
  <si>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</si>
  <si>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</si>
  <si>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</si>
  <si>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</si>
  <si>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</si>
  <si>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</si>
  <si>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</si>
  <si>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</si>
  <si>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</si>
  <si>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</si>
  <si>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</si>
  <si>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</si>
  <si>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</si>
  <si>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</si>
  <si>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</si>
  <si>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</si>
  <si>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</si>
  <si>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</si>
  <si>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</si>
  <si>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</si>
  <si>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</si>
  <si>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</si>
  <si>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</si>
  <si>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</si>
  <si>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</si>
  <si>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</si>
  <si>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</si>
  <si>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</si>
  <si>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</si>
  <si>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</si>
  <si>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</si>
  <si>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</si>
  <si>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</si>
  <si>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</si>
  <si>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</si>
  <si>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</si>
  <si>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</si>
  <si>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</si>
  <si>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</si>
  <si>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</si>
  <si>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</si>
  <si>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</si>
  <si>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</si>
  <si>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</si>
  <si>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</si>
  <si>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</si>
  <si>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</si>
  <si>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</si>
  <si>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</si>
  <si>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</si>
  <si>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</si>
  <si>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</si>
  <si>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</si>
  <si>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</si>
  <si>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</si>
  <si>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</si>
  <si>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</si>
  <si>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</si>
  <si>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</si>
  <si>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</si>
  <si>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</si>
  <si>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</si>
  <si>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</si>
  <si>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</si>
  <si>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</si>
  <si>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</si>
  <si>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</si>
  <si>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</si>
  <si>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</si>
  <si>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</si>
  <si>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</si>
  <si>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</si>
  <si>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</si>
  <si>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</si>
  <si>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</si>
  <si>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</si>
  <si>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</si>
  <si>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</si>
  <si>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</si>
  <si>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</si>
  <si>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</si>
  <si>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</si>
  <si>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</si>
  <si>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</si>
  <si>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</si>
  <si>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</si>
  <si>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</si>
  <si>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</si>
  <si>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</si>
  <si>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</si>
  <si>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</si>
  <si>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</si>
  <si>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</si>
  <si>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</si>
  <si>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</si>
  <si>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</si>
  <si>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</si>
  <si>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</si>
  <si>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</si>
  <si>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</si>
  <si>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</si>
  <si>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</si>
  <si>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</si>
  <si>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</si>
  <si>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</si>
  <si>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</si>
  <si>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</si>
  <si>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</si>
  <si>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</si>
  <si>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</si>
  <si>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</si>
  <si>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</si>
  <si>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</si>
  <si>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</si>
  <si>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</si>
  <si>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</si>
  <si>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</si>
  <si>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</si>
  <si>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</si>
  <si>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</si>
  <si>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</si>
  <si>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</si>
  <si>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</si>
  <si>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</si>
  <si>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</si>
  <si>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</si>
  <si>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</si>
  <si>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</si>
  <si>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</si>
  <si>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</si>
  <si>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</si>
  <si>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</si>
  <si>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</si>
  <si>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</si>
  <si>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</si>
  <si>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</si>
  <si>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</si>
  <si>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</si>
  <si>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</si>
  <si>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</si>
  <si>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</si>
  <si>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</si>
  <si>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</si>
  <si>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</si>
  <si>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</si>
  <si>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</si>
  <si>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</si>
  <si>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</si>
  <si>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</si>
  <si>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</si>
  <si>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</si>
  <si>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</si>
  <si>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</si>
  <si>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</si>
  <si>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</si>
  <si>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</si>
  <si>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</si>
  <si>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</si>
  <si>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</si>
  <si>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</si>
  <si>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</si>
  <si>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</si>
  <si>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</si>
  <si>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</si>
  <si>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</si>
  <si>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</si>
  <si>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</si>
  <si>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</si>
  <si>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</si>
  <si>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</si>
  <si>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</si>
  <si>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</si>
  <si>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</si>
  <si>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</si>
  <si>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</si>
  <si>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</si>
  <si>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</si>
  <si>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</si>
  <si>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</si>
  <si>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</si>
  <si>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</si>
  <si>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</si>
  <si>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</si>
  <si>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</si>
  <si>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</si>
  <si>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</si>
  <si>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</si>
  <si>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</si>
  <si>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</si>
  <si>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</si>
  <si>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</si>
  <si>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</si>
  <si>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</si>
  <si>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</si>
  <si>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</si>
  <si>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</si>
  <si>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</si>
  <si>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</si>
  <si>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</si>
  <si>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</si>
  <si>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</si>
  <si>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</si>
  <si>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</si>
  <si>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</si>
  <si>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</si>
  <si>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</si>
  <si>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</si>
  <si>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</si>
  <si>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</si>
  <si>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</si>
  <si>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</si>
  <si>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</si>
  <si>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</si>
  <si>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</si>
  <si>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</si>
  <si>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</si>
  <si>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</si>
  <si>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</si>
  <si>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</si>
  <si>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</si>
  <si>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</si>
  <si>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</si>
  <si>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</si>
  <si>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</si>
  <si>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</si>
  <si>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</si>
  <si>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</si>
  <si>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</si>
  <si>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</si>
  <si>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</si>
  <si>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</si>
  <si>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</si>
  <si>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</si>
  <si>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</si>
  <si>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</si>
  <si>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</si>
  <si>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</si>
  <si>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</si>
  <si>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</si>
  <si>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</si>
  <si>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</si>
  <si>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</si>
  <si>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</si>
  <si>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</si>
  <si>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</si>
  <si>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</si>
  <si>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</si>
  <si>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</si>
  <si>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</si>
  <si>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</si>
  <si>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</si>
  <si>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</si>
  <si>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</si>
  <si>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</si>
  <si>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</si>
  <si>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</si>
  <si>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</si>
  <si>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</si>
  <si>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</si>
  <si>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</si>
  <si>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</si>
  <si>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</si>
  <si>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</si>
  <si>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</si>
  <si>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</si>
  <si>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</si>
  <si>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</si>
  <si>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</si>
  <si>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</si>
  <si>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</si>
  <si>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</si>
  <si>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</si>
  <si>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</si>
  <si>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</si>
  <si>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</si>
  <si>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</si>
  <si>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</si>
  <si>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</si>
  <si>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</si>
  <si>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</si>
  <si>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</si>
  <si>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</si>
  <si>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</si>
  <si>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</si>
  <si>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</si>
  <si>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</si>
  <si>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</si>
  <si>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</si>
  <si>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</si>
  <si>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</si>
  <si>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</si>
  <si>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</si>
  <si>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</si>
  <si>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</si>
  <si>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</si>
  <si>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</si>
  <si>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</si>
  <si>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</si>
  <si>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</si>
  <si>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</si>
  <si>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</si>
  <si>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</si>
  <si>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</si>
  <si>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</si>
  <si>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</si>
  <si>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</si>
  <si>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</si>
  <si>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</si>
  <si>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</si>
  <si>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</si>
  <si>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</si>
  <si>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</si>
  <si>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</si>
  <si>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</si>
  <si>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</si>
  <si>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</si>
  <si>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</si>
  <si>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</si>
  <si>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</si>
  <si>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</si>
  <si>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</si>
  <si>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</si>
  <si>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</si>
  <si>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</si>
  <si>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</si>
  <si>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</si>
  <si>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</si>
  <si>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</si>
  <si>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</si>
  <si>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</si>
  <si>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</si>
  <si>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</si>
  <si>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</si>
  <si>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</si>
  <si>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</si>
  <si>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</si>
  <si>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</si>
  <si>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</si>
  <si>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</si>
  <si>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</si>
  <si>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</si>
  <si>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</si>
  <si>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</si>
  <si>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</si>
  <si>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</si>
  <si>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</si>
  <si>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</si>
  <si>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</si>
  <si>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</si>
  <si>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</si>
  <si>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</si>
  <si>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</si>
  <si>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</si>
  <si>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</si>
  <si>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</si>
  <si>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</si>
  <si>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</si>
  <si>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</si>
  <si>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</si>
  <si>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</si>
  <si>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</si>
  <si>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</si>
  <si>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</si>
  <si>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</si>
  <si>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</si>
  <si>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</si>
  <si>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</si>
  <si>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</si>
  <si>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</si>
  <si>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</si>
  <si>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</si>
  <si>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</si>
  <si>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</si>
  <si>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</si>
  <si>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</si>
  <si>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</si>
  <si>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</si>
  <si>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</si>
  <si>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</si>
  <si>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</si>
  <si>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</si>
  <si>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</si>
  <si>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</si>
  <si>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</si>
  <si>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</si>
  <si>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</si>
  <si>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</si>
  <si>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</si>
  <si>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</si>
  <si>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</si>
  <si>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</si>
  <si>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</si>
  <si>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</si>
  <si>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</si>
  <si>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</si>
  <si>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</si>
  <si>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</si>
  <si>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</si>
  <si>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</si>
  <si>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</si>
  <si>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</si>
  <si>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</si>
  <si>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</si>
  <si>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</si>
  <si>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</si>
  <si>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</si>
  <si>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</si>
  <si>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</si>
  <si>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</si>
  <si>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</si>
  <si>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</si>
  <si>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</si>
  <si>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</si>
  <si>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</si>
  <si>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</si>
  <si>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</si>
  <si>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</si>
  <si>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</si>
  <si>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</si>
  <si>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</si>
  <si>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</si>
  <si>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</si>
  <si>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</si>
  <si>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</si>
  <si>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</si>
  <si>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</si>
  <si>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</si>
  <si>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</si>
  <si>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</si>
  <si>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</si>
  <si>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</si>
  <si>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</si>
  <si>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</si>
  <si>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</si>
  <si>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</si>
  <si>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</si>
  <si>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</si>
  <si>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</si>
  <si>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</si>
  <si>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</si>
  <si>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</si>
  <si>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</si>
  <si>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</si>
  <si>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</si>
  <si>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</si>
  <si>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</si>
  <si>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</si>
  <si>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</si>
  <si>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</si>
  <si>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</si>
  <si>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</si>
  <si>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</si>
  <si>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</si>
  <si>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Weight</t>
  </si>
  <si>
    <t>weight Tot</t>
  </si>
  <si>
    <t>Cost/part</t>
  </si>
  <si>
    <t>Material</t>
  </si>
  <si>
    <t>Cost/Kg</t>
  </si>
  <si>
    <t>Density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</si>
  <si>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</si>
  <si>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</si>
  <si>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</si>
  <si>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</si>
  <si>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</si>
  <si>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</si>
  <si>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</si>
  <si>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</si>
  <si>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</si>
  <si>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</si>
  <si>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</si>
  <si>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</si>
  <si>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</si>
  <si>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</si>
  <si>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</si>
  <si>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</si>
  <si>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</si>
  <si>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</si>
  <si>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</si>
  <si>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</si>
  <si>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</si>
  <si>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</si>
  <si>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</si>
  <si>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</si>
  <si>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</si>
  <si>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LRS-360 Buddy_1x.stl</t>
  </si>
  <si>
    <t>added missing</t>
  </si>
  <si>
    <t>V2 LRS-75 Buddy_1x.stl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</si>
  <si>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</si>
  <si>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</si>
  <si>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</si>
  <si>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</si>
  <si>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</si>
  <si>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</si>
  <si>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</si>
  <si>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</si>
  <si>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</si>
  <si>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</si>
  <si>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</si>
  <si>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</si>
  <si>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</si>
  <si>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</si>
  <si>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</si>
  <si>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</si>
  <si>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</si>
  <si>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</si>
  <si>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</si>
  <si>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</si>
  <si>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</si>
  <si>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</si>
  <si>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</si>
  <si>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</si>
  <si>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</si>
  <si>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</si>
  <si>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</si>
  <si>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</si>
  <si>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</si>
  <si>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</si>
  <si>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</si>
  <si>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</si>
  <si>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</si>
  <si>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</si>
  <si>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</si>
  <si>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</si>
  <si>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</si>
  <si>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</si>
  <si>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</si>
  <si>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</si>
  <si>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</si>
  <si>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</si>
  <si>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</si>
  <si>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</si>
  <si>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</si>
  <si>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</si>
  <si>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</si>
  <si>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</si>
  <si>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</si>
  <si>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</si>
  <si>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</si>
  <si>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</si>
  <si>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</si>
  <si>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</si>
  <si>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</si>
  <si>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</si>
  <si>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</si>
  <si>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</si>
  <si>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</si>
  <si>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</si>
  <si>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</si>
  <si>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</si>
  <si>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</si>
  <si>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</si>
  <si>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</si>
  <si>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</si>
  <si>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</si>
  <si>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</si>
  <si>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</si>
  <si>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</si>
  <si>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</si>
  <si>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</si>
  <si>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</si>
  <si>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</si>
  <si>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</si>
  <si>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</si>
  <si>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</si>
  <si>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</si>
  <si>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</si>
  <si>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</si>
  <si>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</si>
  <si>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</si>
  <si>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</si>
  <si>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</si>
  <si>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</si>
  <si>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</si>
  <si>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</si>
  <si>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</si>
  <si>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</si>
  <si>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</si>
  <si>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</si>
  <si>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</si>
  <si>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</si>
  <si>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</si>
  <si>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</si>
  <si>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</si>
  <si>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</si>
  <si>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</si>
  <si>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</si>
  <si>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</si>
  <si>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</si>
  <si>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</si>
  <si>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</si>
  <si>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</si>
  <si>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</si>
  <si>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</si>
  <si>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</si>
  <si>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</si>
  <si>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</si>
  <si>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</si>
  <si>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</si>
  <si>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</si>
  <si>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</si>
  <si>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</si>
  <si>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</si>
  <si>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</si>
  <si>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</si>
  <si>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</si>
  <si>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</si>
  <si>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</si>
  <si>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</si>
  <si>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</si>
  <si>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</si>
  <si>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</si>
  <si>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</si>
  <si>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</si>
  <si>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</si>
  <si>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</si>
  <si>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</si>
  <si>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</si>
  <si>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</si>
  <si>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</si>
  <si>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</si>
  <si>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</si>
  <si>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</si>
  <si>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</si>
  <si>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</si>
  <si>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</si>
  <si>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</si>
  <si>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</si>
  <si>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</si>
  <si>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</si>
  <si>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</si>
  <si>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</si>
  <si>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</si>
  <si>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</si>
  <si>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</si>
  <si>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</si>
  <si>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</si>
  <si>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</si>
  <si>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</si>
  <si>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</si>
  <si>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Thermal Treatment:</t>
  </si>
  <si>
    <t>Active Drying:</t>
  </si>
  <si>
    <t>These materials must be dried at 80°C–120°C for 8+ hours before printing to prevent structural defects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</si>
  <si>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</si>
  <si>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</si>
  <si>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</si>
  <si>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</si>
  <si>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</si>
  <si>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</si>
  <si>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</si>
  <si>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</si>
  <si>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</si>
  <si>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</si>
  <si>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</si>
  <si>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</si>
  <si>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</si>
  <si>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</si>
  <si>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</si>
  <si>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</si>
  <si>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</si>
  <si>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</si>
  <si>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</si>
  <si>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</si>
  <si>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</si>
  <si>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</si>
  <si>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</si>
  <si>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</si>
  <si>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</si>
  <si>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</si>
  <si>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</si>
  <si>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</si>
  <si>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</si>
  <si>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</si>
  <si>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</si>
  <si>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</si>
  <si>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</si>
  <si>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Volume250 × 220 × 270 mm | 9.8 × 8.6 × 10.6 in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</si>
  <si>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</si>
  <si>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</si>
  <si>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</si>
  <si>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</si>
  <si>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</si>
  <si>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</si>
  <si>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diameter1.75 mm</t>
  </si>
  <si>
    <t>Filament diameter</t>
  </si>
  <si>
    <t>1.75 mm</t>
  </si>
  <si>
    <t>Max extruder Tempreature</t>
  </si>
  <si>
    <t>245 std, 290 HT</t>
  </si>
  <si>
    <t>500C</t>
  </si>
  <si>
    <t>Layer height0.05-0.30 mm</t>
  </si>
  <si>
    <t>0.05-0.30 mm</t>
  </si>
  <si>
    <t>Max Bed Tempreature deg C</t>
  </si>
  <si>
    <t>120C</t>
  </si>
  <si>
    <t>150C</t>
  </si>
  <si>
    <t>250C</t>
  </si>
  <si>
    <t>Printer dimensions22.5 kg, 415 × 444 × 555 mm; 16.3 × 17.5 × 21.8 in (X×Y×Z)</t>
  </si>
  <si>
    <t>Printer dimensions</t>
  </si>
  <si>
    <t>21,9 kg, 469×521×635 mm; 18.5×20.5×25 in (W×D×H)</t>
  </si>
  <si>
    <t>Max chamber Temperatue</t>
  </si>
  <si>
    <t>100/active</t>
  </si>
  <si>
    <t>MainboardCustom 32-bit xBuddy electronics with STM32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</si>
  <si>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</si>
  <si>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</si>
  <si>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</si>
  <si>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</si>
  <si>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</si>
  <si>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</si>
  <si>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</si>
  <si>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</si>
  <si>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Stepper DriversTrinamic 2130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</si>
  <si>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</si>
  <si>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</si>
  <si>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</si>
  <si>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</si>
  <si>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</si>
  <si>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</si>
  <si>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motorsPrecise 0.9° X,Y stepper motors (prevents VFA)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</si>
  <si>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</si>
  <si>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</si>
  <si>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</si>
  <si>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</si>
  <si>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</si>
  <si>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</si>
  <si>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</si>
  <si>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</si>
  <si>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ExtruderNextruder, Direct Drive, E3D V6 compatible (with adapter)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</si>
  <si>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</si>
  <si>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</si>
  <si>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</si>
  <si>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</si>
  <si>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</si>
  <si>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</si>
  <si>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</si>
  <si>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</si>
  <si>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</si>
  <si>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</si>
  <si>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 electronicsCustom breakout board for connecting fans, thermistors and other parts</t>
  </si>
  <si>
    <t>Extruder</t>
  </si>
  <si>
    <t>bed probe</t>
  </si>
  <si>
    <t>custom</t>
  </si>
  <si>
    <t>Bltouch</t>
  </si>
  <si>
    <t>inductive</t>
  </si>
  <si>
    <t>BL touch</t>
  </si>
  <si>
    <t>Filament pathAluminum heatsink, all-metal hotend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</si>
  <si>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</si>
  <si>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</si>
  <si>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</si>
  <si>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</si>
  <si>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</si>
  <si>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</si>
  <si>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</si>
  <si>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</si>
  <si>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Drive systemNextruder Planetary Gear System, 10:1 gearbox ratio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</si>
  <si>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</si>
  <si>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</si>
  <si>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</si>
  <si>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</si>
  <si>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</si>
  <si>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</si>
  <si>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Cooling fanHigh-performance turbine, 360° cooling system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</si>
  <si>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</si>
  <si>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</si>
  <si>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</si>
  <si>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</si>
  <si>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</si>
  <si>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</si>
  <si>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</si>
  <si>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</si>
  <si>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</si>
  <si>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NozzleHigh-flow Prusa Nozzle brass CHT - 0.4 mm</t>
  </si>
  <si>
    <t>Drive system</t>
  </si>
  <si>
    <t>Nextruder Planetary Gear System, 10:1 gearbox ratio</t>
  </si>
  <si>
    <t>Filament Runout Sensor</t>
  </si>
  <si>
    <t>Max nozzle temperature290 °C / 554 °F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</si>
  <si>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</si>
  <si>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</si>
  <si>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</si>
  <si>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</si>
  <si>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</si>
  <si>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</si>
  <si>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</si>
  <si>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</si>
  <si>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Max heatbed temperature120 °C / 248 °F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</si>
  <si>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</si>
  <si>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</si>
  <si>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</si>
  <si>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</si>
  <si>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</si>
  <si>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</si>
  <si>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 chamber temperature55 °C / 131 °F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</si>
  <si>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</si>
  <si>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</si>
  <si>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</si>
  <si>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</si>
  <si>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</si>
  <si>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</si>
  <si>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</si>
  <si>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</si>
  <si>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LCD screen3.5″ graphic 65k color screen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</si>
  <si>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</si>
  <si>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</si>
  <si>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</si>
  <si>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</si>
  <si>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</si>
  <si>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</si>
  <si>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</si>
  <si>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Touch controlYes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</si>
  <si>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</si>
  <si>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</si>
  <si>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</si>
  <si>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</si>
  <si>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</si>
  <si>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</si>
  <si>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</si>
  <si>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Firmware update interfaceUSB drive, Prusa Connect, Prusa Mobile App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</si>
  <si>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</si>
  <si>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</si>
  <si>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</si>
  <si>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</si>
  <si>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</si>
  <si>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</si>
  <si>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</si>
  <si>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Prusa Connect supportYes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</si>
  <si>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</si>
  <si>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</si>
  <si>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</si>
  <si>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</si>
  <si>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</si>
  <si>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</si>
  <si>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Quick-Swap nozzle systemYes</t>
  </si>
  <si>
    <t>LCD screen</t>
  </si>
  <si>
    <t>3.5″ graphic 65k color screen</t>
  </si>
  <si>
    <t>Built in UPS</t>
  </si>
  <si>
    <t>YES</t>
  </si>
  <si>
    <t>Internal cameraOptional, in-chamber solution</t>
  </si>
  <si>
    <t>Touch control</t>
  </si>
  <si>
    <t>Yes</t>
  </si>
  <si>
    <t>Raspberry Pi</t>
  </si>
  <si>
    <t>Multi-Material SupportYes, MMU3 (5 filaments) and INDX (up to 8 filaments)</t>
  </si>
  <si>
    <t>Firmware update interface</t>
  </si>
  <si>
    <t>USB drive, Prusa Connect, Prusa Mobile App</t>
  </si>
  <si>
    <t>Print Resoloution layer height</t>
  </si>
  <si>
    <t>HEPA filtrationOptional addon</t>
  </si>
  <si>
    <t>Prusa Connect support</t>
  </si>
  <si>
    <t>Screen</t>
  </si>
  <si>
    <t>option , new Duet release soon</t>
  </si>
  <si>
    <t>yes type?</t>
  </si>
  <si>
    <t>touch 5"</t>
  </si>
  <si>
    <t>ConnectivityEthernet, Wi-Fi (NFC receiver, optional Wi-Fi module)</t>
  </si>
  <si>
    <t>Prusa App for iOS and Android support</t>
  </si>
  <si>
    <t>Controller Firmware</t>
  </si>
  <si>
    <t>REPRAP</t>
  </si>
  <si>
    <t>klipper/Marrlin</t>
  </si>
  <si>
    <t>Filament SensorYes (2 sensors)</t>
  </si>
  <si>
    <t>Quick-Swap nozzle system</t>
  </si>
  <si>
    <t>Slicer</t>
  </si>
  <si>
    <t>Any</t>
  </si>
  <si>
    <t>any</t>
  </si>
  <si>
    <t>CURA</t>
  </si>
  <si>
    <t>Loadcell sensorYes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</si>
  <si>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</si>
  <si>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</si>
  <si>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</si>
  <si>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</si>
  <si>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</si>
  <si>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</si>
  <si>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</si>
  <si>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Print surfaceMagnetic heatbed with removable PEI spring steel sheets</t>
  </si>
  <si>
    <t>Accessories</t>
  </si>
  <si>
    <t>BTT H2V2S</t>
  </si>
  <si>
    <t>BTT H2V2</t>
  </si>
  <si>
    <t>LGX Pro High-Temp</t>
  </si>
  <si>
    <t>First layer calibrationFully automatic (Load Cell sensor)</t>
  </si>
  <si>
    <t>Internal camera</t>
  </si>
  <si>
    <t>Included in the box, installation optional</t>
  </si>
  <si>
    <t>connectivity WIFI USB</t>
  </si>
  <si>
    <t>wifi/LAN</t>
  </si>
  <si>
    <t>Wifi &amp; LAN</t>
  </si>
  <si>
    <t>Input shaperYes</t>
  </si>
  <si>
    <t>MMU3 support</t>
  </si>
  <si>
    <t>Yes. MMU3 (available Jan 2026)</t>
  </si>
  <si>
    <t>internal light</t>
  </si>
  <si>
    <t>LED</t>
  </si>
  <si>
    <t>Blue LED</t>
  </si>
  <si>
    <t>RGB</t>
  </si>
  <si>
    <t>Supported materialsPLA, PETG, Flex, PVA, PC, PP, CPE, PVB (Advanced: ABS, ASA, HIPS, PA)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</si>
  <si>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</si>
  <si>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</si>
  <si>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</si>
  <si>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</si>
  <si>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</si>
  <si>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</si>
  <si>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</si>
  <si>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</si>
  <si>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PSU240W with Power Panic HW</t>
  </si>
  <si>
    <t>GPIO Board compatibility</t>
  </si>
  <si>
    <t>Price Approximately USA $</t>
  </si>
  <si>
    <t>~2000</t>
  </si>
  <si>
    <t>~2400</t>
  </si>
  <si>
    <t>Power consumptionPLA: 90W / ABS: 110W</t>
  </si>
  <si>
    <t>Accelerometer compatibility</t>
  </si>
  <si>
    <t>Yes, built-in</t>
  </si>
  <si>
    <t>filament Dia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</si>
  <si>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</si>
  <si>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</si>
  <si>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</si>
  <si>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</si>
  <si>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</si>
  <si>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</si>
  <si>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</si>
  <si>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</si>
  <si>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</si>
  <si>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</si>
  <si>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</si>
  <si>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</si>
  <si>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</si>
  <si>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</si>
  <si>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</si>
  <si>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</si>
  <si>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</si>
  <si>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</si>
  <si>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</si>
  <si>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</si>
  <si>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</si>
  <si>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</si>
  <si>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</si>
  <si>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</si>
  <si>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</si>
  <si>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</si>
  <si>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</si>
  <si>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</si>
  <si>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</si>
  <si>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</si>
  <si>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</si>
  <si>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</si>
  <si>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</si>
  <si>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</si>
  <si>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</si>
  <si>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</si>
  <si>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</si>
  <si>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</si>
  <si>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</si>
  <si>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</si>
  <si>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</si>
  <si>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</si>
  <si>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</si>
  <si>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</si>
  <si>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</si>
  <si>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</si>
  <si>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</si>
  <si>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</si>
  <si>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</si>
  <si>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</si>
  <si>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</si>
  <si>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</si>
  <si>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</si>
  <si>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</si>
  <si>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</si>
  <si>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</si>
  <si>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</si>
  <si>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</si>
  <si>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</si>
  <si>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</si>
  <si>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</si>
  <si>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</si>
  <si>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</si>
  <si>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</si>
  <si>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</si>
  <si>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</si>
  <si>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</si>
  <si>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</si>
  <si>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</si>
  <si>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</si>
  <si>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</si>
  <si>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</si>
  <si>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</si>
  <si>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</si>
  <si>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</si>
  <si>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</si>
  <si>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</si>
  <si>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</si>
  <si>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</si>
  <si>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</si>
  <si>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</si>
  <si>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</si>
  <si>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</si>
  <si>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</si>
  <si>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add a cpap fan fan</t>
  </si>
  <si>
    <t>add a temp sensor to the cpap</t>
  </si>
  <si>
    <t>Length</t>
  </si>
  <si>
    <t>QTY</t>
  </si>
  <si>
    <t>redesign the chamber heater buddy</t>
  </si>
  <si>
    <t>Amorphous Materials (PC, ABS, ASA, PETG, ULTEM):</t>
  </si>
  <si>
    <t xml:space="preserve">Semi-Crystalline Materials (PLA, PPS, Nylon, PEEK): </t>
  </si>
  <si>
    <t>These materials generally do not benefit from annealing in terms of HDT.</t>
  </si>
  <si>
    <t>Annealing is used here primarily to reduce internal stresses and prevent warping later on. </t>
  </si>
  <si>
    <t xml:space="preserve">Annealing is required to reach the high HDT values listed. </t>
  </si>
  <si>
    <t>Without annealing, these parts will soften significantly at much lower temperatures.</t>
  </si>
  <si>
    <t>Semi-crystalline polymers like PPS-CF and PPA-CF often require annealing to reach their maximum rated HDT</t>
  </si>
  <si>
    <t>HDT-A</t>
  </si>
  <si>
    <t>Glass Fiber (GF) and Carbon Fiber (CF) will destroy brass nozzles.</t>
  </si>
  <si>
    <t>A hardened steel or tungsten carbide nozzle is mandatory</t>
  </si>
  <si>
    <t>Speed in mm3/s</t>
  </si>
  <si>
    <t>Time/item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</si>
</sst>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8" fillId="0" borderId="0"/>
  </cellStyleXfs>
  <cellXfs count="298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49" fontId="14" fillId="0" borderId="0" xfId="2" applyNumberFormat="1" applyAlignment="1">
      <alignment wrapText="1"/>
    </xf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16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4" fillId="0" borderId="1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1" fontId="14" fillId="2" borderId="0" xfId="2" applyNumberFormat="1" applyFill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0" fontId="0" fillId="0" borderId="0" xfId="9" applyFont="1" applyAlignment="1">
      <alignment vertical="top"/>
    </xf>
    <xf numFmtId="49" fontId="14" fillId="0" borderId="2" xfId="2" applyNumberFormat="1" applyBorder="1" applyAlignment="1">
      <alignment wrapText="1"/>
    </xf>
    <xf numFmtId="0" fontId="10" fillId="0" borderId="0" xfId="7"/>
    <xf numFmtId="0" fontId="16" fillId="2" borderId="0" xfId="0" applyFont="1" applyFill="1"/>
    <xf numFmtId="0" fontId="16" fillId="0" borderId="0" xfId="7" applyFont="1"/>
    <xf numFmtId="0" fontId="0" fillId="0" borderId="0" xfId="7" applyFont="1"/>
    <xf numFmtId="0" fontId="14" fillId="0" borderId="11" xfId="2" applyBorder="1"/>
    <xf numFmtId="0" fontId="23" fillId="0" borderId="12" xfId="8" applyFont="1" applyBorder="1"/>
    <xf numFmtId="0" fontId="14" fillId="0" borderId="12" xfId="2" applyBorder="1"/>
    <xf numFmtId="0" fontId="29" fillId="0" borderId="12" xfId="1" applyFont="1" applyBorder="1"/>
    <xf numFmtId="0" fontId="29" fillId="0" borderId="0" xfId="1" applyFont="1" applyBorder="1"/>
    <xf numFmtId="0" fontId="16" fillId="0" borderId="0" xfId="8" applyFont="1"/>
    <xf numFmtId="49" fontId="14" fillId="0" borderId="12" xfId="2" applyNumberFormat="1" applyBorder="1"/>
    <xf numFmtId="49" fontId="0" fillId="0" borderId="12" xfId="2" applyNumberFormat="1" applyFont="1" applyBorder="1"/>
    <xf numFmtId="49" fontId="14" fillId="0" borderId="13" xfId="2" applyNumberFormat="1" applyBorder="1"/>
    <xf numFmtId="0" fontId="29" fillId="0" borderId="12" xfId="1" applyFont="1" applyFill="1" applyBorder="1" applyAlignment="1">
      <alignment horizontal="center"/>
    </xf>
    <xf numFmtId="0" fontId="27" fillId="0" borderId="0" xfId="0" applyFont="1" applyAlignment="1">
      <alignment wrapText="1"/>
    </xf>
    <xf numFmtId="0" fontId="38" fillId="0" borderId="0" xfId="2" applyFont="1"/>
    <xf numFmtId="0" fontId="14" fillId="0" borderId="15" xfId="2" applyBorder="1"/>
    <xf numFmtId="49" fontId="14" fillId="0" borderId="16" xfId="2" applyNumberFormat="1" applyBorder="1" applyAlignment="1">
      <alignment wrapText="1"/>
    </xf>
    <xf numFmtId="0" fontId="14" fillId="0" borderId="17" xfId="2" applyBorder="1"/>
    <xf numFmtId="0" fontId="15" fillId="0" borderId="18" xfId="0" applyFont="1" applyBorder="1"/>
    <xf numFmtId="0" fontId="23" fillId="0" borderId="19" xfId="8" applyFont="1" applyBorder="1"/>
    <xf numFmtId="0" fontId="28" fillId="0" borderId="18" xfId="1" applyFont="1" applyBorder="1"/>
    <xf numFmtId="0" fontId="14" fillId="0" borderId="18" xfId="2" applyBorder="1"/>
    <xf numFmtId="0" fontId="14" fillId="0" borderId="19" xfId="2" applyBorder="1"/>
    <xf numFmtId="0" fontId="29" fillId="0" borderId="19" xfId="1" applyFont="1" applyBorder="1"/>
    <xf numFmtId="0" fontId="14" fillId="0" borderId="20" xfId="2" applyBorder="1"/>
    <xf numFmtId="1" fontId="14" fillId="0" borderId="14" xfId="2" applyNumberFormat="1" applyBorder="1"/>
    <xf numFmtId="0" fontId="14" fillId="0" borderId="21" xfId="2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4" fillId="2" borderId="0" xfId="2" applyFill="1"/>
    <xf numFmtId="0" fontId="14" fillId="0" borderId="0" xfId="2" applyAlignment="1">
      <alignment wrapText="1"/>
    </xf>
    <xf numFmtId="0" fontId="41" fillId="0" borderId="0" xfId="2" applyFont="1" applyAlignment="1">
      <alignment wrapText="1"/>
    </xf>
    <xf numFmtId="0" fontId="14" fillId="0" borderId="14" xfId="2" applyBorder="1"/>
    <xf numFmtId="0" fontId="17" fillId="0" borderId="0" xfId="1"/>
    <xf numFmtId="0" fontId="44" fillId="0" borderId="0" xfId="0" applyFont="1"/>
    <xf numFmtId="0" fontId="5" fillId="0" borderId="0" xfId="11"/>
    <xf numFmtId="0" fontId="25" fillId="0" borderId="0" xfId="11" applyFont="1"/>
    <xf numFmtId="0" fontId="45" fillId="0" borderId="0" xfId="11" applyFont="1"/>
    <xf numFmtId="0" fontId="46" fillId="0" borderId="0" xfId="11" applyFont="1"/>
    <xf numFmtId="0" fontId="49" fillId="0" borderId="0" xfId="0" applyFont="1"/>
    <xf numFmtId="0" fontId="50" fillId="0" borderId="0" xfId="0" applyFont="1" applyAlignment="1">
      <alignment wrapText="1"/>
    </xf>
    <xf numFmtId="0" fontId="51" fillId="0" borderId="0" xfId="0" applyFont="1"/>
    <xf numFmtId="0" fontId="16" fillId="3" borderId="0" xfId="0" applyFont="1" applyFill="1" applyAlignment="1">
      <alignment wrapText="1"/>
    </xf>
    <xf numFmtId="0" fontId="52" fillId="0" borderId="0" xfId="0" applyFont="1"/>
    <xf numFmtId="0" fontId="23" fillId="0" borderId="0" xfId="5" applyFont="1"/>
    <xf numFmtId="0" fontId="53" fillId="0" borderId="0" xfId="0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54" fillId="0" borderId="0" xfId="0" applyFont="1"/>
    <xf numFmtId="0" fontId="54" fillId="0" borderId="0" xfId="0" applyFont="1" applyAlignment="1">
      <alignment wrapText="1"/>
    </xf>
    <xf numFmtId="0" fontId="55" fillId="0" borderId="0" xfId="0" applyFont="1"/>
    <xf numFmtId="0" fontId="0" fillId="2" borderId="0" xfId="0" applyFill="1" applyAlignment="1">
      <alignment wrapText="1"/>
    </xf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2" fillId="0" borderId="0" xfId="0" applyFont="1" applyAlignment="1">
      <alignment vertical="top"/>
    </xf>
    <xf numFmtId="0" fontId="9" fillId="0" borderId="0" xfId="9" applyAlignment="1">
      <alignment vertical="top"/>
    </xf>
    <xf numFmtId="0" fontId="14" fillId="0" borderId="0" xfId="2" applyAlignment="1">
      <alignment vertical="top"/>
    </xf>
    <xf numFmtId="0" fontId="10" fillId="0" borderId="0" xfId="7" applyAlignment="1">
      <alignment vertical="top"/>
    </xf>
    <xf numFmtId="0" fontId="43" fillId="0" borderId="0" xfId="0" applyFont="1"/>
    <xf numFmtId="1" fontId="14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1" fillId="0" borderId="0" xfId="5" applyAlignment="1">
      <alignment vertical="top"/>
    </xf>
    <xf numFmtId="0" fontId="25" fillId="0" borderId="0" xfId="2" applyFont="1"/>
    <xf numFmtId="1" fontId="25" fillId="0" borderId="0" xfId="2" applyNumberFormat="1" applyFont="1"/>
    <xf numFmtId="3" fontId="57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57" fillId="0" borderId="0" xfId="0" applyNumberFormat="1" applyFont="1" applyAlignment="1">
      <alignment vertical="top"/>
    </xf>
    <xf numFmtId="0" fontId="25" fillId="0" borderId="0" xfId="0" applyFont="1"/>
    <xf numFmtId="165" fontId="16" fillId="0" borderId="0" xfId="0" applyNumberFormat="1" applyFont="1" applyAlignment="1">
      <alignment vertical="top"/>
    </xf>
    <xf numFmtId="0" fontId="20" fillId="0" borderId="0" xfId="0" applyFont="1" applyAlignment="1">
      <alignment vertical="top"/>
    </xf>
    <xf numFmtId="0" fontId="20" fillId="0" borderId="0" xfId="2" applyFont="1" applyAlignment="1">
      <alignment vertical="top"/>
    </xf>
    <xf numFmtId="1" fontId="20" fillId="0" borderId="0" xfId="0" applyNumberFormat="1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10" fillId="0" borderId="0" xfId="6" applyAlignment="1">
      <alignment vertical="top"/>
    </xf>
    <xf numFmtId="0" fontId="24" fillId="0" borderId="0" xfId="7" applyFont="1" applyAlignment="1">
      <alignment vertical="top"/>
    </xf>
    <xf numFmtId="0" fontId="12" fillId="0" borderId="0" xfId="4" applyAlignment="1">
      <alignment vertical="top"/>
    </xf>
    <xf numFmtId="0" fontId="25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57" fillId="0" borderId="0" xfId="0" applyFont="1" applyAlignment="1">
      <alignment vertical="top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5" fontId="24" fillId="0" borderId="0" xfId="0" applyNumberFormat="1" applyFont="1" applyAlignment="1">
      <alignment vertical="top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57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9" fillId="0" borderId="0" xfId="0" applyFont="1" applyAlignment="1">
      <alignment horizontal="right" vertical="top"/>
    </xf>
    <xf numFmtId="0" fontId="20" fillId="0" borderId="0" xfId="0" applyFont="1" applyAlignment="1">
      <alignment horizontal="right" vertical="top"/>
    </xf>
    <xf numFmtId="0" fontId="24" fillId="0" borderId="0" xfId="0" applyFont="1" applyAlignment="1">
      <alignment horizontal="right" vertical="top"/>
    </xf>
    <xf numFmtId="1" fontId="20" fillId="0" borderId="23" xfId="1" applyNumberFormat="1" applyFont="1" applyFill="1" applyBorder="1" applyAlignment="1">
      <alignment horizontal="right" vertical="top"/>
    </xf>
    <xf numFmtId="1" fontId="20" fillId="0" borderId="24" xfId="1" applyNumberFormat="1" applyFont="1" applyFill="1" applyBorder="1" applyAlignment="1">
      <alignment horizontal="right" vertical="top"/>
    </xf>
    <xf numFmtId="1" fontId="36" fillId="0" borderId="24" xfId="1" applyNumberFormat="1" applyFont="1" applyFill="1" applyBorder="1" applyAlignment="1">
      <alignment horizontal="right" vertical="top"/>
    </xf>
    <xf numFmtId="1" fontId="24" fillId="0" borderId="24" xfId="1" applyNumberFormat="1" applyFont="1" applyFill="1" applyBorder="1" applyAlignment="1">
      <alignment horizontal="right" vertical="top"/>
    </xf>
    <xf numFmtId="1" fontId="24" fillId="0" borderId="22" xfId="1" applyNumberFormat="1" applyFont="1" applyFill="1" applyBorder="1" applyAlignment="1">
      <alignment horizontal="right" vertical="top"/>
    </xf>
    <xf numFmtId="49" fontId="19" fillId="0" borderId="23" xfId="0" applyNumberFormat="1" applyFont="1" applyBorder="1" applyAlignment="1">
      <alignment vertical="top"/>
    </xf>
    <xf numFmtId="49" fontId="19" fillId="0" borderId="24" xfId="0" applyNumberFormat="1" applyFont="1" applyBorder="1" applyAlignment="1">
      <alignment vertical="top"/>
    </xf>
    <xf numFmtId="49" fontId="25" fillId="0" borderId="24" xfId="0" applyNumberFormat="1" applyFont="1" applyBorder="1" applyAlignment="1">
      <alignment vertical="top"/>
    </xf>
    <xf numFmtId="0" fontId="56" fillId="0" borderId="24" xfId="0" applyFont="1" applyBorder="1" applyAlignment="1">
      <alignment wrapText="1"/>
    </xf>
    <xf numFmtId="49" fontId="34" fillId="0" borderId="24" xfId="0" applyNumberFormat="1" applyFont="1" applyBorder="1" applyAlignment="1">
      <alignment vertical="top"/>
    </xf>
    <xf numFmtId="0" fontId="34" fillId="0" borderId="24" xfId="0" applyFont="1" applyBorder="1" applyAlignment="1">
      <alignment wrapText="1"/>
    </xf>
    <xf numFmtId="0" fontId="19" fillId="0" borderId="24" xfId="0" applyFont="1" applyBorder="1"/>
    <xf numFmtId="0" fontId="58" fillId="0" borderId="24" xfId="0" applyFont="1" applyBorder="1" applyAlignment="1">
      <alignment vertical="top" wrapText="1"/>
    </xf>
    <xf numFmtId="0" fontId="34" fillId="0" borderId="24" xfId="0" applyFont="1" applyBorder="1"/>
    <xf numFmtId="49" fontId="36" fillId="0" borderId="24" xfId="0" applyNumberFormat="1" applyFont="1" applyBorder="1" applyAlignment="1">
      <alignment vertical="top"/>
    </xf>
    <xf numFmtId="49" fontId="25" fillId="0" borderId="24" xfId="0" applyNumberFormat="1" applyFont="1" applyBorder="1"/>
    <xf numFmtId="49" fontId="34" fillId="0" borderId="22" xfId="0" applyNumberFormat="1" applyFont="1" applyBorder="1"/>
    <xf numFmtId="0" fontId="49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42" fillId="2" borderId="5" xfId="1" applyNumberFormat="1" applyFont="1" applyFill="1" applyBorder="1" applyAlignment="1">
      <alignment horizontal="left" vertical="top"/>
    </xf>
    <xf numFmtId="1" fontId="36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49" fontId="4" fillId="0" borderId="0" xfId="11" applyNumberFormat="1" applyFont="1"/>
    <xf numFmtId="49" fontId="36" fillId="0" borderId="0" xfId="11" applyNumberFormat="1" applyFont="1" applyAlignment="1">
      <alignment horizontal="left"/>
    </xf>
    <xf numFmtId="49" fontId="36" fillId="0" borderId="0" xfId="11" applyNumberFormat="1" applyFont="1" applyAlignment="1">
      <alignment horizontal="right"/>
    </xf>
    <xf numFmtId="49" fontId="47" fillId="4" borderId="0" xfId="11" applyNumberFormat="1" applyFont="1" applyFill="1" applyAlignment="1">
      <alignment horizontal="right" vertical="center"/>
    </xf>
    <xf numFmtId="49" fontId="47" fillId="4" borderId="0" xfId="11" applyNumberFormat="1" applyFont="1" applyFill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4" fillId="4" borderId="0" xfId="11" applyNumberFormat="1" applyFont="1" applyFill="1" applyAlignment="1">
      <alignment horizontal="right"/>
    </xf>
    <xf numFmtId="49" fontId="4" fillId="0" borderId="0" xfId="0" applyNumberFormat="1" applyFont="1" applyAlignment="1">
      <alignment vertical="center"/>
    </xf>
    <xf numFmtId="49" fontId="59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right" vertical="center"/>
    </xf>
    <xf numFmtId="49" fontId="4" fillId="0" borderId="0" xfId="11" applyNumberFormat="1" applyFont="1" applyAlignment="1">
      <alignment horizontal="left" vertical="center"/>
    </xf>
    <xf numFmtId="49" fontId="59" fillId="0" borderId="0" xfId="11" applyNumberFormat="1" applyFont="1" applyAlignment="1">
      <alignment horizontal="right" vertical="center"/>
    </xf>
    <xf numFmtId="0" fontId="16" fillId="0" borderId="0" xfId="0" applyFont="1" applyAlignment="1">
      <alignment horizontal="right"/>
    </xf>
    <xf numFmtId="49" fontId="4" fillId="0" borderId="6" xfId="2" applyNumberFormat="1" applyFont="1" applyBorder="1" applyAlignment="1">
      <alignment wrapText="1"/>
    </xf>
    <xf numFmtId="0" fontId="4" fillId="0" borderId="7" xfId="2" applyFont="1" applyBorder="1"/>
    <xf numFmtId="0" fontId="4" fillId="0" borderId="5" xfId="0" applyFont="1" applyBorder="1"/>
    <xf numFmtId="49" fontId="4" fillId="0" borderId="0" xfId="2" applyNumberFormat="1" applyFont="1" applyAlignment="1">
      <alignment wrapText="1"/>
    </xf>
    <xf numFmtId="0" fontId="4" fillId="0" borderId="0" xfId="9" applyFont="1" applyAlignment="1">
      <alignment vertical="top"/>
    </xf>
    <xf numFmtId="0" fontId="4" fillId="0" borderId="0" xfId="2" applyFont="1" applyAlignment="1">
      <alignment vertical="top"/>
    </xf>
    <xf numFmtId="0" fontId="4" fillId="0" borderId="0" xfId="7" applyFont="1" applyAlignment="1">
      <alignment vertical="top"/>
    </xf>
    <xf numFmtId="49" fontId="4" fillId="0" borderId="24" xfId="0" applyNumberFormat="1" applyFont="1" applyBorder="1" applyAlignment="1">
      <alignment vertical="top"/>
    </xf>
    <xf numFmtId="0" fontId="4" fillId="0" borderId="0" xfId="6" applyFont="1" applyAlignment="1">
      <alignment vertical="top"/>
    </xf>
    <xf numFmtId="0" fontId="4" fillId="0" borderId="0" xfId="2" applyFont="1"/>
    <xf numFmtId="0" fontId="4" fillId="0" borderId="24" xfId="2" applyFont="1" applyBorder="1"/>
    <xf numFmtId="0" fontId="4" fillId="0" borderId="0" xfId="2" applyFont="1" applyAlignment="1">
      <alignment wrapText="1"/>
    </xf>
    <xf numFmtId="0" fontId="4" fillId="0" borderId="24" xfId="2" applyFont="1" applyBorder="1" applyAlignment="1">
      <alignment wrapText="1"/>
    </xf>
    <xf numFmtId="0" fontId="4" fillId="0" borderId="0" xfId="5" applyFont="1" applyAlignment="1">
      <alignment vertical="top"/>
    </xf>
    <xf numFmtId="49" fontId="4" fillId="0" borderId="24" xfId="2" applyNumberFormat="1" applyFont="1" applyBorder="1" applyAlignment="1">
      <alignment vertical="top"/>
    </xf>
    <xf numFmtId="1" fontId="4" fillId="0" borderId="0" xfId="2" applyNumberFormat="1" applyFont="1"/>
    <xf numFmtId="49" fontId="4" fillId="0" borderId="24" xfId="0" applyNumberFormat="1" applyFont="1" applyBorder="1"/>
    <xf numFmtId="0" fontId="4" fillId="0" borderId="0" xfId="4" applyFont="1" applyAlignment="1">
      <alignment vertical="top"/>
    </xf>
    <xf numFmtId="0" fontId="4" fillId="0" borderId="0" xfId="0" applyFont="1" applyAlignment="1">
      <alignment vertical="top"/>
    </xf>
    <xf numFmtId="49" fontId="4" fillId="0" borderId="2" xfId="2" applyNumberFormat="1" applyFont="1" applyBorder="1" applyAlignment="1">
      <alignment wrapText="1"/>
    </xf>
    <xf numFmtId="0" fontId="4" fillId="0" borderId="0" xfId="8" applyFont="1" applyAlignment="1">
      <alignment horizontal="right"/>
    </xf>
    <xf numFmtId="0" fontId="4" fillId="0" borderId="0" xfId="8" applyFont="1"/>
    <xf numFmtId="0" fontId="4" fillId="0" borderId="12" xfId="8" applyFont="1" applyBorder="1"/>
    <xf numFmtId="0" fontId="4" fillId="0" borderId="6" xfId="8" applyFont="1" applyBorder="1" applyAlignment="1">
      <alignment horizontal="right"/>
    </xf>
    <xf numFmtId="49" fontId="4" fillId="0" borderId="16" xfId="2" applyNumberFormat="1" applyFont="1" applyBorder="1" applyAlignment="1">
      <alignment wrapText="1"/>
    </xf>
    <xf numFmtId="0" fontId="4" fillId="0" borderId="19" xfId="8" applyFont="1" applyBorder="1"/>
    <xf numFmtId="0" fontId="4" fillId="0" borderId="14" xfId="2" applyFont="1" applyBorder="1"/>
    <xf numFmtId="0" fontId="4" fillId="0" borderId="5" xfId="8" applyFont="1" applyBorder="1"/>
    <xf numFmtId="0" fontId="4" fillId="2" borderId="0" xfId="2" applyFont="1" applyFill="1"/>
    <xf numFmtId="0" fontId="4" fillId="0" borderId="0" xfId="7" applyFont="1"/>
    <xf numFmtId="49" fontId="4" fillId="0" borderId="5" xfId="2" applyNumberFormat="1" applyFont="1" applyBorder="1" applyAlignment="1">
      <alignment wrapText="1"/>
    </xf>
    <xf numFmtId="0" fontId="4" fillId="0" borderId="0" xfId="2" applyFont="1" applyAlignment="1">
      <alignment horizontal="left"/>
    </xf>
    <xf numFmtId="0" fontId="4" fillId="0" borderId="0" xfId="2" applyFont="1" applyAlignment="1">
      <alignment horizontal="right"/>
    </xf>
    <xf numFmtId="0" fontId="4" fillId="0" borderId="6" xfId="2" applyFont="1" applyBorder="1"/>
    <xf numFmtId="0" fontId="4" fillId="0" borderId="4" xfId="6" applyFont="1" applyBorder="1" applyAlignment="1">
      <alignment vertical="top"/>
    </xf>
    <xf numFmtId="0" fontId="4" fillId="0" borderId="4" xfId="2" applyFont="1" applyBorder="1"/>
    <xf numFmtId="49" fontId="3" fillId="2" borderId="24" xfId="0" applyNumberFormat="1" applyFont="1" applyFill="1" applyBorder="1" applyAlignment="1">
      <alignment vertical="top"/>
    </xf>
    <xf numFmtId="0" fontId="3" fillId="0" borderId="0" xfId="0" applyFont="1" applyAlignment="1">
      <alignment wrapText="1"/>
    </xf>
    <xf numFmtId="0" fontId="16" fillId="0" borderId="0" xfId="0" quotePrefix="1" applyFont="1"/>
    <xf numFmtId="0" fontId="29" fillId="0" borderId="12" xfId="1" applyFont="1" applyBorder="1" applyAlignment="1">
      <alignment horizontal="left"/>
    </xf>
    <xf numFmtId="49" fontId="2" fillId="0" borderId="2" xfId="2" applyNumberFormat="1" applyFont="1" applyBorder="1" applyAlignment="1">
      <alignment wrapText="1"/>
    </xf>
    <xf numFmtId="0" fontId="45" fillId="0" borderId="0" xfId="12" applyFont="1" applyAlignment="1">
      <alignment horizontal="left"/>
    </xf>
    <xf numFmtId="0" fontId="25" fillId="0" borderId="0" xfId="12" applyFont="1"/>
    <xf numFmtId="0" fontId="45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5" fillId="0" borderId="0" xfId="12" applyFont="1"/>
    <xf numFmtId="0" fontId="1" fillId="0" borderId="0" xfId="12" applyFont="1" applyAlignment="1">
      <alignment horizontal="center"/>
    </xf>
    <xf numFmtId="0" fontId="60" fillId="0" borderId="0" xfId="12" applyFont="1" applyAlignment="1">
      <alignment horizontal="center"/>
    </xf>
    <xf numFmtId="0" fontId="61" fillId="0" borderId="0" xfId="12" applyFont="1"/>
    <xf numFmtId="0" fontId="62" fillId="0" borderId="0" xfId="12" applyFont="1"/>
    <xf numFmtId="0" fontId="6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61" fillId="0" borderId="0" xfId="12" applyFont="1" applyAlignment="1" applyProtection="1">
      <alignment vertical="top"/>
      <protection locked="0"/>
    </xf>
    <xf numFmtId="0" fontId="1" fillId="0" borderId="0" xfId="12" applyFont="1" applyAlignment="1">
      <alignment horizontal="right" wrapText="1"/>
    </xf>
    <xf numFmtId="0" fontId="25" fillId="0" borderId="25" xfId="12" applyFont="1" applyBorder="1"/>
    <xf numFmtId="0" fontId="25" fillId="0" borderId="26" xfId="12" applyFont="1" applyBorder="1"/>
    <xf numFmtId="0" fontId="1" fillId="0" borderId="26" xfId="12" applyFont="1" applyBorder="1"/>
    <xf numFmtId="0" fontId="1" fillId="0" borderId="26" xfId="12" applyFont="1" applyBorder="1" applyAlignment="1">
      <alignment horizontal="center"/>
    </xf>
    <xf numFmtId="0" fontId="60" fillId="0" borderId="25" xfId="12" applyFont="1" applyBorder="1" applyAlignment="1">
      <alignment horizontal="center"/>
    </xf>
    <xf numFmtId="0" fontId="1" fillId="0" borderId="25" xfId="12" applyFont="1" applyBorder="1" applyAlignment="1">
      <alignment horizontal="center"/>
    </xf>
    <xf numFmtId="0" fontId="60" fillId="0" borderId="26" xfId="12" applyFont="1" applyBorder="1" applyAlignment="1">
      <alignment horizontal="center"/>
    </xf>
    <xf numFmtId="0" fontId="45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27" xfId="12" applyFont="1" applyBorder="1" applyAlignment="1">
      <alignment horizontal="left"/>
    </xf>
    <xf numFmtId="0" fontId="25" fillId="0" borderId="28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9" xfId="12" applyFont="1" applyBorder="1" applyAlignment="1">
      <alignment horizontal="left"/>
    </xf>
    <xf numFmtId="0" fontId="25" fillId="0" borderId="30" xfId="12" applyFont="1" applyBorder="1"/>
    <xf numFmtId="0" fontId="1" fillId="0" borderId="28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30" xfId="12" applyFont="1" applyBorder="1" applyAlignment="1">
      <alignment horizontal="center"/>
    </xf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60" fillId="0" borderId="6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0" fillId="3" borderId="0" xfId="0" applyFill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numFmt numFmtId="170" formatCode="[h]:mm:ss;@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85" dataDxfId="83" headerRowBorderDxfId="84" tableBorderDxfId="82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81"/>
    <tableColumn id="4" xr3:uid="{21BB2F02-45DC-4E39-9123-FC046A8DFC11}" name="Part" dataDxfId="80"/>
    <tableColumn id="7" xr3:uid="{47852F97-FC81-4943-BFF5-71D7E867A237}" name="Qty Required" dataDxfId="79"/>
    <tableColumn id="5" xr3:uid="{5C2A44A8-DE4F-4B5A-930C-443716E7E898}" name="Pack Order Qty" dataDxfId="78"/>
    <tableColumn id="8" xr3:uid="{07FAA242-B582-4790-9720-A5DC124D6B2D}" name="Pack Price $USD" dataDxfId="77"/>
    <tableColumn id="10" xr3:uid="{B3F33643-2531-4917-B84D-BE4983A99A8C}" name="*Cost Price $USD" dataDxfId="76">
      <calculatedColumnFormula>D2*E2</calculatedColumnFormula>
    </tableColumn>
    <tableColumn id="2" xr3:uid="{2B3304EF-95F3-4EA3-9A24-E520BCF247B0}" name="Order Link" dataDxfId="75" dataCellStyle="Hyperlink"/>
    <tableColumn id="12" xr3:uid="{53A14610-D497-4DD1-8CFF-F20E191D3317}" name="Supplier" dataDxfId="74"/>
    <tableColumn id="11" xr3:uid="{A7F10A10-A127-43E0-B65C-9F538B8DD15E}" name="Pack Qty" dataDxfId="73" dataCellStyle="Hyperlink"/>
    <tableColumn id="13" xr3:uid="{DE4564AA-6825-49A5-B67A-A550AFECDCA7}" name="DIN / ISO" dataDxfId="7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1" dataDxfId="70" tableBorderDxfId="69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68"/>
    <tableColumn id="3" xr3:uid="{2385B826-F8C8-4362-89A6-95A38D685D6B}" name="Description" dataDxfId="67"/>
    <tableColumn id="4" xr3:uid="{0FBBE615-D864-4E30-B741-3BE35C30458E}" name="Length" dataDxfId="66" dataCellStyle="Normal 8"/>
    <tableColumn id="2" xr3:uid="{59176566-F320-409F-9AA9-17486015A49A}" name="QTY" dataDxfId="6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4" tableBorderDxfId="6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2" dataCellStyle="Normal 2" totalsRowCellStyle="Normal 2"/>
    <tableColumn id="7" xr3:uid="{13C33B91-92BB-4F0B-8B89-D7D5416E5479}" name="Description" totalsRowDxfId="61" dataCellStyle="Normal 2" totalsRowCellStyle="Normal 2"/>
    <tableColumn id="2" xr3:uid="{684CEE11-8A68-45FD-871F-FFCFA808FEBD}" name="BOM Quantity" dataDxfId="60" totalsRowDxfId="5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58" tableBorderDxfId="57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6" dataCellStyle="Normal 2" totalsRowCellStyle="Normal 2"/>
    <tableColumn id="7" xr3:uid="{150C9F57-34E9-40EB-9D7E-4F2F4DC1A13F}" name="Description" totalsRowDxfId="55" totalsRowCellStyle="Normal 2"/>
    <tableColumn id="2" xr3:uid="{A7D6434D-4498-49EB-9D73-D244744029D3}" name="BOM Quantity" dataDxfId="54" totalsRowDxfId="5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2" tableBorderDxfId="51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0" dataCellStyle="Normal 2" totalsRowCellStyle="Normal 2"/>
    <tableColumn id="7" xr3:uid="{A1AF3E5A-9878-43E6-8325-6EA13891B687}" name="Description" totalsRowDxfId="49" totalsRowCellStyle="Normal 2"/>
    <tableColumn id="2" xr3:uid="{1585E650-1008-4DC9-8D1C-8F6E78001D58}" name="BOM Quantity" dataDxfId="48" totalsRowDxfId="4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46" tableBorderDxfId="45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44" dataCellStyle="Normal 2" totalsRowCellStyle="Normal 2"/>
    <tableColumn id="7" xr3:uid="{D41EBA7C-1A32-4553-871C-D0C5C96C9E90}" name="Description" totalsRowDxfId="43" dataCellStyle="Normal 2" totalsRowCellStyle="Normal 2"/>
    <tableColumn id="2" xr3:uid="{1A8F0BE6-05F1-4339-9CFB-0F9B7B4E13D4}" name="BOM Quantity" dataDxfId="42" totalsRowDxfId="4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0" tableBorderDxfId="39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38" dataCellStyle="Normal 2" totalsRowCellStyle="Normal 2"/>
    <tableColumn id="7" xr3:uid="{4C265877-F081-4975-80F2-6B962EBD7F5B}" name="Description" totalsRowDxfId="37" dataCellStyle="Normal 2" totalsRowCellStyle="Normal 2"/>
    <tableColumn id="2" xr3:uid="{C58356B1-645B-4209-9365-0DE732AD7AAF}" name="BOM Quantity" dataDxfId="36" totalsRowDxfId="3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4" tableBorderDxfId="3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2" dataCellStyle="Normal 2" totalsRowCellStyle="Normal 2"/>
    <tableColumn id="7" xr3:uid="{D11DB86B-2519-40CE-A3B1-2DFF1E8D8BAF}" name="Description" totalsRowDxfId="31" dataCellStyle="Normal 2" totalsRowCellStyle="Normal 2"/>
    <tableColumn id="2" xr3:uid="{030B0BC7-E7B6-43C0-9200-DE84B404D5FA}" name="BOM Quantity" dataDxfId="30" totalsRowDxfId="2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28" tableBorderDxfId="27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6" dataCellStyle="Normal 2" totalsRowCellStyle="Normal 2"/>
    <tableColumn id="7" xr3:uid="{5CF4E952-095C-46AE-A57F-99A26E57C478}" name="Description" totalsRowDxfId="25" dataCellStyle="Normal 2" totalsRowCellStyle="Normal 2"/>
    <tableColumn id="2" xr3:uid="{8AE4D1C0-7F70-4D1E-B6EC-42038CE642DF}" name="BOM Quantity" dataDxfId="24" totalsRowDxfId="2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22" tableBorderDxfId="21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20" dataCellStyle="Normal 2" totalsRowCellStyle="Normal 2"/>
    <tableColumn id="7" xr3:uid="{49376C16-406D-4D5F-8B92-3BFE5FB962B9}" name="Description" totalsRowDxfId="19" dataCellStyle="Normal 2" totalsRowCellStyle="Normal 2"/>
    <tableColumn id="2" xr3:uid="{6252F354-5A67-4DD7-A1AA-3DADB5EF6BF7}" name="BOM Quantity" dataDxfId="18" totalsRowDxfId="1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2" totalsRowCount="1" headerRowDxfId="16">
  <autoFilter ref="A1:G91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15" totalsRowDxfId="5"/>
    <tableColumn id="2" xr3:uid="{FCE9DC81-99C5-4DE1-AE60-3B3DE0EE8421}" name="Part" dataDxfId="14" totalsRowDxfId="4"/>
    <tableColumn id="6" xr3:uid="{672D19F0-1E84-4954-AA80-1A756FF64B85}" name="Weight" dataDxfId="13"/>
    <tableColumn id="11" xr3:uid="{B345B84F-64A2-4E92-BB95-3C9B14E2A5EA}" name="QTY" totalsRowFunction="sum" dataDxfId="12" totalsRowDxfId="3" dataCellStyle="Normal 7"/>
    <tableColumn id="4" xr3:uid="{8A449E36-4741-4576-8011-21C1B3D5DB29}" name="weight Tot" totalsRowFunction="custom" dataDxfId="11" totalsRowDxfId="2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10" totalsRowDxfId="1">
      <calculatedColumnFormula>$J$2/1000*Table6[[#This Row],[Weight]]*Table6[[#This Row],[QTY]]</calculatedColumnFormula>
    </tableColumn>
    <tableColumn id="10" xr3:uid="{84F519DD-FB90-4299-8700-857D723260B1}" name="Time/item" totalsRowFunction="sum" dataDxfId="9" totalsRowDxfId="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7"/>
    <tableColumn id="6" xr3:uid="{A5B4F8F7-1DD2-464C-B2BB-DB18FF666977}" name="Gcode" dataDxfId="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01" dataDxfId="99" headerRowBorderDxfId="100" tableBorderDxfId="98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97" dataCellStyle="Normal 12"/>
    <tableColumn id="2" xr3:uid="{AF3208FB-C432-479D-9CC1-34948B0D1C5F}" name="Build Sheet" dataDxfId="96" dataCellStyle="Normal 12"/>
    <tableColumn id="4" xr3:uid="{FF9DC98D-9012-4B85-A61B-230EFCA62E94}" name="Cooling Fan Speed" dataDxfId="95" dataCellStyle="Normal 12"/>
    <tableColumn id="5" xr3:uid="{6FC298B8-D32B-492D-BD10-401FC09A08D1}" name="Tg" dataDxfId="94" dataCellStyle="Normal 12"/>
    <tableColumn id="6" xr3:uid="{8CBD91F1-4D45-4A1E-A8F8-EE3D4C691E6E}" name="Nozzle Temp" dataDxfId="93" dataCellStyle="Normal 12"/>
    <tableColumn id="7" xr3:uid="{8281603E-57B6-4F65-AF6B-69F4FB88F5E0}" name="Bed Temp" dataDxfId="92" dataCellStyle="Normal 12"/>
    <tableColumn id="8" xr3:uid="{DF87AE05-A3BC-421E-9BB7-23A2ABF4C361}" name="Chamber Temp" dataDxfId="91" dataCellStyle="Normal 12"/>
    <tableColumn id="9" xr3:uid="{845BBCDF-F13A-47FB-8E5D-2AECC511780B}" name="Drying Temp" dataDxfId="90" dataCellStyle="Normal 12"/>
    <tableColumn id="10" xr3:uid="{D362A04F-6A04-476D-AC24-1BCA0C4F59DB}" name="Drying Time" dataDxfId="89" dataCellStyle="Normal 12"/>
    <tableColumn id="11" xr3:uid="{6994BD7F-8192-40FA-9548-36A5EE628106}" name="HDT" dataDxfId="88" dataCellStyle="Normal 12"/>
    <tableColumn id="12" xr3:uid="{0856005B-5B46-415C-BB48-BE1984071133}" name="HDT-A" dataDxfId="87" dataCellStyle="Normal 12"/>
    <tableColumn id="13" xr3:uid="{AC83266E-6805-4F79-BED7-5D3490D455AA}" name="Bending Modulus MPa" dataDxfId="86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31" zoomScaleNormal="100" workbookViewId="0">
      <selection activeCell="B48" sqref="B48"/>
    </sheetView>
  </sheetViews>
  <sheetFormatPr defaultColWidth="8.7109375" defaultRowHeight="15" x14ac:dyDescent="0.25"/>
  <cols>
    <col min="1" max="1" width="11.5703125" style="111" customWidth="1"/>
    <col min="2" max="2" width="36.7109375" style="111" bestFit="1" customWidth="1"/>
    <col min="3" max="3" width="9.42578125" style="111" customWidth="1"/>
    <col min="4" max="4" width="8.140625" style="111" customWidth="1"/>
    <col min="5" max="5" width="9.7109375" style="114" customWidth="1"/>
    <col min="6" max="6" width="10" style="111" customWidth="1"/>
    <col min="7" max="7" width="36.28515625" customWidth="1"/>
    <col min="8" max="8" width="16.140625" style="111" bestFit="1" customWidth="1"/>
    <col min="9" max="9" width="7" style="111" customWidth="1"/>
    <col min="10" max="10" width="8.5703125" style="115" customWidth="1"/>
    <col min="11" max="16384" width="8.7109375" style="111"/>
  </cols>
  <sheetData>
    <row r="1" spans="1:10" s="2" customFormat="1" ht="44.25" customHeight="1" thickBot="1" x14ac:dyDescent="0.3">
      <c r="A1" s="161" t="s">
        <v>0</v>
      </c>
      <c r="B1" s="211" t="s">
        <v>1</v>
      </c>
      <c r="C1" s="211" t="s">
        <v>2</v>
      </c>
      <c r="D1" s="211" t="s">
        <v>3</v>
      </c>
      <c r="E1" s="211" t="s">
        <v>4</v>
      </c>
      <c r="F1" s="211" t="s">
        <v>5</v>
      </c>
      <c r="G1" s="212" t="s">
        <v>6</v>
      </c>
      <c r="H1" s="213" t="s">
        <v>7</v>
      </c>
      <c r="I1" s="214" t="s">
        <v>8</v>
      </c>
      <c r="J1" s="214" t="s">
        <v>9</v>
      </c>
    </row>
    <row r="2" spans="1:10" x14ac:dyDescent="0.25">
      <c r="A2" s="8" t="s">
        <v>10</v>
      </c>
      <c r="B2" s="8" t="s">
        <v>11</v>
      </c>
      <c r="C2" s="125">
        <v>31</v>
      </c>
      <c r="D2" s="126">
        <v>4</v>
      </c>
      <c r="E2" s="127">
        <v>4.95</v>
      </c>
      <c r="F2" s="127">
        <f t="shared" ref="F2:F33" si="0">D2*E2</f>
        <v>19.8</v>
      </c>
      <c r="G2" s="120" t="s">
        <v>12</v>
      </c>
      <c r="H2" s="178" t="s">
        <v>13</v>
      </c>
      <c r="I2" s="173">
        <v>10</v>
      </c>
      <c r="J2" s="166"/>
    </row>
    <row r="3" spans="1:10" x14ac:dyDescent="0.25">
      <c r="A3" s="8" t="s">
        <v>10</v>
      </c>
      <c r="B3" s="128" t="s">
        <v>14</v>
      </c>
      <c r="C3" s="125">
        <v>24</v>
      </c>
      <c r="D3" s="126">
        <v>3</v>
      </c>
      <c r="E3" s="127">
        <v>7.84</v>
      </c>
      <c r="F3" s="127">
        <f t="shared" si="0"/>
        <v>23.52</v>
      </c>
      <c r="G3" s="120" t="s">
        <v>15</v>
      </c>
      <c r="H3" s="179" t="s">
        <v>13</v>
      </c>
      <c r="I3" s="174">
        <v>10</v>
      </c>
      <c r="J3" s="166"/>
    </row>
    <row r="4" spans="1:10" x14ac:dyDescent="0.25">
      <c r="A4" s="8" t="s">
        <v>10</v>
      </c>
      <c r="B4" s="8" t="s">
        <v>16</v>
      </c>
      <c r="C4" s="111">
        <v>2</v>
      </c>
      <c r="D4" s="126">
        <v>1</v>
      </c>
      <c r="E4" s="127">
        <v>4.7300000000000004</v>
      </c>
      <c r="F4" s="127">
        <f t="shared" si="0"/>
        <v>4.7300000000000004</v>
      </c>
      <c r="G4" s="120" t="s">
        <v>17</v>
      </c>
      <c r="H4" s="179" t="s">
        <v>13</v>
      </c>
      <c r="I4" s="174">
        <v>10</v>
      </c>
      <c r="J4" s="167"/>
    </row>
    <row r="5" spans="1:10" x14ac:dyDescent="0.25">
      <c r="A5" s="8" t="s">
        <v>10</v>
      </c>
      <c r="B5" s="215" t="s">
        <v>18</v>
      </c>
      <c r="C5" s="129">
        <v>3</v>
      </c>
      <c r="D5" s="126">
        <v>3</v>
      </c>
      <c r="E5" s="127">
        <v>42</v>
      </c>
      <c r="F5" s="127">
        <f t="shared" si="0"/>
        <v>126</v>
      </c>
      <c r="G5" s="120" t="s">
        <v>19</v>
      </c>
      <c r="H5" s="180" t="s">
        <v>20</v>
      </c>
      <c r="I5" s="174">
        <v>1</v>
      </c>
      <c r="J5" s="166"/>
    </row>
    <row r="6" spans="1:10" x14ac:dyDescent="0.25">
      <c r="A6" s="8" t="s">
        <v>10</v>
      </c>
      <c r="B6" s="216" t="s">
        <v>21</v>
      </c>
      <c r="C6" s="130">
        <v>2</v>
      </c>
      <c r="D6" s="126">
        <v>2</v>
      </c>
      <c r="E6" s="127">
        <v>38</v>
      </c>
      <c r="F6" s="127">
        <f t="shared" si="0"/>
        <v>76</v>
      </c>
      <c r="G6" s="120" t="s">
        <v>22</v>
      </c>
      <c r="H6" s="180" t="s">
        <v>20</v>
      </c>
      <c r="I6" s="174">
        <v>1</v>
      </c>
      <c r="J6" s="166"/>
    </row>
    <row r="7" spans="1:10" x14ac:dyDescent="0.25">
      <c r="A7" s="8" t="s">
        <v>10</v>
      </c>
      <c r="B7" s="216" t="s">
        <v>23</v>
      </c>
      <c r="C7" s="130">
        <v>1</v>
      </c>
      <c r="D7" s="126">
        <v>1</v>
      </c>
      <c r="E7" s="127">
        <v>36</v>
      </c>
      <c r="F7" s="127">
        <f t="shared" si="0"/>
        <v>36</v>
      </c>
      <c r="G7" s="120" t="s">
        <v>24</v>
      </c>
      <c r="H7" s="180" t="s">
        <v>20</v>
      </c>
      <c r="I7" s="174">
        <v>1</v>
      </c>
      <c r="J7" s="166"/>
    </row>
    <row r="8" spans="1:10" x14ac:dyDescent="0.25">
      <c r="A8" s="8" t="s">
        <v>10</v>
      </c>
      <c r="B8" s="217" t="s">
        <v>25</v>
      </c>
      <c r="C8" s="131">
        <v>1</v>
      </c>
      <c r="D8" s="126">
        <v>1</v>
      </c>
      <c r="E8" s="127">
        <v>4.0999999999999996</v>
      </c>
      <c r="F8" s="127">
        <f t="shared" si="0"/>
        <v>4.0999999999999996</v>
      </c>
      <c r="G8" s="120" t="s">
        <v>26</v>
      </c>
      <c r="H8" s="179" t="s">
        <v>27</v>
      </c>
      <c r="I8" s="174">
        <v>10</v>
      </c>
      <c r="J8" s="166"/>
    </row>
    <row r="9" spans="1:10" x14ac:dyDescent="0.25">
      <c r="A9" s="8" t="s">
        <v>10</v>
      </c>
      <c r="B9" s="215" t="s">
        <v>28</v>
      </c>
      <c r="C9" s="131">
        <v>3</v>
      </c>
      <c r="D9" s="126">
        <v>1</v>
      </c>
      <c r="E9" s="127">
        <v>5.4</v>
      </c>
      <c r="F9" s="127">
        <f t="shared" si="0"/>
        <v>5.4</v>
      </c>
      <c r="G9" s="120" t="s">
        <v>29</v>
      </c>
      <c r="H9" s="218" t="s">
        <v>30</v>
      </c>
      <c r="I9" s="174">
        <v>20</v>
      </c>
      <c r="J9" s="166"/>
    </row>
    <row r="10" spans="1:10" x14ac:dyDescent="0.25">
      <c r="A10" s="8" t="s">
        <v>10</v>
      </c>
      <c r="B10" s="8" t="s">
        <v>31</v>
      </c>
      <c r="C10" s="111">
        <v>2</v>
      </c>
      <c r="D10" s="126">
        <v>1</v>
      </c>
      <c r="E10" s="127">
        <v>18.27</v>
      </c>
      <c r="F10" s="127">
        <f t="shared" si="0"/>
        <v>18.27</v>
      </c>
      <c r="G10" s="120" t="s">
        <v>32</v>
      </c>
      <c r="H10" s="218" t="s">
        <v>33</v>
      </c>
      <c r="I10" s="174">
        <v>2</v>
      </c>
      <c r="J10" s="167"/>
    </row>
    <row r="11" spans="1:10" x14ac:dyDescent="0.25">
      <c r="A11" s="162" t="s">
        <v>34</v>
      </c>
      <c r="B11" s="136" t="s">
        <v>35</v>
      </c>
      <c r="C11" s="137">
        <v>1</v>
      </c>
      <c r="D11" s="138">
        <v>1</v>
      </c>
      <c r="E11" s="139">
        <v>10</v>
      </c>
      <c r="F11" s="140">
        <f t="shared" si="0"/>
        <v>10</v>
      </c>
      <c r="G11" s="120" t="s">
        <v>36</v>
      </c>
      <c r="H11" s="185" t="s">
        <v>37</v>
      </c>
      <c r="I11" s="176">
        <v>1</v>
      </c>
      <c r="J11" s="168"/>
    </row>
    <row r="12" spans="1:10" x14ac:dyDescent="0.25">
      <c r="A12" s="8" t="s">
        <v>34</v>
      </c>
      <c r="B12" s="8" t="s">
        <v>38</v>
      </c>
      <c r="C12" s="125">
        <v>1</v>
      </c>
      <c r="D12" s="126">
        <v>1</v>
      </c>
      <c r="E12" s="127">
        <v>1.47</v>
      </c>
      <c r="F12" s="127">
        <f t="shared" si="0"/>
        <v>1.47</v>
      </c>
      <c r="G12" s="120" t="s">
        <v>39</v>
      </c>
      <c r="H12" s="179" t="s">
        <v>37</v>
      </c>
      <c r="I12" s="174">
        <v>1</v>
      </c>
      <c r="J12" s="166"/>
    </row>
    <row r="13" spans="1:10" x14ac:dyDescent="0.25">
      <c r="A13" s="111" t="s">
        <v>34</v>
      </c>
      <c r="B13" s="219" t="s">
        <v>40</v>
      </c>
      <c r="C13" s="220">
        <v>1</v>
      </c>
      <c r="D13" s="126">
        <v>1</v>
      </c>
      <c r="E13" s="127">
        <v>6.35</v>
      </c>
      <c r="F13" s="127">
        <f t="shared" si="0"/>
        <v>6.35</v>
      </c>
      <c r="G13" s="120" t="s">
        <v>41</v>
      </c>
      <c r="H13" s="221" t="s">
        <v>42</v>
      </c>
      <c r="I13" s="174">
        <v>1</v>
      </c>
      <c r="J13" s="166"/>
    </row>
    <row r="14" spans="1:10" x14ac:dyDescent="0.25">
      <c r="A14" s="111" t="s">
        <v>34</v>
      </c>
      <c r="B14" s="220" t="s">
        <v>43</v>
      </c>
      <c r="C14" s="9">
        <v>2</v>
      </c>
      <c r="D14" s="126">
        <v>1</v>
      </c>
      <c r="E14" s="220">
        <v>2.3199999999999998</v>
      </c>
      <c r="F14" s="127">
        <f t="shared" si="0"/>
        <v>2.3199999999999998</v>
      </c>
      <c r="G14" s="120" t="s">
        <v>44</v>
      </c>
      <c r="H14" s="221" t="s">
        <v>45</v>
      </c>
      <c r="I14" s="174">
        <v>1</v>
      </c>
      <c r="J14" s="166"/>
    </row>
    <row r="15" spans="1:10" x14ac:dyDescent="0.25">
      <c r="A15" s="111" t="s">
        <v>34</v>
      </c>
      <c r="B15" s="220" t="s">
        <v>46</v>
      </c>
      <c r="C15" s="9">
        <v>1</v>
      </c>
      <c r="D15" s="126">
        <v>1</v>
      </c>
      <c r="E15" s="222">
        <v>4.82</v>
      </c>
      <c r="F15" s="127">
        <f t="shared" si="0"/>
        <v>4.82</v>
      </c>
      <c r="G15" s="120" t="s">
        <v>47</v>
      </c>
      <c r="H15" s="223" t="s">
        <v>45</v>
      </c>
      <c r="I15" s="174">
        <v>1</v>
      </c>
      <c r="J15" s="166"/>
    </row>
    <row r="16" spans="1:10" x14ac:dyDescent="0.25">
      <c r="A16" s="111" t="s">
        <v>34</v>
      </c>
      <c r="B16" s="132" t="s">
        <v>48</v>
      </c>
      <c r="C16" s="133">
        <v>1</v>
      </c>
      <c r="D16" s="126">
        <v>1</v>
      </c>
      <c r="E16" s="134">
        <v>3.9</v>
      </c>
      <c r="F16" s="127">
        <f t="shared" si="0"/>
        <v>3.9</v>
      </c>
      <c r="G16" s="120" t="s">
        <v>49</v>
      </c>
      <c r="H16" s="223" t="s">
        <v>45</v>
      </c>
      <c r="I16" s="175">
        <v>1</v>
      </c>
      <c r="J16" s="166"/>
    </row>
    <row r="17" spans="1:10" x14ac:dyDescent="0.25">
      <c r="A17" s="111" t="s">
        <v>34</v>
      </c>
      <c r="B17" s="2" t="s">
        <v>50</v>
      </c>
      <c r="C17" s="9">
        <v>1</v>
      </c>
      <c r="D17" s="126">
        <v>1</v>
      </c>
      <c r="E17" s="222">
        <v>10</v>
      </c>
      <c r="F17" s="127">
        <f t="shared" si="0"/>
        <v>10</v>
      </c>
      <c r="G17" s="120" t="s">
        <v>51</v>
      </c>
      <c r="H17" s="223" t="s">
        <v>45</v>
      </c>
      <c r="I17" s="174">
        <v>1</v>
      </c>
      <c r="J17" s="166"/>
    </row>
    <row r="18" spans="1:10" x14ac:dyDescent="0.25">
      <c r="A18" s="111" t="s">
        <v>34</v>
      </c>
      <c r="B18" s="224" t="s">
        <v>52</v>
      </c>
      <c r="C18" s="224">
        <v>1</v>
      </c>
      <c r="D18" s="126">
        <v>1</v>
      </c>
      <c r="E18" s="127">
        <v>3.95</v>
      </c>
      <c r="F18" s="127">
        <f t="shared" si="0"/>
        <v>3.95</v>
      </c>
      <c r="G18" s="120" t="s">
        <v>53</v>
      </c>
      <c r="H18" s="218" t="s">
        <v>45</v>
      </c>
      <c r="I18" s="174">
        <v>1</v>
      </c>
      <c r="J18" s="166"/>
    </row>
    <row r="19" spans="1:10" x14ac:dyDescent="0.25">
      <c r="A19" s="111" t="s">
        <v>34</v>
      </c>
      <c r="B19" s="135" t="s">
        <v>54</v>
      </c>
      <c r="C19" s="224">
        <v>1</v>
      </c>
      <c r="D19" s="126">
        <v>1</v>
      </c>
      <c r="E19" s="127">
        <v>11.5</v>
      </c>
      <c r="F19" s="127">
        <f t="shared" si="0"/>
        <v>11.5</v>
      </c>
      <c r="G19" s="120" t="s">
        <v>55</v>
      </c>
      <c r="H19" s="218" t="s">
        <v>45</v>
      </c>
      <c r="I19" s="174">
        <v>1</v>
      </c>
      <c r="J19" s="166"/>
    </row>
    <row r="20" spans="1:10" x14ac:dyDescent="0.25">
      <c r="A20" s="111" t="s">
        <v>34</v>
      </c>
      <c r="B20" s="135" t="s">
        <v>56</v>
      </c>
      <c r="C20" s="43">
        <v>1</v>
      </c>
      <c r="D20" s="126">
        <v>1</v>
      </c>
      <c r="E20" s="127">
        <v>1.4</v>
      </c>
      <c r="F20" s="127">
        <f t="shared" si="0"/>
        <v>1.4</v>
      </c>
      <c r="G20" s="120" t="s">
        <v>57</v>
      </c>
      <c r="H20" s="218" t="s">
        <v>45</v>
      </c>
      <c r="I20" s="175"/>
      <c r="J20" s="166"/>
    </row>
    <row r="21" spans="1:10" x14ac:dyDescent="0.25">
      <c r="A21" s="111" t="s">
        <v>34</v>
      </c>
      <c r="B21" s="216" t="s">
        <v>58</v>
      </c>
      <c r="C21" s="43">
        <v>6</v>
      </c>
      <c r="D21" s="126">
        <v>1</v>
      </c>
      <c r="E21" s="142">
        <v>3.78</v>
      </c>
      <c r="F21" s="127">
        <f t="shared" si="0"/>
        <v>3.78</v>
      </c>
      <c r="G21" s="120" t="s">
        <v>59</v>
      </c>
      <c r="H21" s="225" t="s">
        <v>60</v>
      </c>
      <c r="I21" s="175"/>
      <c r="J21" s="166"/>
    </row>
    <row r="22" spans="1:10" x14ac:dyDescent="0.25">
      <c r="A22" s="111" t="s">
        <v>34</v>
      </c>
      <c r="B22" s="224" t="s">
        <v>61</v>
      </c>
      <c r="C22" s="43">
        <v>1</v>
      </c>
      <c r="D22" s="126">
        <v>1</v>
      </c>
      <c r="E22" s="127">
        <v>16.82</v>
      </c>
      <c r="F22" s="127">
        <f t="shared" si="0"/>
        <v>16.82</v>
      </c>
      <c r="G22" s="120" t="s">
        <v>62</v>
      </c>
      <c r="H22" s="218" t="s">
        <v>63</v>
      </c>
      <c r="I22" s="174">
        <v>1</v>
      </c>
      <c r="J22" s="166"/>
    </row>
    <row r="23" spans="1:10" x14ac:dyDescent="0.25">
      <c r="A23" s="111" t="s">
        <v>34</v>
      </c>
      <c r="B23" s="215" t="s">
        <v>64</v>
      </c>
      <c r="C23" s="125">
        <v>1</v>
      </c>
      <c r="D23" s="126">
        <v>1</v>
      </c>
      <c r="E23" s="127">
        <v>78.39</v>
      </c>
      <c r="F23" s="127">
        <f t="shared" si="0"/>
        <v>78.39</v>
      </c>
      <c r="G23" s="120" t="s">
        <v>65</v>
      </c>
      <c r="H23" s="218" t="s">
        <v>66</v>
      </c>
      <c r="I23" s="174">
        <v>1</v>
      </c>
      <c r="J23" s="166"/>
    </row>
    <row r="24" spans="1:10" x14ac:dyDescent="0.25">
      <c r="A24" s="111" t="s">
        <v>34</v>
      </c>
      <c r="B24" s="111" t="s">
        <v>67</v>
      </c>
      <c r="C24" s="111">
        <v>1</v>
      </c>
      <c r="D24" s="126">
        <v>1</v>
      </c>
      <c r="E24" s="127">
        <v>3.35</v>
      </c>
      <c r="F24" s="127">
        <f t="shared" si="0"/>
        <v>3.35</v>
      </c>
      <c r="G24" s="120" t="s">
        <v>68</v>
      </c>
      <c r="H24" s="182" t="s">
        <v>69</v>
      </c>
      <c r="I24" s="174">
        <v>2</v>
      </c>
      <c r="J24" s="166"/>
    </row>
    <row r="25" spans="1:10" x14ac:dyDescent="0.25">
      <c r="A25" s="111" t="s">
        <v>34</v>
      </c>
      <c r="B25" s="111" t="s">
        <v>70</v>
      </c>
      <c r="C25" s="111">
        <v>1</v>
      </c>
      <c r="D25" s="126">
        <v>1</v>
      </c>
      <c r="E25" s="127">
        <v>3.25</v>
      </c>
      <c r="F25" s="127">
        <f t="shared" si="0"/>
        <v>3.25</v>
      </c>
      <c r="G25" s="120" t="s">
        <v>71</v>
      </c>
      <c r="H25" s="182" t="s">
        <v>69</v>
      </c>
      <c r="I25" s="174">
        <v>2</v>
      </c>
      <c r="J25" s="166"/>
    </row>
    <row r="26" spans="1:10" x14ac:dyDescent="0.25">
      <c r="A26" s="111" t="s">
        <v>34</v>
      </c>
      <c r="B26" s="8" t="s">
        <v>72</v>
      </c>
      <c r="C26" s="220">
        <v>1</v>
      </c>
      <c r="D26" s="126">
        <v>1</v>
      </c>
      <c r="E26" s="222">
        <v>16</v>
      </c>
      <c r="F26" s="127">
        <f t="shared" si="0"/>
        <v>16</v>
      </c>
      <c r="G26" s="120" t="s">
        <v>73</v>
      </c>
      <c r="H26" s="183" t="s">
        <v>74</v>
      </c>
      <c r="I26" s="174">
        <v>1</v>
      </c>
      <c r="J26" s="166"/>
    </row>
    <row r="27" spans="1:10" ht="15.75" customHeight="1" x14ac:dyDescent="0.25">
      <c r="A27" s="111" t="s">
        <v>34</v>
      </c>
      <c r="B27" s="141" t="s">
        <v>75</v>
      </c>
      <c r="C27" s="9">
        <v>1</v>
      </c>
      <c r="D27" s="126">
        <v>1</v>
      </c>
      <c r="E27" s="127">
        <v>0.54</v>
      </c>
      <c r="F27" s="127">
        <f t="shared" si="0"/>
        <v>0.54</v>
      </c>
      <c r="G27" s="120" t="s">
        <v>76</v>
      </c>
      <c r="H27" s="181" t="s">
        <v>77</v>
      </c>
      <c r="I27" s="174">
        <v>1</v>
      </c>
      <c r="J27" s="166"/>
    </row>
    <row r="28" spans="1:10" ht="15.75" customHeight="1" x14ac:dyDescent="0.25">
      <c r="A28" s="111" t="s">
        <v>34</v>
      </c>
      <c r="B28" s="141" t="s">
        <v>78</v>
      </c>
      <c r="C28" s="9">
        <v>1</v>
      </c>
      <c r="D28" s="126">
        <v>1</v>
      </c>
      <c r="E28" s="127">
        <v>0.54</v>
      </c>
      <c r="F28" s="127">
        <f t="shared" si="0"/>
        <v>0.54</v>
      </c>
      <c r="G28" s="120" t="s">
        <v>79</v>
      </c>
      <c r="H28" s="181" t="s">
        <v>77</v>
      </c>
      <c r="I28" s="174">
        <v>1</v>
      </c>
      <c r="J28" s="166"/>
    </row>
    <row r="29" spans="1:10" ht="16.5" customHeight="1" x14ac:dyDescent="0.25">
      <c r="A29" s="111" t="s">
        <v>34</v>
      </c>
      <c r="B29" s="141" t="s">
        <v>80</v>
      </c>
      <c r="C29" s="9">
        <v>1</v>
      </c>
      <c r="D29" s="126">
        <v>1</v>
      </c>
      <c r="E29" s="127">
        <v>0.54</v>
      </c>
      <c r="F29" s="127">
        <f t="shared" si="0"/>
        <v>0.54</v>
      </c>
      <c r="G29" s="120" t="s">
        <v>81</v>
      </c>
      <c r="H29" s="181" t="s">
        <v>77</v>
      </c>
      <c r="I29" s="174">
        <v>1</v>
      </c>
      <c r="J29" s="166"/>
    </row>
    <row r="30" spans="1:10" ht="16.5" customHeight="1" x14ac:dyDescent="0.25">
      <c r="A30" s="111" t="s">
        <v>34</v>
      </c>
      <c r="B30" s="21" t="s">
        <v>82</v>
      </c>
      <c r="C30" s="226">
        <v>2</v>
      </c>
      <c r="D30" s="126">
        <v>1</v>
      </c>
      <c r="E30" s="127">
        <v>1.45</v>
      </c>
      <c r="F30" s="127">
        <f t="shared" si="0"/>
        <v>1.45</v>
      </c>
      <c r="G30" s="120" t="s">
        <v>83</v>
      </c>
      <c r="H30" s="181" t="s">
        <v>77</v>
      </c>
      <c r="I30" s="174">
        <v>2</v>
      </c>
      <c r="J30" s="166"/>
    </row>
    <row r="31" spans="1:10" x14ac:dyDescent="0.25">
      <c r="A31" s="111" t="s">
        <v>34</v>
      </c>
      <c r="B31" s="219" t="s">
        <v>84</v>
      </c>
      <c r="C31" s="226">
        <v>5</v>
      </c>
      <c r="D31" s="126">
        <v>1</v>
      </c>
      <c r="E31" s="127">
        <v>0.86</v>
      </c>
      <c r="F31" s="127">
        <f t="shared" si="0"/>
        <v>0.86</v>
      </c>
      <c r="G31" s="120" t="s">
        <v>85</v>
      </c>
      <c r="H31" s="181" t="s">
        <v>77</v>
      </c>
      <c r="I31" s="174">
        <v>5</v>
      </c>
      <c r="J31" s="166"/>
    </row>
    <row r="32" spans="1:10" x14ac:dyDescent="0.25">
      <c r="A32" s="111" t="s">
        <v>34</v>
      </c>
      <c r="B32" s="1" t="s">
        <v>86</v>
      </c>
      <c r="C32" s="226">
        <v>2</v>
      </c>
      <c r="D32" s="126">
        <v>1</v>
      </c>
      <c r="E32" s="127">
        <v>1.45</v>
      </c>
      <c r="F32" s="127">
        <f t="shared" si="0"/>
        <v>1.45</v>
      </c>
      <c r="G32" s="120" t="s">
        <v>87</v>
      </c>
      <c r="H32" s="181" t="s">
        <v>77</v>
      </c>
      <c r="I32" s="174">
        <v>2</v>
      </c>
      <c r="J32" s="166"/>
    </row>
    <row r="33" spans="1:10" x14ac:dyDescent="0.25">
      <c r="A33" s="111" t="s">
        <v>34</v>
      </c>
      <c r="B33" s="1" t="s">
        <v>88</v>
      </c>
      <c r="C33" s="9">
        <v>5</v>
      </c>
      <c r="D33" s="126">
        <v>1</v>
      </c>
      <c r="E33" s="127">
        <v>0.86</v>
      </c>
      <c r="F33" s="127">
        <f t="shared" si="0"/>
        <v>0.86</v>
      </c>
      <c r="G33" s="120" t="s">
        <v>89</v>
      </c>
      <c r="H33" s="181" t="s">
        <v>77</v>
      </c>
      <c r="I33" s="174">
        <v>5</v>
      </c>
      <c r="J33" s="166"/>
    </row>
    <row r="34" spans="1:10" x14ac:dyDescent="0.25">
      <c r="A34" s="111" t="s">
        <v>34</v>
      </c>
      <c r="B34" s="21" t="s">
        <v>90</v>
      </c>
      <c r="C34" s="226">
        <v>2</v>
      </c>
      <c r="D34" s="126">
        <v>1</v>
      </c>
      <c r="E34" s="127">
        <v>1.45</v>
      </c>
      <c r="F34" s="127">
        <f t="shared" ref="F34:F65" si="1">D34*E34</f>
        <v>1.45</v>
      </c>
      <c r="G34" s="120" t="s">
        <v>91</v>
      </c>
      <c r="H34" s="181" t="s">
        <v>77</v>
      </c>
      <c r="I34" s="174">
        <v>2</v>
      </c>
      <c r="J34" s="166"/>
    </row>
    <row r="35" spans="1:10" x14ac:dyDescent="0.25">
      <c r="A35" s="111" t="s">
        <v>34</v>
      </c>
      <c r="B35" s="21" t="s">
        <v>92</v>
      </c>
      <c r="C35" s="9">
        <v>5</v>
      </c>
      <c r="D35" s="126">
        <v>1</v>
      </c>
      <c r="E35" s="127">
        <v>0.86</v>
      </c>
      <c r="F35" s="127">
        <f t="shared" si="1"/>
        <v>0.86</v>
      </c>
      <c r="G35" s="120" t="s">
        <v>93</v>
      </c>
      <c r="H35" s="181" t="s">
        <v>77</v>
      </c>
      <c r="I35" s="174">
        <v>5</v>
      </c>
      <c r="J35" s="166"/>
    </row>
    <row r="36" spans="1:10" x14ac:dyDescent="0.25">
      <c r="A36" s="111" t="s">
        <v>34</v>
      </c>
      <c r="B36" s="220" t="s">
        <v>94</v>
      </c>
      <c r="C36" s="9">
        <v>5</v>
      </c>
      <c r="D36" s="126">
        <v>1</v>
      </c>
      <c r="E36" s="127">
        <v>3.77</v>
      </c>
      <c r="F36" s="127">
        <f t="shared" si="1"/>
        <v>3.77</v>
      </c>
      <c r="G36" s="120" t="s">
        <v>95</v>
      </c>
      <c r="H36" s="181" t="s">
        <v>77</v>
      </c>
      <c r="I36" s="174">
        <v>5</v>
      </c>
      <c r="J36" s="166"/>
    </row>
    <row r="37" spans="1:10" x14ac:dyDescent="0.25">
      <c r="A37" s="111" t="s">
        <v>34</v>
      </c>
      <c r="B37" s="21" t="s">
        <v>96</v>
      </c>
      <c r="C37" s="226">
        <v>2</v>
      </c>
      <c r="D37" s="126">
        <v>1</v>
      </c>
      <c r="E37" s="127">
        <v>1.45</v>
      </c>
      <c r="F37" s="127">
        <f t="shared" si="1"/>
        <v>1.45</v>
      </c>
      <c r="G37" s="120" t="s">
        <v>97</v>
      </c>
      <c r="H37" s="181" t="s">
        <v>77</v>
      </c>
      <c r="I37" s="174">
        <v>2</v>
      </c>
      <c r="J37" s="166"/>
    </row>
    <row r="38" spans="1:10" x14ac:dyDescent="0.25">
      <c r="A38" s="111" t="s">
        <v>34</v>
      </c>
      <c r="B38" s="21" t="s">
        <v>98</v>
      </c>
      <c r="C38" s="226">
        <v>5</v>
      </c>
      <c r="D38" s="126">
        <v>1</v>
      </c>
      <c r="E38" s="127">
        <v>0.86</v>
      </c>
      <c r="F38" s="127">
        <f t="shared" si="1"/>
        <v>0.86</v>
      </c>
      <c r="G38" s="120" t="s">
        <v>99</v>
      </c>
      <c r="H38" s="181" t="s">
        <v>77</v>
      </c>
      <c r="I38" s="174">
        <v>5</v>
      </c>
      <c r="J38" s="166"/>
    </row>
    <row r="39" spans="1:10" x14ac:dyDescent="0.25">
      <c r="A39" s="111" t="s">
        <v>34</v>
      </c>
      <c r="B39" s="220" t="s">
        <v>100</v>
      </c>
      <c r="C39" s="226">
        <v>5</v>
      </c>
      <c r="D39" s="126">
        <v>1</v>
      </c>
      <c r="E39" s="127">
        <v>2.2200000000000002</v>
      </c>
      <c r="F39" s="127">
        <f t="shared" si="1"/>
        <v>2.2200000000000002</v>
      </c>
      <c r="G39" s="120" t="s">
        <v>101</v>
      </c>
      <c r="H39" s="181" t="s">
        <v>77</v>
      </c>
      <c r="I39" s="174">
        <v>5</v>
      </c>
      <c r="J39" s="166"/>
    </row>
    <row r="40" spans="1:10" x14ac:dyDescent="0.25">
      <c r="A40" s="111" t="s">
        <v>34</v>
      </c>
      <c r="B40" s="220" t="s">
        <v>102</v>
      </c>
      <c r="C40" s="226">
        <v>5</v>
      </c>
      <c r="D40" s="126">
        <v>1</v>
      </c>
      <c r="E40" s="127">
        <v>0.86</v>
      </c>
      <c r="F40" s="127">
        <f t="shared" si="1"/>
        <v>0.86</v>
      </c>
      <c r="G40" s="120" t="s">
        <v>103</v>
      </c>
      <c r="H40" s="181" t="s">
        <v>77</v>
      </c>
      <c r="I40" s="174">
        <v>5</v>
      </c>
      <c r="J40" s="166"/>
    </row>
    <row r="41" spans="1:10" x14ac:dyDescent="0.25">
      <c r="A41" s="111" t="s">
        <v>34</v>
      </c>
      <c r="B41" s="21" t="s">
        <v>104</v>
      </c>
      <c r="C41" s="9">
        <v>2</v>
      </c>
      <c r="D41" s="126">
        <v>1</v>
      </c>
      <c r="E41" s="127">
        <v>3</v>
      </c>
      <c r="F41" s="127">
        <f t="shared" si="1"/>
        <v>3</v>
      </c>
      <c r="G41" s="120" t="s">
        <v>104</v>
      </c>
      <c r="H41" s="181" t="s">
        <v>77</v>
      </c>
      <c r="I41" s="175">
        <v>2</v>
      </c>
      <c r="J41" s="166"/>
    </row>
    <row r="42" spans="1:10" x14ac:dyDescent="0.25">
      <c r="A42" s="111" t="s">
        <v>34</v>
      </c>
      <c r="B42" s="219" t="s">
        <v>105</v>
      </c>
      <c r="C42" s="9">
        <v>2</v>
      </c>
      <c r="D42" s="126">
        <v>1</v>
      </c>
      <c r="E42" s="127">
        <v>3</v>
      </c>
      <c r="F42" s="127">
        <f t="shared" si="1"/>
        <v>3</v>
      </c>
      <c r="G42" s="120" t="s">
        <v>105</v>
      </c>
      <c r="H42" s="181" t="s">
        <v>77</v>
      </c>
      <c r="I42" s="175">
        <v>2</v>
      </c>
      <c r="J42" s="166"/>
    </row>
    <row r="43" spans="1:10" x14ac:dyDescent="0.25">
      <c r="A43" s="111" t="s">
        <v>34</v>
      </c>
      <c r="B43" s="25" t="s">
        <v>106</v>
      </c>
      <c r="C43" s="43">
        <v>1</v>
      </c>
      <c r="D43" s="126">
        <v>1</v>
      </c>
      <c r="E43" s="127">
        <v>5</v>
      </c>
      <c r="F43" s="127">
        <f t="shared" si="1"/>
        <v>5</v>
      </c>
      <c r="G43" s="120" t="s">
        <v>107</v>
      </c>
      <c r="H43" s="181" t="s">
        <v>77</v>
      </c>
      <c r="I43" s="174">
        <v>5</v>
      </c>
      <c r="J43" s="166"/>
    </row>
    <row r="44" spans="1:10" x14ac:dyDescent="0.25">
      <c r="A44" s="111" t="s">
        <v>34</v>
      </c>
      <c r="B44" s="25" t="s">
        <v>108</v>
      </c>
      <c r="C44" s="43">
        <v>2</v>
      </c>
      <c r="D44" s="126">
        <v>2</v>
      </c>
      <c r="E44" s="127">
        <v>5</v>
      </c>
      <c r="F44" s="127">
        <f t="shared" si="1"/>
        <v>10</v>
      </c>
      <c r="G44" s="120" t="s">
        <v>107</v>
      </c>
      <c r="H44" s="181" t="s">
        <v>77</v>
      </c>
      <c r="I44" s="174">
        <v>1</v>
      </c>
      <c r="J44" s="166"/>
    </row>
    <row r="45" spans="1:10" x14ac:dyDescent="0.25">
      <c r="A45" s="111" t="s">
        <v>34</v>
      </c>
      <c r="B45" s="25" t="s">
        <v>109</v>
      </c>
      <c r="C45" s="43">
        <v>1</v>
      </c>
      <c r="D45" s="126">
        <v>1</v>
      </c>
      <c r="E45" s="127">
        <v>5</v>
      </c>
      <c r="F45" s="127">
        <f t="shared" si="1"/>
        <v>5</v>
      </c>
      <c r="G45" s="120" t="s">
        <v>110</v>
      </c>
      <c r="H45" s="181" t="s">
        <v>77</v>
      </c>
      <c r="I45" s="174">
        <v>5</v>
      </c>
      <c r="J45" s="166"/>
    </row>
    <row r="46" spans="1:10" ht="15.75" customHeight="1" x14ac:dyDescent="0.25">
      <c r="A46" s="111" t="s">
        <v>34</v>
      </c>
      <c r="B46" s="8" t="s">
        <v>111</v>
      </c>
      <c r="C46" s="43">
        <v>1</v>
      </c>
      <c r="D46" s="126">
        <v>1</v>
      </c>
      <c r="E46" s="127">
        <v>39.520000000000003</v>
      </c>
      <c r="F46" s="127">
        <f t="shared" si="1"/>
        <v>39.520000000000003</v>
      </c>
      <c r="G46" s="120" t="s">
        <v>112</v>
      </c>
      <c r="H46" s="218" t="s">
        <v>30</v>
      </c>
      <c r="I46" s="174">
        <v>1</v>
      </c>
      <c r="J46" s="166"/>
    </row>
    <row r="47" spans="1:10" ht="15.75" customHeight="1" x14ac:dyDescent="0.25">
      <c r="A47" t="s">
        <v>34</v>
      </c>
      <c r="B47" t="s">
        <v>113</v>
      </c>
      <c r="C47" s="111">
        <v>1</v>
      </c>
      <c r="D47" s="126">
        <v>1</v>
      </c>
      <c r="E47" s="127">
        <v>5.07</v>
      </c>
      <c r="F47" s="127">
        <f t="shared" si="1"/>
        <v>5.07</v>
      </c>
      <c r="G47" s="120" t="s">
        <v>114</v>
      </c>
      <c r="H47" s="218" t="s">
        <v>30</v>
      </c>
      <c r="I47" s="174">
        <v>1</v>
      </c>
      <c r="J47" s="166"/>
    </row>
    <row r="48" spans="1:10" ht="15.75" customHeight="1" x14ac:dyDescent="0.25">
      <c r="A48" t="s">
        <v>34</v>
      </c>
      <c r="B48" t="s">
        <v>115</v>
      </c>
      <c r="C48" s="111">
        <v>1</v>
      </c>
      <c r="D48" s="126">
        <v>1</v>
      </c>
      <c r="E48" s="127">
        <v>5</v>
      </c>
      <c r="F48" s="127">
        <f t="shared" si="1"/>
        <v>5</v>
      </c>
      <c r="G48" s="120" t="s">
        <v>116</v>
      </c>
      <c r="H48" s="218" t="s">
        <v>30</v>
      </c>
      <c r="I48" s="175">
        <v>1</v>
      </c>
      <c r="J48" s="166"/>
    </row>
    <row r="49" spans="1:10" ht="15.75" customHeight="1" x14ac:dyDescent="0.25">
      <c r="A49" s="190" t="s">
        <v>117</v>
      </c>
      <c r="B49" s="190" t="s">
        <v>118</v>
      </c>
      <c r="C49" s="191"/>
      <c r="D49" s="192"/>
      <c r="E49" s="193"/>
      <c r="F49" s="193">
        <f t="shared" si="1"/>
        <v>0</v>
      </c>
      <c r="G49" s="194"/>
      <c r="H49" s="247"/>
      <c r="I49" s="195"/>
      <c r="J49" s="196"/>
    </row>
    <row r="50" spans="1:10" ht="15.75" customHeight="1" x14ac:dyDescent="0.25">
      <c r="A50" s="111" t="s">
        <v>34</v>
      </c>
      <c r="B50" s="217" t="s">
        <v>119</v>
      </c>
      <c r="C50" s="131">
        <v>1</v>
      </c>
      <c r="D50" s="126">
        <v>1</v>
      </c>
      <c r="E50" s="127">
        <v>3.92</v>
      </c>
      <c r="F50" s="127">
        <f t="shared" si="1"/>
        <v>3.92</v>
      </c>
      <c r="G50" s="120" t="s">
        <v>114</v>
      </c>
      <c r="H50" s="218" t="s">
        <v>30</v>
      </c>
      <c r="I50" s="174">
        <v>1</v>
      </c>
      <c r="J50" s="166"/>
    </row>
    <row r="51" spans="1:10" x14ac:dyDescent="0.25">
      <c r="A51" s="111" t="s">
        <v>34</v>
      </c>
      <c r="B51" s="2" t="s">
        <v>120</v>
      </c>
      <c r="C51" s="9">
        <v>3</v>
      </c>
      <c r="D51" s="126">
        <v>3</v>
      </c>
      <c r="E51" s="127">
        <v>15.18</v>
      </c>
      <c r="F51" s="127">
        <f t="shared" si="1"/>
        <v>45.54</v>
      </c>
      <c r="G51" s="120" t="s">
        <v>121</v>
      </c>
      <c r="H51" s="221" t="s">
        <v>30</v>
      </c>
      <c r="I51" s="174">
        <v>1</v>
      </c>
      <c r="J51" s="166"/>
    </row>
    <row r="52" spans="1:10" x14ac:dyDescent="0.25">
      <c r="A52" s="111" t="s">
        <v>34</v>
      </c>
      <c r="B52" s="217" t="s">
        <v>122</v>
      </c>
      <c r="C52" s="43">
        <v>1</v>
      </c>
      <c r="D52" s="126">
        <v>1</v>
      </c>
      <c r="E52" s="127">
        <v>12.4</v>
      </c>
      <c r="F52" s="127">
        <f t="shared" si="1"/>
        <v>12.4</v>
      </c>
      <c r="G52" s="120" t="s">
        <v>123</v>
      </c>
      <c r="H52" s="218" t="s">
        <v>30</v>
      </c>
      <c r="I52" s="174">
        <v>1</v>
      </c>
      <c r="J52" s="166"/>
    </row>
    <row r="53" spans="1:10" x14ac:dyDescent="0.25">
      <c r="A53" s="111" t="s">
        <v>34</v>
      </c>
      <c r="B53" s="42" t="s">
        <v>124</v>
      </c>
      <c r="C53" s="43">
        <v>1</v>
      </c>
      <c r="D53" s="126">
        <v>1</v>
      </c>
      <c r="E53" s="127">
        <v>4.95</v>
      </c>
      <c r="F53" s="127">
        <f t="shared" si="1"/>
        <v>4.95</v>
      </c>
      <c r="G53" s="120" t="s">
        <v>125</v>
      </c>
      <c r="H53" s="184" t="s">
        <v>126</v>
      </c>
      <c r="I53" s="174">
        <v>1</v>
      </c>
      <c r="J53" s="166"/>
    </row>
    <row r="54" spans="1:10" x14ac:dyDescent="0.25">
      <c r="A54" s="111" t="s">
        <v>34</v>
      </c>
      <c r="B54" s="42" t="s">
        <v>127</v>
      </c>
      <c r="C54" s="43">
        <v>1</v>
      </c>
      <c r="D54" s="126">
        <v>1</v>
      </c>
      <c r="E54" s="127">
        <v>4.9000000000000004</v>
      </c>
      <c r="F54" s="127">
        <f t="shared" si="1"/>
        <v>4.9000000000000004</v>
      </c>
      <c r="G54" s="120" t="s">
        <v>128</v>
      </c>
      <c r="H54" s="184" t="s">
        <v>126</v>
      </c>
      <c r="I54" s="174">
        <v>1</v>
      </c>
      <c r="J54" s="166"/>
    </row>
    <row r="55" spans="1:10" x14ac:dyDescent="0.25">
      <c r="A55" s="111" t="s">
        <v>34</v>
      </c>
      <c r="B55" s="42" t="s">
        <v>129</v>
      </c>
      <c r="C55" s="43">
        <v>2</v>
      </c>
      <c r="D55" s="126">
        <v>2</v>
      </c>
      <c r="E55" s="127">
        <v>4.45</v>
      </c>
      <c r="F55" s="127">
        <f t="shared" si="1"/>
        <v>8.9</v>
      </c>
      <c r="G55" s="120" t="s">
        <v>130</v>
      </c>
      <c r="H55" s="184" t="s">
        <v>126</v>
      </c>
      <c r="I55" s="174">
        <v>1</v>
      </c>
      <c r="J55" s="166"/>
    </row>
    <row r="56" spans="1:10" x14ac:dyDescent="0.25">
      <c r="A56" s="111" t="s">
        <v>34</v>
      </c>
      <c r="B56" s="42" t="s">
        <v>131</v>
      </c>
      <c r="C56" s="43">
        <v>2</v>
      </c>
      <c r="D56" s="126">
        <v>2</v>
      </c>
      <c r="E56" s="127">
        <v>4.3499999999999996</v>
      </c>
      <c r="F56" s="127">
        <f t="shared" si="1"/>
        <v>8.6999999999999993</v>
      </c>
      <c r="G56" s="120" t="s">
        <v>132</v>
      </c>
      <c r="H56" s="184" t="s">
        <v>126</v>
      </c>
      <c r="I56" s="174">
        <v>1</v>
      </c>
      <c r="J56" s="166"/>
    </row>
    <row r="57" spans="1:10" x14ac:dyDescent="0.25">
      <c r="A57" s="111" t="s">
        <v>34</v>
      </c>
      <c r="B57" s="216" t="s">
        <v>133</v>
      </c>
      <c r="C57" s="130">
        <v>3</v>
      </c>
      <c r="D57" s="126">
        <v>1</v>
      </c>
      <c r="E57" s="127">
        <v>46</v>
      </c>
      <c r="F57" s="127">
        <f t="shared" si="1"/>
        <v>46</v>
      </c>
      <c r="G57" s="120" t="s">
        <v>134</v>
      </c>
      <c r="H57" s="180" t="s">
        <v>135</v>
      </c>
      <c r="I57" s="174">
        <v>3</v>
      </c>
      <c r="J57" s="166"/>
    </row>
    <row r="58" spans="1:10" x14ac:dyDescent="0.25">
      <c r="A58" s="111" t="s">
        <v>34</v>
      </c>
      <c r="B58" s="216" t="s">
        <v>136</v>
      </c>
      <c r="C58" s="130">
        <v>2</v>
      </c>
      <c r="D58" s="126">
        <v>2</v>
      </c>
      <c r="E58" s="127">
        <v>22.5</v>
      </c>
      <c r="F58" s="127">
        <f t="shared" si="1"/>
        <v>45</v>
      </c>
      <c r="G58" s="120" t="s">
        <v>137</v>
      </c>
      <c r="H58" s="180" t="s">
        <v>135</v>
      </c>
      <c r="I58" s="174">
        <v>1</v>
      </c>
      <c r="J58" s="166"/>
    </row>
    <row r="59" spans="1:10" x14ac:dyDescent="0.25">
      <c r="A59" s="111" t="s">
        <v>34</v>
      </c>
      <c r="B59" s="220" t="s">
        <v>138</v>
      </c>
      <c r="C59" s="220">
        <v>1</v>
      </c>
      <c r="D59" s="126">
        <v>1</v>
      </c>
      <c r="E59" s="222">
        <v>33.700000000000003</v>
      </c>
      <c r="F59" s="127">
        <f t="shared" si="1"/>
        <v>33.700000000000003</v>
      </c>
      <c r="G59" s="120" t="s">
        <v>139</v>
      </c>
      <c r="H59" s="186" t="s">
        <v>135</v>
      </c>
      <c r="I59" s="174">
        <v>1</v>
      </c>
      <c r="J59" s="166"/>
    </row>
    <row r="60" spans="1:10" x14ac:dyDescent="0.25">
      <c r="A60" s="111" t="s">
        <v>34</v>
      </c>
      <c r="B60" s="8" t="s">
        <v>140</v>
      </c>
      <c r="C60" s="43">
        <v>1</v>
      </c>
      <c r="D60" s="126">
        <v>1</v>
      </c>
      <c r="E60" s="127">
        <v>13.9</v>
      </c>
      <c r="F60" s="127">
        <f t="shared" si="1"/>
        <v>13.9</v>
      </c>
      <c r="G60" s="120" t="s">
        <v>141</v>
      </c>
      <c r="H60" s="218" t="s">
        <v>142</v>
      </c>
      <c r="I60" s="174">
        <v>1</v>
      </c>
      <c r="J60" s="166"/>
    </row>
    <row r="61" spans="1:10" x14ac:dyDescent="0.25">
      <c r="A61" t="s">
        <v>34</v>
      </c>
      <c r="B61" t="s">
        <v>143</v>
      </c>
      <c r="C61">
        <v>1</v>
      </c>
      <c r="D61">
        <v>1</v>
      </c>
      <c r="E61" s="127">
        <v>11.11</v>
      </c>
      <c r="F61" s="127">
        <f t="shared" si="1"/>
        <v>11.11</v>
      </c>
      <c r="G61" s="120" t="s">
        <v>144</v>
      </c>
      <c r="H61" s="227" t="s">
        <v>145</v>
      </c>
      <c r="I61" s="174">
        <v>1</v>
      </c>
      <c r="J61" s="169"/>
    </row>
    <row r="62" spans="1:10" ht="17.25" customHeight="1" x14ac:dyDescent="0.25">
      <c r="A62" s="111" t="s">
        <v>34</v>
      </c>
      <c r="B62" s="135" t="s">
        <v>146</v>
      </c>
      <c r="C62" s="43">
        <v>1</v>
      </c>
      <c r="D62" s="126">
        <v>1</v>
      </c>
      <c r="E62" s="127">
        <v>12.07</v>
      </c>
      <c r="F62" s="127">
        <f t="shared" si="1"/>
        <v>12.07</v>
      </c>
      <c r="G62" s="120" t="s">
        <v>147</v>
      </c>
      <c r="H62" s="218" t="s">
        <v>148</v>
      </c>
      <c r="I62" s="174">
        <v>1</v>
      </c>
      <c r="J62" s="166"/>
    </row>
    <row r="63" spans="1:10" ht="17.25" customHeight="1" x14ac:dyDescent="0.25">
      <c r="A63" s="111" t="s">
        <v>34</v>
      </c>
      <c r="B63" s="220" t="s">
        <v>149</v>
      </c>
      <c r="C63" s="220">
        <v>1</v>
      </c>
      <c r="D63" s="126">
        <v>1</v>
      </c>
      <c r="E63" s="127">
        <v>148</v>
      </c>
      <c r="F63" s="127">
        <f t="shared" si="1"/>
        <v>148</v>
      </c>
      <c r="G63" s="120" t="s">
        <v>150</v>
      </c>
      <c r="H63" s="221" t="s">
        <v>151</v>
      </c>
      <c r="I63" s="174">
        <v>1</v>
      </c>
      <c r="J63" s="166"/>
    </row>
    <row r="64" spans="1:10" ht="17.25" customHeight="1" x14ac:dyDescent="0.25">
      <c r="A64" s="111" t="s">
        <v>34</v>
      </c>
      <c r="B64" s="216" t="s">
        <v>152</v>
      </c>
      <c r="C64" s="43">
        <v>1</v>
      </c>
      <c r="D64" s="126">
        <v>1</v>
      </c>
      <c r="E64" s="127">
        <v>2.35</v>
      </c>
      <c r="F64" s="127">
        <f t="shared" si="1"/>
        <v>2.35</v>
      </c>
      <c r="G64" s="120" t="s">
        <v>153</v>
      </c>
      <c r="H64" s="221" t="s">
        <v>154</v>
      </c>
      <c r="I64" s="174">
        <v>10</v>
      </c>
      <c r="J64" s="166"/>
    </row>
    <row r="65" spans="1:10" ht="17.25" customHeight="1" x14ac:dyDescent="0.25">
      <c r="A65" s="111" t="s">
        <v>34</v>
      </c>
      <c r="B65" s="216" t="s">
        <v>155</v>
      </c>
      <c r="C65" s="43">
        <v>1</v>
      </c>
      <c r="D65" s="126">
        <v>1</v>
      </c>
      <c r="E65" s="127">
        <v>2</v>
      </c>
      <c r="F65" s="127">
        <f t="shared" si="1"/>
        <v>2</v>
      </c>
      <c r="G65" s="120" t="s">
        <v>156</v>
      </c>
      <c r="H65" s="221" t="s">
        <v>154</v>
      </c>
      <c r="I65" s="175">
        <v>10</v>
      </c>
      <c r="J65" s="166"/>
    </row>
    <row r="66" spans="1:10" ht="16.5" customHeight="1" x14ac:dyDescent="0.25">
      <c r="A66" s="111" t="s">
        <v>34</v>
      </c>
      <c r="B66" s="216" t="s">
        <v>157</v>
      </c>
      <c r="C66" s="43">
        <v>2</v>
      </c>
      <c r="D66" s="126">
        <v>1</v>
      </c>
      <c r="E66" s="127">
        <v>2</v>
      </c>
      <c r="F66" s="127">
        <f t="shared" ref="F66:F97" si="2">D66*E66</f>
        <v>2</v>
      </c>
      <c r="G66" s="120" t="s">
        <v>158</v>
      </c>
      <c r="H66" s="221" t="s">
        <v>154</v>
      </c>
      <c r="I66" s="175">
        <v>10</v>
      </c>
      <c r="J66" s="166"/>
    </row>
    <row r="67" spans="1:10" x14ac:dyDescent="0.25">
      <c r="A67" s="111" t="s">
        <v>34</v>
      </c>
      <c r="B67" s="220" t="s">
        <v>159</v>
      </c>
      <c r="C67" s="9">
        <v>1</v>
      </c>
      <c r="D67" s="126">
        <v>1</v>
      </c>
      <c r="E67" s="127">
        <v>33.590000000000003</v>
      </c>
      <c r="F67" s="127">
        <f t="shared" si="2"/>
        <v>33.590000000000003</v>
      </c>
      <c r="G67" s="120" t="s">
        <v>160</v>
      </c>
      <c r="H67" s="221" t="s">
        <v>154</v>
      </c>
      <c r="I67" s="174">
        <v>1</v>
      </c>
      <c r="J67" s="166"/>
    </row>
    <row r="68" spans="1:10" x14ac:dyDescent="0.25">
      <c r="A68" s="8" t="s">
        <v>161</v>
      </c>
      <c r="B68" s="8" t="s">
        <v>162</v>
      </c>
      <c r="C68" s="125">
        <v>1</v>
      </c>
      <c r="D68" s="126">
        <v>1</v>
      </c>
      <c r="E68" s="127">
        <v>4.34</v>
      </c>
      <c r="F68" s="127">
        <f t="shared" si="2"/>
        <v>4.34</v>
      </c>
      <c r="G68" s="120" t="s">
        <v>163</v>
      </c>
      <c r="H68" s="179" t="s">
        <v>164</v>
      </c>
      <c r="I68" s="174">
        <v>1</v>
      </c>
      <c r="J68" s="166">
        <v>705</v>
      </c>
    </row>
    <row r="69" spans="1:10" x14ac:dyDescent="0.25">
      <c r="A69" s="111" t="s">
        <v>161</v>
      </c>
      <c r="B69" s="8" t="s">
        <v>165</v>
      </c>
      <c r="C69" s="111">
        <v>94</v>
      </c>
      <c r="D69" s="126">
        <v>4</v>
      </c>
      <c r="E69" s="127">
        <v>2</v>
      </c>
      <c r="F69" s="127">
        <f t="shared" si="2"/>
        <v>8</v>
      </c>
      <c r="G69" s="120" t="s">
        <v>166</v>
      </c>
      <c r="H69" s="218" t="s">
        <v>167</v>
      </c>
      <c r="I69" s="174">
        <v>20</v>
      </c>
      <c r="J69" s="166"/>
    </row>
    <row r="70" spans="1:10" x14ac:dyDescent="0.25">
      <c r="A70" s="111" t="s">
        <v>161</v>
      </c>
      <c r="B70" s="111" t="s">
        <v>168</v>
      </c>
      <c r="C70" s="111">
        <v>196</v>
      </c>
      <c r="D70" s="126">
        <v>7</v>
      </c>
      <c r="E70" s="127">
        <v>2</v>
      </c>
      <c r="F70" s="127">
        <f t="shared" si="2"/>
        <v>14</v>
      </c>
      <c r="G70" s="120" t="s">
        <v>169</v>
      </c>
      <c r="H70" s="218" t="s">
        <v>167</v>
      </c>
      <c r="I70" s="174">
        <v>20</v>
      </c>
      <c r="J70" s="167"/>
    </row>
    <row r="71" spans="1:10" x14ac:dyDescent="0.25">
      <c r="A71" s="111" t="s">
        <v>161</v>
      </c>
      <c r="B71" s="8" t="s">
        <v>170</v>
      </c>
      <c r="C71" s="111">
        <v>48</v>
      </c>
      <c r="D71" s="126">
        <v>1</v>
      </c>
      <c r="E71" s="127">
        <v>2.41</v>
      </c>
      <c r="F71" s="127">
        <f t="shared" si="2"/>
        <v>2.41</v>
      </c>
      <c r="G71" s="120" t="s">
        <v>171</v>
      </c>
      <c r="H71" s="182" t="s">
        <v>167</v>
      </c>
      <c r="I71" s="174">
        <v>50</v>
      </c>
      <c r="J71" s="166">
        <v>934</v>
      </c>
    </row>
    <row r="72" spans="1:10" x14ac:dyDescent="0.25">
      <c r="A72" s="111" t="s">
        <v>161</v>
      </c>
      <c r="B72" s="8" t="s">
        <v>172</v>
      </c>
      <c r="C72" s="125">
        <v>11</v>
      </c>
      <c r="D72" s="126">
        <v>1</v>
      </c>
      <c r="E72" s="127">
        <v>3.01</v>
      </c>
      <c r="F72" s="127">
        <f t="shared" si="2"/>
        <v>3.01</v>
      </c>
      <c r="G72" s="120" t="s">
        <v>171</v>
      </c>
      <c r="H72" s="182" t="s">
        <v>167</v>
      </c>
      <c r="I72" s="174">
        <v>50</v>
      </c>
      <c r="J72" s="167">
        <v>985</v>
      </c>
    </row>
    <row r="73" spans="1:10" x14ac:dyDescent="0.25">
      <c r="A73" s="111" t="s">
        <v>161</v>
      </c>
      <c r="B73" s="128" t="s">
        <v>173</v>
      </c>
      <c r="C73" s="125">
        <v>92</v>
      </c>
      <c r="D73" s="126">
        <v>1</v>
      </c>
      <c r="E73" s="127">
        <v>2.13</v>
      </c>
      <c r="F73" s="127">
        <f t="shared" si="2"/>
        <v>2.13</v>
      </c>
      <c r="G73" s="120" t="s">
        <v>174</v>
      </c>
      <c r="H73" s="182" t="s">
        <v>167</v>
      </c>
      <c r="I73" s="174">
        <v>100</v>
      </c>
      <c r="J73" s="166">
        <v>125</v>
      </c>
    </row>
    <row r="74" spans="1:10" x14ac:dyDescent="0.25">
      <c r="A74" s="111" t="s">
        <v>161</v>
      </c>
      <c r="B74" s="8" t="s">
        <v>175</v>
      </c>
      <c r="C74" s="111">
        <v>7</v>
      </c>
      <c r="D74" s="126">
        <v>1</v>
      </c>
      <c r="E74" s="127">
        <v>2</v>
      </c>
      <c r="F74" s="127">
        <f t="shared" si="2"/>
        <v>2</v>
      </c>
      <c r="G74" s="120" t="s">
        <v>176</v>
      </c>
      <c r="H74" s="182" t="s">
        <v>167</v>
      </c>
      <c r="I74" s="174">
        <v>50</v>
      </c>
      <c r="J74" s="166">
        <v>913</v>
      </c>
    </row>
    <row r="75" spans="1:10" x14ac:dyDescent="0.25">
      <c r="A75" s="111" t="s">
        <v>161</v>
      </c>
      <c r="B75" s="128" t="s">
        <v>177</v>
      </c>
      <c r="C75" s="111">
        <v>8</v>
      </c>
      <c r="D75" s="126">
        <v>1</v>
      </c>
      <c r="E75" s="127">
        <v>2.57</v>
      </c>
      <c r="F75" s="127">
        <f t="shared" si="2"/>
        <v>2.57</v>
      </c>
      <c r="G75" s="120" t="s">
        <v>178</v>
      </c>
      <c r="H75" s="182" t="s">
        <v>167</v>
      </c>
      <c r="I75" s="174">
        <v>50</v>
      </c>
      <c r="J75" s="167">
        <v>912</v>
      </c>
    </row>
    <row r="76" spans="1:10" x14ac:dyDescent="0.25">
      <c r="A76" s="8" t="s">
        <v>161</v>
      </c>
      <c r="B76" s="8" t="s">
        <v>179</v>
      </c>
      <c r="C76" s="111">
        <v>16</v>
      </c>
      <c r="D76" s="126">
        <v>1</v>
      </c>
      <c r="E76" s="127">
        <v>1.93</v>
      </c>
      <c r="F76" s="127">
        <f t="shared" si="2"/>
        <v>1.93</v>
      </c>
      <c r="G76" s="120" t="s">
        <v>180</v>
      </c>
      <c r="H76" s="182" t="s">
        <v>167</v>
      </c>
      <c r="I76" s="174">
        <v>20</v>
      </c>
      <c r="J76" s="166">
        <v>7991</v>
      </c>
    </row>
    <row r="77" spans="1:10" x14ac:dyDescent="0.25">
      <c r="A77" s="111" t="s">
        <v>161</v>
      </c>
      <c r="B77" s="128" t="s">
        <v>181</v>
      </c>
      <c r="C77" s="111">
        <v>124</v>
      </c>
      <c r="D77" s="126">
        <v>6</v>
      </c>
      <c r="E77" s="127">
        <v>2.4700000000000002</v>
      </c>
      <c r="F77" s="127">
        <f t="shared" si="2"/>
        <v>14.82</v>
      </c>
      <c r="G77" s="120" t="s">
        <v>182</v>
      </c>
      <c r="H77" s="182" t="s">
        <v>167</v>
      </c>
      <c r="I77" s="174">
        <v>30</v>
      </c>
      <c r="J77" s="166">
        <v>912</v>
      </c>
    </row>
    <row r="78" spans="1:10" x14ac:dyDescent="0.25">
      <c r="A78" s="8" t="s">
        <v>161</v>
      </c>
      <c r="B78" s="128" t="s">
        <v>183</v>
      </c>
      <c r="C78" s="111">
        <v>42</v>
      </c>
      <c r="D78" s="126">
        <v>2</v>
      </c>
      <c r="E78" s="127">
        <v>2.5099999999999998</v>
      </c>
      <c r="F78" s="127">
        <f t="shared" si="2"/>
        <v>5.0199999999999996</v>
      </c>
      <c r="G78" s="120" t="s">
        <v>184</v>
      </c>
      <c r="H78" s="182" t="s">
        <v>167</v>
      </c>
      <c r="I78" s="174">
        <v>30</v>
      </c>
      <c r="J78" s="167">
        <v>912</v>
      </c>
    </row>
    <row r="79" spans="1:10" x14ac:dyDescent="0.25">
      <c r="A79" s="8" t="s">
        <v>161</v>
      </c>
      <c r="B79" s="8" t="s">
        <v>185</v>
      </c>
      <c r="C79" s="111">
        <v>20</v>
      </c>
      <c r="D79" s="126">
        <v>1</v>
      </c>
      <c r="E79" s="127">
        <v>2.88</v>
      </c>
      <c r="F79" s="127">
        <f t="shared" si="2"/>
        <v>2.88</v>
      </c>
      <c r="G79" s="120" t="s">
        <v>186</v>
      </c>
      <c r="H79" s="182" t="s">
        <v>167</v>
      </c>
      <c r="I79" s="174">
        <v>30</v>
      </c>
      <c r="J79" s="166">
        <v>912</v>
      </c>
    </row>
    <row r="80" spans="1:10" x14ac:dyDescent="0.25">
      <c r="A80" s="8" t="s">
        <v>161</v>
      </c>
      <c r="B80" s="8" t="s">
        <v>187</v>
      </c>
      <c r="C80" s="111">
        <v>11</v>
      </c>
      <c r="D80" s="126">
        <v>1</v>
      </c>
      <c r="E80" s="127">
        <v>2.86</v>
      </c>
      <c r="F80" s="127">
        <f t="shared" si="2"/>
        <v>2.86</v>
      </c>
      <c r="G80" s="120" t="s">
        <v>188</v>
      </c>
      <c r="H80" s="182" t="s">
        <v>167</v>
      </c>
      <c r="I80" s="174">
        <v>30</v>
      </c>
      <c r="J80" s="166">
        <v>912</v>
      </c>
    </row>
    <row r="81" spans="1:10" x14ac:dyDescent="0.25">
      <c r="A81" s="111" t="s">
        <v>161</v>
      </c>
      <c r="B81" s="8" t="s">
        <v>189</v>
      </c>
      <c r="C81" s="111">
        <v>15</v>
      </c>
      <c r="D81" s="126">
        <v>1</v>
      </c>
      <c r="E81" s="127">
        <v>2.68</v>
      </c>
      <c r="F81" s="127">
        <f t="shared" si="2"/>
        <v>2.68</v>
      </c>
      <c r="G81" s="120" t="s">
        <v>190</v>
      </c>
      <c r="H81" s="182" t="s">
        <v>167</v>
      </c>
      <c r="I81" s="174">
        <v>50</v>
      </c>
      <c r="J81" s="167">
        <v>934</v>
      </c>
    </row>
    <row r="82" spans="1:10" x14ac:dyDescent="0.25">
      <c r="A82" s="111" t="s">
        <v>161</v>
      </c>
      <c r="B82" s="8" t="s">
        <v>191</v>
      </c>
      <c r="C82" s="111">
        <v>15</v>
      </c>
      <c r="D82" s="126">
        <v>1</v>
      </c>
      <c r="E82" s="127">
        <v>2.83</v>
      </c>
      <c r="F82" s="127">
        <f t="shared" si="2"/>
        <v>2.83</v>
      </c>
      <c r="G82" s="120" t="s">
        <v>192</v>
      </c>
      <c r="H82" s="182" t="s">
        <v>167</v>
      </c>
      <c r="I82" s="174">
        <v>30</v>
      </c>
      <c r="J82" s="166">
        <v>985</v>
      </c>
    </row>
    <row r="83" spans="1:10" ht="15.75" customHeight="1" x14ac:dyDescent="0.25">
      <c r="A83" s="111" t="s">
        <v>161</v>
      </c>
      <c r="B83" s="8" t="s">
        <v>193</v>
      </c>
      <c r="C83" s="111">
        <v>13</v>
      </c>
      <c r="D83" s="126">
        <v>1</v>
      </c>
      <c r="E83" s="127">
        <v>2.42</v>
      </c>
      <c r="F83" s="127">
        <f t="shared" si="2"/>
        <v>2.42</v>
      </c>
      <c r="G83" s="120" t="s">
        <v>194</v>
      </c>
      <c r="H83" s="182" t="s">
        <v>167</v>
      </c>
      <c r="I83" s="174">
        <v>100</v>
      </c>
      <c r="J83" s="167">
        <v>25</v>
      </c>
    </row>
    <row r="84" spans="1:10" x14ac:dyDescent="0.25">
      <c r="A84" s="8" t="s">
        <v>161</v>
      </c>
      <c r="B84" s="215" t="s">
        <v>195</v>
      </c>
      <c r="C84" s="111">
        <v>4</v>
      </c>
      <c r="D84" s="126">
        <v>1</v>
      </c>
      <c r="E84" s="127">
        <v>2.2999999999999998</v>
      </c>
      <c r="F84" s="127">
        <f t="shared" si="2"/>
        <v>2.2999999999999998</v>
      </c>
      <c r="G84" s="120" t="s">
        <v>196</v>
      </c>
      <c r="H84" s="182" t="s">
        <v>167</v>
      </c>
      <c r="I84" s="174">
        <v>20</v>
      </c>
      <c r="J84" s="166">
        <v>7991</v>
      </c>
    </row>
    <row r="85" spans="1:10" x14ac:dyDescent="0.25">
      <c r="A85" s="111" t="s">
        <v>161</v>
      </c>
      <c r="B85" s="224" t="s">
        <v>197</v>
      </c>
      <c r="C85" s="111">
        <v>11</v>
      </c>
      <c r="D85" s="126">
        <v>1</v>
      </c>
      <c r="E85" s="127">
        <v>2.84</v>
      </c>
      <c r="F85" s="127">
        <f t="shared" si="2"/>
        <v>2.84</v>
      </c>
      <c r="G85" s="120" t="s">
        <v>198</v>
      </c>
      <c r="H85" s="182" t="s">
        <v>167</v>
      </c>
      <c r="I85" s="174">
        <v>20</v>
      </c>
      <c r="J85" s="166">
        <v>912</v>
      </c>
    </row>
    <row r="86" spans="1:10" x14ac:dyDescent="0.25">
      <c r="A86" s="111" t="s">
        <v>161</v>
      </c>
      <c r="B86" s="215" t="s">
        <v>199</v>
      </c>
      <c r="C86" s="111">
        <v>7</v>
      </c>
      <c r="D86" s="126">
        <v>1</v>
      </c>
      <c r="E86" s="127">
        <v>2.5</v>
      </c>
      <c r="F86" s="127">
        <f t="shared" si="2"/>
        <v>2.5</v>
      </c>
      <c r="G86" s="120" t="s">
        <v>200</v>
      </c>
      <c r="H86" s="182" t="s">
        <v>167</v>
      </c>
      <c r="I86" s="174">
        <v>20</v>
      </c>
      <c r="J86" s="167">
        <v>7991</v>
      </c>
    </row>
    <row r="87" spans="1:10" x14ac:dyDescent="0.25">
      <c r="A87" s="111" t="s">
        <v>161</v>
      </c>
      <c r="B87" s="8" t="s">
        <v>201</v>
      </c>
      <c r="C87" s="111">
        <v>2</v>
      </c>
      <c r="D87" s="126">
        <v>1</v>
      </c>
      <c r="E87" s="127">
        <v>1.8</v>
      </c>
      <c r="F87" s="127">
        <f t="shared" si="2"/>
        <v>1.8</v>
      </c>
      <c r="G87" s="120" t="s">
        <v>202</v>
      </c>
      <c r="H87" s="182" t="s">
        <v>167</v>
      </c>
      <c r="I87" s="174">
        <v>10</v>
      </c>
      <c r="J87" s="167">
        <v>933</v>
      </c>
    </row>
    <row r="88" spans="1:10" x14ac:dyDescent="0.25">
      <c r="A88" s="111" t="s">
        <v>161</v>
      </c>
      <c r="B88" s="143" t="s">
        <v>203</v>
      </c>
      <c r="C88" s="111">
        <v>4</v>
      </c>
      <c r="D88" s="126">
        <v>1</v>
      </c>
      <c r="E88" s="127">
        <v>3.08</v>
      </c>
      <c r="F88" s="127">
        <f t="shared" si="2"/>
        <v>3.08</v>
      </c>
      <c r="G88" s="120" t="s">
        <v>204</v>
      </c>
      <c r="H88" s="182" t="s">
        <v>167</v>
      </c>
      <c r="I88" s="174">
        <v>20</v>
      </c>
      <c r="J88" s="166">
        <v>7991</v>
      </c>
    </row>
    <row r="89" spans="1:10" x14ac:dyDescent="0.25">
      <c r="A89" s="111" t="s">
        <v>161</v>
      </c>
      <c r="B89" s="128" t="s">
        <v>205</v>
      </c>
      <c r="C89" s="111">
        <v>42</v>
      </c>
      <c r="D89" s="126">
        <v>1</v>
      </c>
      <c r="E89" s="127">
        <v>3.31</v>
      </c>
      <c r="F89" s="127">
        <f t="shared" si="2"/>
        <v>3.31</v>
      </c>
      <c r="G89" s="120" t="s">
        <v>206</v>
      </c>
      <c r="H89" s="182" t="s">
        <v>167</v>
      </c>
      <c r="I89" s="174">
        <v>50</v>
      </c>
      <c r="J89" s="167">
        <v>934</v>
      </c>
    </row>
    <row r="90" spans="1:10" x14ac:dyDescent="0.25">
      <c r="A90" s="111" t="s">
        <v>161</v>
      </c>
      <c r="B90" s="111" t="s">
        <v>207</v>
      </c>
      <c r="C90" s="111">
        <v>14</v>
      </c>
      <c r="D90" s="126">
        <v>1</v>
      </c>
      <c r="E90" s="127">
        <v>3.06</v>
      </c>
      <c r="F90" s="127">
        <f t="shared" si="2"/>
        <v>3.06</v>
      </c>
      <c r="G90" s="120" t="s">
        <v>208</v>
      </c>
      <c r="H90" s="182" t="s">
        <v>167</v>
      </c>
      <c r="I90" s="174">
        <v>30</v>
      </c>
      <c r="J90" s="166">
        <v>985</v>
      </c>
    </row>
    <row r="91" spans="1:10" x14ac:dyDescent="0.25">
      <c r="A91" s="111" t="s">
        <v>161</v>
      </c>
      <c r="B91" s="128" t="s">
        <v>209</v>
      </c>
      <c r="C91" s="111">
        <v>185</v>
      </c>
      <c r="D91" s="126">
        <v>2</v>
      </c>
      <c r="E91" s="127">
        <v>1.43</v>
      </c>
      <c r="F91" s="127">
        <f t="shared" si="2"/>
        <v>2.86</v>
      </c>
      <c r="G91" s="120" t="s">
        <v>210</v>
      </c>
      <c r="H91" s="182" t="s">
        <v>167</v>
      </c>
      <c r="I91" s="174">
        <v>100</v>
      </c>
      <c r="J91" s="166">
        <v>125</v>
      </c>
    </row>
    <row r="92" spans="1:10" x14ac:dyDescent="0.25">
      <c r="A92" s="111" t="s">
        <v>161</v>
      </c>
      <c r="B92" s="128" t="s">
        <v>211</v>
      </c>
      <c r="C92" s="111">
        <v>166</v>
      </c>
      <c r="D92" s="126">
        <v>17</v>
      </c>
      <c r="E92" s="127">
        <v>2.4500000000000002</v>
      </c>
      <c r="F92" s="127">
        <f t="shared" si="2"/>
        <v>41.650000000000006</v>
      </c>
      <c r="G92" s="120" t="s">
        <v>212</v>
      </c>
      <c r="H92" s="182" t="s">
        <v>167</v>
      </c>
      <c r="I92" s="174">
        <v>10</v>
      </c>
      <c r="J92" s="166">
        <v>7380</v>
      </c>
    </row>
    <row r="93" spans="1:10" x14ac:dyDescent="0.25">
      <c r="A93" s="111" t="s">
        <v>161</v>
      </c>
      <c r="B93" s="128" t="s">
        <v>213</v>
      </c>
      <c r="C93" s="111">
        <v>12</v>
      </c>
      <c r="D93" s="126">
        <v>2</v>
      </c>
      <c r="E93" s="127">
        <v>3</v>
      </c>
      <c r="F93" s="127">
        <f t="shared" si="2"/>
        <v>6</v>
      </c>
      <c r="G93" s="120" t="s">
        <v>214</v>
      </c>
      <c r="H93" s="182" t="s">
        <v>167</v>
      </c>
      <c r="I93" s="174">
        <v>10</v>
      </c>
      <c r="J93" s="167">
        <v>7380</v>
      </c>
    </row>
    <row r="94" spans="1:10" x14ac:dyDescent="0.25">
      <c r="A94" s="111" t="s">
        <v>161</v>
      </c>
      <c r="B94" s="216" t="s">
        <v>215</v>
      </c>
      <c r="C94" s="130">
        <v>5</v>
      </c>
      <c r="D94" s="126">
        <v>1</v>
      </c>
      <c r="E94" s="127">
        <v>2</v>
      </c>
      <c r="F94" s="127">
        <f t="shared" si="2"/>
        <v>2</v>
      </c>
      <c r="G94" s="120" t="s">
        <v>216</v>
      </c>
      <c r="H94" s="182" t="s">
        <v>167</v>
      </c>
      <c r="I94" s="174">
        <v>10</v>
      </c>
      <c r="J94" s="166">
        <v>933</v>
      </c>
    </row>
    <row r="95" spans="1:10" x14ac:dyDescent="0.25">
      <c r="A95" s="111" t="s">
        <v>161</v>
      </c>
      <c r="B95" s="216" t="s">
        <v>217</v>
      </c>
      <c r="C95" s="130">
        <v>44</v>
      </c>
      <c r="D95" s="126">
        <v>5</v>
      </c>
      <c r="E95" s="127">
        <v>3.21</v>
      </c>
      <c r="F95" s="127">
        <f t="shared" si="2"/>
        <v>16.05</v>
      </c>
      <c r="G95" s="120" t="s">
        <v>218</v>
      </c>
      <c r="H95" s="182" t="s">
        <v>167</v>
      </c>
      <c r="I95" s="174">
        <v>10</v>
      </c>
      <c r="J95" s="166">
        <v>933</v>
      </c>
    </row>
    <row r="96" spans="1:10" x14ac:dyDescent="0.25">
      <c r="A96" s="111" t="s">
        <v>161</v>
      </c>
      <c r="B96" s="216" t="s">
        <v>219</v>
      </c>
      <c r="C96" s="130">
        <v>17</v>
      </c>
      <c r="D96" s="126">
        <v>2</v>
      </c>
      <c r="E96" s="127">
        <v>3</v>
      </c>
      <c r="F96" s="127">
        <f t="shared" si="2"/>
        <v>6</v>
      </c>
      <c r="G96" s="120" t="s">
        <v>220</v>
      </c>
      <c r="H96" s="182" t="s">
        <v>167</v>
      </c>
      <c r="I96" s="174">
        <v>10</v>
      </c>
      <c r="J96" s="166">
        <v>933</v>
      </c>
    </row>
    <row r="97" spans="1:10" x14ac:dyDescent="0.25">
      <c r="A97" s="8" t="s">
        <v>161</v>
      </c>
      <c r="B97" s="143" t="s">
        <v>221</v>
      </c>
      <c r="C97" s="111">
        <v>24</v>
      </c>
      <c r="D97" s="126">
        <v>3</v>
      </c>
      <c r="E97" s="127">
        <v>2</v>
      </c>
      <c r="F97" s="127">
        <f t="shared" si="2"/>
        <v>6</v>
      </c>
      <c r="G97" s="120" t="s">
        <v>222</v>
      </c>
      <c r="H97" s="182" t="s">
        <v>167</v>
      </c>
      <c r="I97" s="174">
        <v>10</v>
      </c>
      <c r="J97" s="167">
        <v>7380</v>
      </c>
    </row>
    <row r="98" spans="1:10" x14ac:dyDescent="0.25">
      <c r="A98" s="8" t="s">
        <v>161</v>
      </c>
      <c r="B98" s="128" t="s">
        <v>223</v>
      </c>
      <c r="C98" s="125">
        <v>32</v>
      </c>
      <c r="D98" s="126">
        <v>1</v>
      </c>
      <c r="E98" s="127">
        <v>3.26</v>
      </c>
      <c r="F98" s="127">
        <f t="shared" ref="F98:F129" si="3">D98*E98</f>
        <v>3.26</v>
      </c>
      <c r="G98" s="120" t="s">
        <v>224</v>
      </c>
      <c r="H98" s="179" t="s">
        <v>225</v>
      </c>
      <c r="I98" s="174">
        <v>50</v>
      </c>
      <c r="J98" s="166">
        <v>988</v>
      </c>
    </row>
    <row r="99" spans="1:10" x14ac:dyDescent="0.25">
      <c r="A99" s="8" t="s">
        <v>161</v>
      </c>
      <c r="B99" s="220" t="s">
        <v>226</v>
      </c>
      <c r="C99" s="125">
        <v>36</v>
      </c>
      <c r="D99" s="126">
        <v>1</v>
      </c>
      <c r="E99" s="127">
        <v>2.87</v>
      </c>
      <c r="F99" s="127">
        <f t="shared" si="3"/>
        <v>2.87</v>
      </c>
      <c r="G99" s="121" t="s">
        <v>227</v>
      </c>
      <c r="H99" s="179" t="s">
        <v>225</v>
      </c>
      <c r="I99" s="174">
        <v>50</v>
      </c>
      <c r="J99" s="166">
        <v>988</v>
      </c>
    </row>
    <row r="100" spans="1:10" x14ac:dyDescent="0.25">
      <c r="A100" s="8" t="s">
        <v>161</v>
      </c>
      <c r="B100" s="8" t="s">
        <v>228</v>
      </c>
      <c r="C100" s="125">
        <v>2</v>
      </c>
      <c r="D100" s="126">
        <v>1</v>
      </c>
      <c r="E100" s="127">
        <v>2.84</v>
      </c>
      <c r="F100" s="127">
        <f t="shared" si="3"/>
        <v>2.84</v>
      </c>
      <c r="G100" s="121" t="s">
        <v>229</v>
      </c>
      <c r="H100" s="179" t="s">
        <v>225</v>
      </c>
      <c r="I100" s="174">
        <v>50</v>
      </c>
      <c r="J100" s="170">
        <v>988</v>
      </c>
    </row>
    <row r="101" spans="1:10" x14ac:dyDescent="0.25">
      <c r="A101" s="8" t="s">
        <v>161</v>
      </c>
      <c r="B101" s="8" t="s">
        <v>230</v>
      </c>
      <c r="C101" s="111">
        <v>6</v>
      </c>
      <c r="D101" s="126">
        <v>2</v>
      </c>
      <c r="E101" s="127">
        <v>3.13</v>
      </c>
      <c r="F101" s="127">
        <f t="shared" si="3"/>
        <v>6.26</v>
      </c>
      <c r="G101" s="121" t="s">
        <v>231</v>
      </c>
      <c r="H101" s="218" t="s">
        <v>225</v>
      </c>
      <c r="I101" s="174">
        <v>5</v>
      </c>
      <c r="J101" s="166">
        <v>7379</v>
      </c>
    </row>
    <row r="102" spans="1:10" x14ac:dyDescent="0.25">
      <c r="A102" s="111" t="s">
        <v>161</v>
      </c>
      <c r="B102" s="1" t="s">
        <v>232</v>
      </c>
      <c r="C102" s="111">
        <v>4</v>
      </c>
      <c r="D102" s="126">
        <v>1</v>
      </c>
      <c r="E102" s="127">
        <v>5.61</v>
      </c>
      <c r="F102" s="127">
        <f t="shared" si="3"/>
        <v>5.61</v>
      </c>
      <c r="G102" s="121" t="s">
        <v>233</v>
      </c>
      <c r="H102" s="187" t="s">
        <v>225</v>
      </c>
      <c r="I102" s="174">
        <v>5</v>
      </c>
      <c r="J102" s="166">
        <v>7379</v>
      </c>
    </row>
    <row r="103" spans="1:10" x14ac:dyDescent="0.25">
      <c r="A103" s="8" t="s">
        <v>234</v>
      </c>
      <c r="B103" s="8" t="s">
        <v>235</v>
      </c>
      <c r="C103" s="125">
        <v>2</v>
      </c>
      <c r="D103" s="126">
        <v>1</v>
      </c>
      <c r="E103" s="127">
        <v>7</v>
      </c>
      <c r="F103" s="127">
        <f t="shared" si="3"/>
        <v>7</v>
      </c>
      <c r="G103" s="121" t="s">
        <v>236</v>
      </c>
      <c r="H103" s="218" t="s">
        <v>237</v>
      </c>
      <c r="I103" s="174">
        <v>1</v>
      </c>
      <c r="J103" s="166"/>
    </row>
    <row r="104" spans="1:10" x14ac:dyDescent="0.25">
      <c r="A104" s="8" t="s">
        <v>234</v>
      </c>
      <c r="B104" s="8" t="s">
        <v>238</v>
      </c>
      <c r="C104" s="125">
        <v>3</v>
      </c>
      <c r="D104" s="126">
        <v>1</v>
      </c>
      <c r="E104" s="127">
        <v>6</v>
      </c>
      <c r="F104" s="127">
        <f t="shared" si="3"/>
        <v>6</v>
      </c>
      <c r="G104" s="121" t="s">
        <v>239</v>
      </c>
      <c r="H104" s="218" t="s">
        <v>237</v>
      </c>
      <c r="I104" s="174"/>
      <c r="J104" s="166"/>
    </row>
    <row r="105" spans="1:10" x14ac:dyDescent="0.25">
      <c r="A105" s="143" t="s">
        <v>234</v>
      </c>
      <c r="B105" s="144" t="s">
        <v>240</v>
      </c>
      <c r="C105" s="145">
        <v>3</v>
      </c>
      <c r="D105" s="146">
        <v>3</v>
      </c>
      <c r="E105" s="147">
        <v>16</v>
      </c>
      <c r="F105" s="147">
        <f t="shared" si="3"/>
        <v>48</v>
      </c>
      <c r="G105" s="121" t="s">
        <v>241</v>
      </c>
      <c r="H105" s="187" t="s">
        <v>237</v>
      </c>
      <c r="I105" s="174">
        <v>1</v>
      </c>
      <c r="J105" s="171"/>
    </row>
    <row r="106" spans="1:10" x14ac:dyDescent="0.25">
      <c r="A106" s="8" t="s">
        <v>234</v>
      </c>
      <c r="B106" s="130" t="s">
        <v>242</v>
      </c>
      <c r="C106" s="125">
        <v>6</v>
      </c>
      <c r="D106" s="126">
        <v>1</v>
      </c>
      <c r="E106" s="127">
        <v>20</v>
      </c>
      <c r="F106" s="127">
        <f t="shared" si="3"/>
        <v>20</v>
      </c>
      <c r="G106" s="121" t="s">
        <v>243</v>
      </c>
      <c r="H106" s="218" t="s">
        <v>237</v>
      </c>
      <c r="I106" s="174">
        <v>10</v>
      </c>
      <c r="J106" s="166"/>
    </row>
    <row r="107" spans="1:10" x14ac:dyDescent="0.25">
      <c r="A107" s="8" t="s">
        <v>234</v>
      </c>
      <c r="B107" s="148" t="s">
        <v>244</v>
      </c>
      <c r="C107" s="130">
        <v>10</v>
      </c>
      <c r="D107" s="126">
        <v>1</v>
      </c>
      <c r="E107" s="127">
        <v>40</v>
      </c>
      <c r="F107" s="127">
        <f t="shared" si="3"/>
        <v>40</v>
      </c>
      <c r="G107" s="121" t="s">
        <v>245</v>
      </c>
      <c r="H107" s="218" t="s">
        <v>237</v>
      </c>
      <c r="I107" s="174">
        <v>5</v>
      </c>
      <c r="J107" s="166"/>
    </row>
    <row r="108" spans="1:10" x14ac:dyDescent="0.25">
      <c r="A108" s="8" t="s">
        <v>246</v>
      </c>
      <c r="B108" s="8" t="s">
        <v>247</v>
      </c>
      <c r="C108" s="125">
        <v>36</v>
      </c>
      <c r="D108" s="126">
        <v>1</v>
      </c>
      <c r="E108" s="127">
        <v>60</v>
      </c>
      <c r="F108" s="127">
        <f t="shared" si="3"/>
        <v>60</v>
      </c>
      <c r="G108" s="122" t="s">
        <v>248</v>
      </c>
      <c r="H108" s="218" t="s">
        <v>249</v>
      </c>
      <c r="I108" s="174"/>
      <c r="J108" s="166"/>
    </row>
    <row r="109" spans="1:10" x14ac:dyDescent="0.25">
      <c r="A109" s="8" t="s">
        <v>246</v>
      </c>
      <c r="B109" s="8" t="s">
        <v>250</v>
      </c>
      <c r="C109" s="125">
        <v>5</v>
      </c>
      <c r="D109" s="126">
        <v>1</v>
      </c>
      <c r="E109" s="127">
        <v>9</v>
      </c>
      <c r="F109" s="127">
        <f t="shared" si="3"/>
        <v>9</v>
      </c>
      <c r="G109" s="122" t="s">
        <v>251</v>
      </c>
      <c r="H109" s="218" t="s">
        <v>252</v>
      </c>
      <c r="I109" s="174">
        <v>10</v>
      </c>
      <c r="J109" s="170"/>
    </row>
    <row r="110" spans="1:10" x14ac:dyDescent="0.25">
      <c r="A110" s="8" t="s">
        <v>246</v>
      </c>
      <c r="B110" s="111" t="s">
        <v>253</v>
      </c>
      <c r="C110" s="125">
        <v>6</v>
      </c>
      <c r="D110" s="126">
        <v>1</v>
      </c>
      <c r="E110" s="127">
        <v>10.23</v>
      </c>
      <c r="F110" s="127">
        <f t="shared" si="3"/>
        <v>10.23</v>
      </c>
      <c r="G110" s="122" t="s">
        <v>254</v>
      </c>
      <c r="H110" s="179" t="s">
        <v>255</v>
      </c>
      <c r="I110" s="174">
        <v>6</v>
      </c>
      <c r="J110" s="170"/>
    </row>
    <row r="111" spans="1:10" x14ac:dyDescent="0.25">
      <c r="A111" s="8" t="s">
        <v>246</v>
      </c>
      <c r="B111" s="111" t="s">
        <v>256</v>
      </c>
      <c r="C111" s="125">
        <v>6</v>
      </c>
      <c r="D111" s="126">
        <v>2</v>
      </c>
      <c r="E111" s="127">
        <v>2.04</v>
      </c>
      <c r="F111" s="127">
        <f t="shared" si="3"/>
        <v>4.08</v>
      </c>
      <c r="G111" s="121" t="s">
        <v>257</v>
      </c>
      <c r="H111" s="218" t="s">
        <v>225</v>
      </c>
      <c r="I111" s="174">
        <v>5</v>
      </c>
      <c r="J111" s="166"/>
    </row>
    <row r="112" spans="1:10" x14ac:dyDescent="0.25">
      <c r="A112" s="111" t="s">
        <v>258</v>
      </c>
      <c r="B112" s="149" t="s">
        <v>259</v>
      </c>
      <c r="C112" s="150">
        <v>3</v>
      </c>
      <c r="D112" s="126">
        <v>1</v>
      </c>
      <c r="E112" s="127">
        <v>9.42</v>
      </c>
      <c r="F112" s="127">
        <f t="shared" si="3"/>
        <v>9.42</v>
      </c>
      <c r="G112" s="120" t="s">
        <v>260</v>
      </c>
      <c r="H112" s="218" t="s">
        <v>261</v>
      </c>
      <c r="I112" s="174">
        <v>5</v>
      </c>
      <c r="J112" s="166"/>
    </row>
    <row r="113" spans="1:10" x14ac:dyDescent="0.25">
      <c r="A113" s="111" t="s">
        <v>258</v>
      </c>
      <c r="B113" s="43" t="s">
        <v>262</v>
      </c>
      <c r="C113" s="131">
        <v>1</v>
      </c>
      <c r="D113" s="126">
        <v>1</v>
      </c>
      <c r="E113" s="127">
        <v>12.69</v>
      </c>
      <c r="F113" s="127">
        <f t="shared" si="3"/>
        <v>12.69</v>
      </c>
      <c r="G113" s="122" t="s">
        <v>263</v>
      </c>
      <c r="H113" s="179" t="s">
        <v>264</v>
      </c>
      <c r="I113" s="174">
        <v>1</v>
      </c>
      <c r="J113" s="166"/>
    </row>
    <row r="114" spans="1:10" x14ac:dyDescent="0.25">
      <c r="A114" s="111" t="s">
        <v>258</v>
      </c>
      <c r="B114" s="149" t="s">
        <v>265</v>
      </c>
      <c r="C114" s="150">
        <v>6</v>
      </c>
      <c r="D114" s="126">
        <v>6</v>
      </c>
      <c r="E114" s="127">
        <v>2.23</v>
      </c>
      <c r="F114" s="127">
        <f t="shared" si="3"/>
        <v>13.379999999999999</v>
      </c>
      <c r="G114" s="122" t="s">
        <v>266</v>
      </c>
      <c r="H114" s="179" t="s">
        <v>267</v>
      </c>
      <c r="I114" s="174">
        <v>1</v>
      </c>
      <c r="J114" s="166"/>
    </row>
    <row r="115" spans="1:10" x14ac:dyDescent="0.25">
      <c r="A115" s="8" t="s">
        <v>258</v>
      </c>
      <c r="B115" s="219" t="s">
        <v>268</v>
      </c>
      <c r="C115" s="150">
        <v>1</v>
      </c>
      <c r="D115" s="126">
        <v>1</v>
      </c>
      <c r="E115" s="127">
        <v>30.61</v>
      </c>
      <c r="F115" s="127">
        <f t="shared" si="3"/>
        <v>30.61</v>
      </c>
      <c r="G115" s="122" t="s">
        <v>269</v>
      </c>
      <c r="H115" s="218" t="s">
        <v>270</v>
      </c>
      <c r="I115" s="174">
        <v>1</v>
      </c>
      <c r="J115" s="166"/>
    </row>
    <row r="116" spans="1:10" ht="18" customHeight="1" x14ac:dyDescent="0.25">
      <c r="A116" s="8" t="s">
        <v>258</v>
      </c>
      <c r="B116" s="219" t="s">
        <v>271</v>
      </c>
      <c r="C116" s="150">
        <v>1</v>
      </c>
      <c r="D116" s="126">
        <v>1</v>
      </c>
      <c r="E116" s="127">
        <v>8</v>
      </c>
      <c r="F116" s="127">
        <f t="shared" si="3"/>
        <v>8</v>
      </c>
      <c r="G116" s="122" t="s">
        <v>272</v>
      </c>
      <c r="H116" s="218" t="s">
        <v>273</v>
      </c>
      <c r="I116" s="174">
        <v>1</v>
      </c>
      <c r="J116" s="166"/>
    </row>
    <row r="117" spans="1:10" x14ac:dyDescent="0.25">
      <c r="A117" s="111" t="s">
        <v>258</v>
      </c>
      <c r="B117" s="149" t="s">
        <v>274</v>
      </c>
      <c r="C117" s="150">
        <v>1</v>
      </c>
      <c r="D117" s="126">
        <v>1</v>
      </c>
      <c r="E117" s="127">
        <v>44</v>
      </c>
      <c r="F117" s="127">
        <f t="shared" si="3"/>
        <v>44</v>
      </c>
      <c r="G117" s="120" t="s">
        <v>275</v>
      </c>
      <c r="H117" s="218" t="s">
        <v>276</v>
      </c>
      <c r="I117" s="174">
        <v>1</v>
      </c>
      <c r="J117" s="166"/>
    </row>
    <row r="118" spans="1:10" x14ac:dyDescent="0.25">
      <c r="A118" s="111" t="s">
        <v>258</v>
      </c>
      <c r="B118" s="219" t="s">
        <v>277</v>
      </c>
      <c r="C118" s="150">
        <v>1</v>
      </c>
      <c r="D118" s="126">
        <v>1</v>
      </c>
      <c r="E118" s="127">
        <v>30</v>
      </c>
      <c r="F118" s="127">
        <f t="shared" si="3"/>
        <v>30</v>
      </c>
      <c r="G118" s="120" t="s">
        <v>278</v>
      </c>
      <c r="H118" s="218" t="s">
        <v>276</v>
      </c>
      <c r="I118" s="174">
        <v>1</v>
      </c>
      <c r="J118" s="166"/>
    </row>
    <row r="119" spans="1:10" x14ac:dyDescent="0.25">
      <c r="A119" s="111" t="s">
        <v>258</v>
      </c>
      <c r="B119" s="217" t="s">
        <v>279</v>
      </c>
      <c r="C119" s="151">
        <v>2</v>
      </c>
      <c r="D119" s="126">
        <v>1</v>
      </c>
      <c r="E119" s="127">
        <v>3.49</v>
      </c>
      <c r="F119" s="127">
        <f t="shared" si="3"/>
        <v>3.49</v>
      </c>
      <c r="G119" s="122" t="s">
        <v>280</v>
      </c>
      <c r="H119" s="218" t="s">
        <v>281</v>
      </c>
      <c r="I119" s="174">
        <v>5</v>
      </c>
      <c r="J119" s="166"/>
    </row>
    <row r="120" spans="1:10" x14ac:dyDescent="0.25">
      <c r="A120" s="111" t="s">
        <v>282</v>
      </c>
      <c r="B120" s="228" t="s">
        <v>283</v>
      </c>
      <c r="C120" s="152">
        <v>4</v>
      </c>
      <c r="D120" s="126">
        <v>2</v>
      </c>
      <c r="E120" s="127">
        <v>4</v>
      </c>
      <c r="F120" s="127">
        <f t="shared" si="3"/>
        <v>8</v>
      </c>
      <c r="G120" s="122" t="s">
        <v>284</v>
      </c>
      <c r="H120" s="221" t="s">
        <v>285</v>
      </c>
      <c r="I120" s="174">
        <v>1</v>
      </c>
      <c r="J120" s="166"/>
    </row>
    <row r="121" spans="1:10" x14ac:dyDescent="0.25">
      <c r="A121" s="111" t="s">
        <v>282</v>
      </c>
      <c r="B121" s="216" t="s">
        <v>286</v>
      </c>
      <c r="C121" s="130">
        <v>1</v>
      </c>
      <c r="D121" s="126">
        <v>1</v>
      </c>
      <c r="E121" s="127">
        <v>4.07</v>
      </c>
      <c r="F121" s="127">
        <f t="shared" si="3"/>
        <v>4.07</v>
      </c>
      <c r="G121" s="122" t="s">
        <v>287</v>
      </c>
      <c r="H121" s="221" t="s">
        <v>285</v>
      </c>
      <c r="I121" s="174">
        <v>1</v>
      </c>
      <c r="J121" s="166"/>
    </row>
    <row r="122" spans="1:10" s="112" customFormat="1" ht="15.75" x14ac:dyDescent="0.25">
      <c r="A122" s="8" t="s">
        <v>282</v>
      </c>
      <c r="B122" s="21" t="s">
        <v>288</v>
      </c>
      <c r="C122" s="9">
        <v>2</v>
      </c>
      <c r="D122" s="126">
        <v>2</v>
      </c>
      <c r="E122" s="127">
        <v>9.7200000000000006</v>
      </c>
      <c r="F122" s="127">
        <f t="shared" si="3"/>
        <v>19.440000000000001</v>
      </c>
      <c r="G122" s="120" t="s">
        <v>289</v>
      </c>
      <c r="H122" s="221" t="s">
        <v>285</v>
      </c>
      <c r="I122" s="174">
        <v>1</v>
      </c>
      <c r="J122" s="166"/>
    </row>
    <row r="123" spans="1:10" s="112" customFormat="1" ht="15.75" x14ac:dyDescent="0.25">
      <c r="A123" s="111" t="s">
        <v>282</v>
      </c>
      <c r="B123" s="111" t="s">
        <v>290</v>
      </c>
      <c r="C123" s="153">
        <v>2</v>
      </c>
      <c r="D123" s="126">
        <v>1</v>
      </c>
      <c r="E123" s="127">
        <v>14.96</v>
      </c>
      <c r="F123" s="127">
        <f t="shared" si="3"/>
        <v>14.96</v>
      </c>
      <c r="G123" s="122" t="s">
        <v>291</v>
      </c>
      <c r="H123" s="218" t="s">
        <v>292</v>
      </c>
      <c r="I123" s="174">
        <v>10</v>
      </c>
      <c r="J123" s="166"/>
    </row>
    <row r="124" spans="1:10" s="112" customFormat="1" ht="15.75" x14ac:dyDescent="0.25">
      <c r="A124" s="8" t="s">
        <v>282</v>
      </c>
      <c r="B124" s="8" t="s">
        <v>293</v>
      </c>
      <c r="C124" s="111">
        <v>1</v>
      </c>
      <c r="D124" s="126">
        <v>1</v>
      </c>
      <c r="E124" s="127">
        <v>12</v>
      </c>
      <c r="F124" s="127">
        <f t="shared" si="3"/>
        <v>12</v>
      </c>
      <c r="G124" s="122" t="s">
        <v>294</v>
      </c>
      <c r="H124" s="218" t="s">
        <v>295</v>
      </c>
      <c r="I124" s="174">
        <v>1</v>
      </c>
      <c r="J124" s="166"/>
    </row>
    <row r="125" spans="1:10" s="112" customFormat="1" ht="15.75" x14ac:dyDescent="0.25">
      <c r="A125" s="8" t="s">
        <v>282</v>
      </c>
      <c r="B125" s="8" t="s">
        <v>296</v>
      </c>
      <c r="C125" s="111">
        <v>1</v>
      </c>
      <c r="D125" s="126">
        <v>1</v>
      </c>
      <c r="E125" s="127">
        <v>11</v>
      </c>
      <c r="F125" s="127">
        <f t="shared" si="3"/>
        <v>11</v>
      </c>
      <c r="G125" s="122" t="s">
        <v>297</v>
      </c>
      <c r="H125" s="218" t="s">
        <v>295</v>
      </c>
      <c r="I125" s="174">
        <v>1</v>
      </c>
      <c r="J125" s="166"/>
    </row>
    <row r="126" spans="1:10" s="112" customFormat="1" ht="15.75" x14ac:dyDescent="0.25">
      <c r="A126" s="8" t="s">
        <v>282</v>
      </c>
      <c r="B126" s="8" t="s">
        <v>298</v>
      </c>
      <c r="C126" s="111">
        <v>1</v>
      </c>
      <c r="D126" s="126">
        <v>1</v>
      </c>
      <c r="E126" s="127">
        <v>9</v>
      </c>
      <c r="F126" s="127">
        <f t="shared" si="3"/>
        <v>9</v>
      </c>
      <c r="G126" s="122" t="s">
        <v>299</v>
      </c>
      <c r="H126" s="218" t="s">
        <v>295</v>
      </c>
      <c r="I126" s="174">
        <v>1</v>
      </c>
      <c r="J126" s="166"/>
    </row>
    <row r="127" spans="1:10" s="112" customFormat="1" ht="15.75" x14ac:dyDescent="0.25">
      <c r="A127" s="8" t="s">
        <v>282</v>
      </c>
      <c r="B127" s="8" t="s">
        <v>300</v>
      </c>
      <c r="C127" s="111">
        <v>4</v>
      </c>
      <c r="D127" s="126">
        <v>4</v>
      </c>
      <c r="E127" s="127">
        <v>15</v>
      </c>
      <c r="F127" s="127">
        <f t="shared" si="3"/>
        <v>60</v>
      </c>
      <c r="G127" s="122" t="s">
        <v>301</v>
      </c>
      <c r="H127" s="218" t="s">
        <v>295</v>
      </c>
      <c r="I127" s="174">
        <v>1</v>
      </c>
      <c r="J127" s="166"/>
    </row>
    <row r="128" spans="1:10" s="112" customFormat="1" ht="15.75" x14ac:dyDescent="0.25">
      <c r="A128" s="8" t="s">
        <v>282</v>
      </c>
      <c r="B128" s="8" t="s">
        <v>302</v>
      </c>
      <c r="C128" s="111">
        <v>4</v>
      </c>
      <c r="D128" s="126">
        <v>4</v>
      </c>
      <c r="E128" s="127">
        <v>16</v>
      </c>
      <c r="F128" s="127">
        <f t="shared" si="3"/>
        <v>64</v>
      </c>
      <c r="G128" s="122" t="s">
        <v>303</v>
      </c>
      <c r="H128" s="218" t="s">
        <v>295</v>
      </c>
      <c r="I128" s="174">
        <v>1</v>
      </c>
      <c r="J128" s="166"/>
    </row>
    <row r="129" spans="1:10" s="112" customFormat="1" ht="15.75" x14ac:dyDescent="0.25">
      <c r="A129" s="8" t="s">
        <v>282</v>
      </c>
      <c r="B129" s="8" t="s">
        <v>304</v>
      </c>
      <c r="C129" s="111">
        <v>4</v>
      </c>
      <c r="D129" s="126">
        <v>4</v>
      </c>
      <c r="E129" s="127">
        <v>40</v>
      </c>
      <c r="F129" s="127">
        <f t="shared" si="3"/>
        <v>160</v>
      </c>
      <c r="G129" s="122" t="s">
        <v>305</v>
      </c>
      <c r="H129" s="218" t="s">
        <v>295</v>
      </c>
      <c r="I129" s="174">
        <v>1</v>
      </c>
      <c r="J129" s="166"/>
    </row>
    <row r="130" spans="1:10" s="112" customFormat="1" ht="15.75" x14ac:dyDescent="0.25">
      <c r="A130" s="111" t="s">
        <v>282</v>
      </c>
      <c r="B130" s="8" t="s">
        <v>306</v>
      </c>
      <c r="C130" s="131">
        <v>34</v>
      </c>
      <c r="D130" s="126">
        <v>4</v>
      </c>
      <c r="E130" s="127">
        <v>5.49</v>
      </c>
      <c r="F130" s="127">
        <f t="shared" ref="F130:F148" si="4">D130*E130</f>
        <v>21.96</v>
      </c>
      <c r="G130" s="122" t="s">
        <v>307</v>
      </c>
      <c r="H130" s="218" t="s">
        <v>308</v>
      </c>
      <c r="I130" s="174">
        <v>10</v>
      </c>
      <c r="J130" s="166"/>
    </row>
    <row r="131" spans="1:10" s="112" customFormat="1" ht="15.75" x14ac:dyDescent="0.25">
      <c r="A131" s="8" t="s">
        <v>282</v>
      </c>
      <c r="B131" s="28" t="s">
        <v>309</v>
      </c>
      <c r="C131" s="43">
        <v>1</v>
      </c>
      <c r="D131" s="126">
        <v>1</v>
      </c>
      <c r="E131" s="154">
        <v>100</v>
      </c>
      <c r="F131" s="127">
        <f t="shared" si="4"/>
        <v>100</v>
      </c>
      <c r="G131" s="123" t="s">
        <v>310</v>
      </c>
      <c r="H131" s="218" t="s">
        <v>311</v>
      </c>
      <c r="I131" s="174">
        <v>1</v>
      </c>
      <c r="J131" s="166"/>
    </row>
    <row r="132" spans="1:10" s="112" customFormat="1" ht="15.75" x14ac:dyDescent="0.25">
      <c r="A132" s="8" t="s">
        <v>282</v>
      </c>
      <c r="B132" s="8" t="s">
        <v>312</v>
      </c>
      <c r="C132" s="131">
        <v>2</v>
      </c>
      <c r="D132" s="126">
        <v>1</v>
      </c>
      <c r="E132" s="127">
        <v>18</v>
      </c>
      <c r="F132" s="127">
        <f t="shared" si="4"/>
        <v>18</v>
      </c>
      <c r="G132" s="122" t="s">
        <v>313</v>
      </c>
      <c r="H132" s="218" t="s">
        <v>314</v>
      </c>
      <c r="I132" s="174">
        <v>2</v>
      </c>
      <c r="J132" s="166"/>
    </row>
    <row r="133" spans="1:10" s="112" customFormat="1" ht="15.75" x14ac:dyDescent="0.25">
      <c r="A133" s="8" t="s">
        <v>315</v>
      </c>
      <c r="B133" s="8" t="s">
        <v>316</v>
      </c>
      <c r="C133" s="125">
        <v>2</v>
      </c>
      <c r="D133" s="126">
        <v>1</v>
      </c>
      <c r="E133" s="127">
        <v>2.84</v>
      </c>
      <c r="F133" s="127">
        <f t="shared" si="4"/>
        <v>2.84</v>
      </c>
      <c r="G133" s="120" t="s">
        <v>317</v>
      </c>
      <c r="H133" s="179" t="s">
        <v>318</v>
      </c>
      <c r="I133" s="174">
        <v>30</v>
      </c>
      <c r="J133" s="167"/>
    </row>
    <row r="134" spans="1:10" s="112" customFormat="1" ht="15.75" x14ac:dyDescent="0.25">
      <c r="A134" s="8" t="s">
        <v>315</v>
      </c>
      <c r="B134" s="216" t="s">
        <v>319</v>
      </c>
      <c r="C134" s="125">
        <v>6</v>
      </c>
      <c r="D134" s="126">
        <v>1</v>
      </c>
      <c r="E134" s="127">
        <v>14</v>
      </c>
      <c r="F134" s="127">
        <f t="shared" si="4"/>
        <v>14</v>
      </c>
      <c r="G134" s="122" t="s">
        <v>320</v>
      </c>
      <c r="H134" s="218" t="s">
        <v>321</v>
      </c>
      <c r="I134" s="174">
        <v>40</v>
      </c>
      <c r="J134" s="167"/>
    </row>
    <row r="135" spans="1:10" s="112" customFormat="1" ht="15.75" x14ac:dyDescent="0.25">
      <c r="A135" s="111" t="s">
        <v>315</v>
      </c>
      <c r="B135" s="216" t="s">
        <v>322</v>
      </c>
      <c r="C135" s="125">
        <v>6</v>
      </c>
      <c r="D135" s="126">
        <v>1</v>
      </c>
      <c r="E135" s="127">
        <v>11.78</v>
      </c>
      <c r="F135" s="127">
        <f t="shared" si="4"/>
        <v>11.78</v>
      </c>
      <c r="G135" s="122" t="s">
        <v>323</v>
      </c>
      <c r="H135" s="218" t="s">
        <v>321</v>
      </c>
      <c r="I135" s="174">
        <v>20</v>
      </c>
      <c r="J135" s="167"/>
    </row>
    <row r="136" spans="1:10" s="112" customFormat="1" ht="15.75" x14ac:dyDescent="0.25">
      <c r="A136" s="8" t="s">
        <v>315</v>
      </c>
      <c r="B136" s="216" t="s">
        <v>324</v>
      </c>
      <c r="C136" s="125">
        <v>4</v>
      </c>
      <c r="D136" s="126">
        <v>1</v>
      </c>
      <c r="E136" s="127">
        <v>10.08</v>
      </c>
      <c r="F136" s="127">
        <f t="shared" si="4"/>
        <v>10.08</v>
      </c>
      <c r="G136" s="122" t="s">
        <v>325</v>
      </c>
      <c r="H136" s="218" t="s">
        <v>321</v>
      </c>
      <c r="I136" s="174">
        <v>20</v>
      </c>
      <c r="J136" s="167"/>
    </row>
    <row r="137" spans="1:10" s="112" customFormat="1" ht="15.75" x14ac:dyDescent="0.25">
      <c r="A137" s="8" t="s">
        <v>315</v>
      </c>
      <c r="B137" s="216" t="s">
        <v>326</v>
      </c>
      <c r="C137" s="125">
        <v>8</v>
      </c>
      <c r="D137" s="126">
        <v>1</v>
      </c>
      <c r="E137" s="127">
        <v>12.42</v>
      </c>
      <c r="F137" s="127">
        <f t="shared" si="4"/>
        <v>12.42</v>
      </c>
      <c r="G137" s="122" t="s">
        <v>327</v>
      </c>
      <c r="H137" s="218" t="s">
        <v>321</v>
      </c>
      <c r="I137" s="174">
        <v>20</v>
      </c>
      <c r="J137" s="167"/>
    </row>
    <row r="138" spans="1:10" s="112" customFormat="1" ht="15.75" x14ac:dyDescent="0.25">
      <c r="A138" s="8" t="s">
        <v>315</v>
      </c>
      <c r="B138" s="8" t="s">
        <v>328</v>
      </c>
      <c r="C138" s="125">
        <v>1</v>
      </c>
      <c r="D138" s="126">
        <v>1</v>
      </c>
      <c r="E138" s="127">
        <v>5.92</v>
      </c>
      <c r="F138" s="127">
        <f t="shared" si="4"/>
        <v>5.92</v>
      </c>
      <c r="G138" s="122" t="s">
        <v>329</v>
      </c>
      <c r="H138" s="218" t="s">
        <v>330</v>
      </c>
      <c r="I138" s="174">
        <v>1</v>
      </c>
      <c r="J138" s="167"/>
    </row>
    <row r="139" spans="1:10" s="112" customFormat="1" ht="15.75" x14ac:dyDescent="0.25">
      <c r="A139" s="8" t="s">
        <v>331</v>
      </c>
      <c r="B139" s="8" t="s">
        <v>332</v>
      </c>
      <c r="C139" s="125">
        <v>2</v>
      </c>
      <c r="D139" s="126">
        <v>1</v>
      </c>
      <c r="E139" s="127">
        <v>12.84</v>
      </c>
      <c r="F139" s="127">
        <f t="shared" si="4"/>
        <v>12.84</v>
      </c>
      <c r="G139" s="122" t="s">
        <v>333</v>
      </c>
      <c r="H139" s="188" t="s">
        <v>334</v>
      </c>
      <c r="I139" s="174">
        <v>10</v>
      </c>
      <c r="J139" s="170"/>
    </row>
    <row r="140" spans="1:10" s="112" customFormat="1" ht="15.75" x14ac:dyDescent="0.25">
      <c r="A140" s="8" t="s">
        <v>335</v>
      </c>
      <c r="B140" s="217" t="s">
        <v>336</v>
      </c>
      <c r="C140" s="131">
        <v>1</v>
      </c>
      <c r="D140" s="126">
        <v>1</v>
      </c>
      <c r="E140" s="127">
        <v>35.42</v>
      </c>
      <c r="F140" s="127">
        <f t="shared" si="4"/>
        <v>35.42</v>
      </c>
      <c r="G140" s="122" t="s">
        <v>337</v>
      </c>
      <c r="H140" s="218" t="s">
        <v>338</v>
      </c>
      <c r="I140" s="174">
        <v>1</v>
      </c>
      <c r="J140" s="166"/>
    </row>
    <row r="141" spans="1:10" s="112" customFormat="1" ht="15.75" x14ac:dyDescent="0.25">
      <c r="A141" s="8" t="s">
        <v>335</v>
      </c>
      <c r="B141" s="217" t="s">
        <v>339</v>
      </c>
      <c r="C141" s="43">
        <v>1</v>
      </c>
      <c r="D141" s="126">
        <v>1</v>
      </c>
      <c r="E141" s="127">
        <v>3.95</v>
      </c>
      <c r="F141" s="127">
        <f t="shared" si="4"/>
        <v>3.95</v>
      </c>
      <c r="G141" s="122" t="s">
        <v>340</v>
      </c>
      <c r="H141" s="218" t="s">
        <v>341</v>
      </c>
      <c r="I141" s="175">
        <v>1</v>
      </c>
      <c r="J141" s="166"/>
    </row>
    <row r="142" spans="1:10" s="112" customFormat="1" ht="15.75" x14ac:dyDescent="0.25">
      <c r="A142" s="8" t="s">
        <v>335</v>
      </c>
      <c r="B142" s="1" t="s">
        <v>342</v>
      </c>
      <c r="C142" s="131">
        <v>1</v>
      </c>
      <c r="D142" s="126">
        <v>1</v>
      </c>
      <c r="E142" s="127">
        <v>10</v>
      </c>
      <c r="F142" s="127">
        <f t="shared" si="4"/>
        <v>10</v>
      </c>
      <c r="G142" s="122" t="s">
        <v>343</v>
      </c>
      <c r="H142" s="184" t="s">
        <v>344</v>
      </c>
      <c r="I142" s="174">
        <v>5</v>
      </c>
      <c r="J142" s="166"/>
    </row>
    <row r="143" spans="1:10" s="112" customFormat="1" ht="15.75" x14ac:dyDescent="0.25">
      <c r="A143" s="8" t="s">
        <v>335</v>
      </c>
      <c r="B143" s="1" t="s">
        <v>345</v>
      </c>
      <c r="C143" s="9">
        <v>1</v>
      </c>
      <c r="D143" s="9">
        <v>1</v>
      </c>
      <c r="E143" s="127">
        <v>18</v>
      </c>
      <c r="F143" s="127">
        <f t="shared" si="4"/>
        <v>18</v>
      </c>
      <c r="G143" s="122" t="s">
        <v>346</v>
      </c>
      <c r="H143" s="218" t="s">
        <v>30</v>
      </c>
      <c r="I143" s="174">
        <v>1</v>
      </c>
      <c r="J143" s="166"/>
    </row>
    <row r="144" spans="1:10" s="112" customFormat="1" ht="15.75" x14ac:dyDescent="0.25">
      <c r="A144" s="8" t="s">
        <v>335</v>
      </c>
      <c r="B144" s="52" t="s">
        <v>347</v>
      </c>
      <c r="C144" s="131">
        <v>1</v>
      </c>
      <c r="D144" s="126">
        <v>1</v>
      </c>
      <c r="E144" s="127">
        <v>1.48</v>
      </c>
      <c r="F144" s="127">
        <f t="shared" si="4"/>
        <v>1.48</v>
      </c>
      <c r="G144" s="122" t="s">
        <v>348</v>
      </c>
      <c r="H144" s="218" t="s">
        <v>30</v>
      </c>
      <c r="I144" s="174">
        <v>1</v>
      </c>
      <c r="J144" s="166"/>
    </row>
    <row r="145" spans="1:10" s="112" customFormat="1" ht="15.75" x14ac:dyDescent="0.25">
      <c r="A145" s="8" t="s">
        <v>335</v>
      </c>
      <c r="B145" s="53" t="s">
        <v>349</v>
      </c>
      <c r="C145" s="131">
        <v>1</v>
      </c>
      <c r="D145" s="126">
        <v>1</v>
      </c>
      <c r="E145" s="127">
        <v>2.17</v>
      </c>
      <c r="F145" s="127">
        <f t="shared" si="4"/>
        <v>2.17</v>
      </c>
      <c r="G145" s="122" t="s">
        <v>350</v>
      </c>
      <c r="H145" s="218" t="s">
        <v>30</v>
      </c>
      <c r="I145" s="174">
        <v>1</v>
      </c>
      <c r="J145" s="166"/>
    </row>
    <row r="146" spans="1:10" s="112" customFormat="1" ht="15.75" x14ac:dyDescent="0.25">
      <c r="A146" s="8" t="s">
        <v>335</v>
      </c>
      <c r="B146" s="8" t="s">
        <v>351</v>
      </c>
      <c r="C146" s="131">
        <v>1</v>
      </c>
      <c r="D146" s="126">
        <v>1</v>
      </c>
      <c r="E146" s="127">
        <v>10.62</v>
      </c>
      <c r="F146" s="127">
        <f t="shared" si="4"/>
        <v>10.62</v>
      </c>
      <c r="G146" s="122" t="s">
        <v>352</v>
      </c>
      <c r="H146" s="186" t="s">
        <v>30</v>
      </c>
      <c r="I146" s="174">
        <v>1</v>
      </c>
      <c r="J146" s="166"/>
    </row>
    <row r="147" spans="1:10" s="112" customFormat="1" ht="15.75" x14ac:dyDescent="0.25">
      <c r="A147" s="8" t="s">
        <v>335</v>
      </c>
      <c r="B147" s="8" t="s">
        <v>353</v>
      </c>
      <c r="C147" s="131">
        <v>1</v>
      </c>
      <c r="D147" s="126">
        <v>1</v>
      </c>
      <c r="E147" s="127">
        <v>48</v>
      </c>
      <c r="F147" s="127">
        <f t="shared" si="4"/>
        <v>48</v>
      </c>
      <c r="G147" s="122" t="s">
        <v>354</v>
      </c>
      <c r="H147" s="218" t="s">
        <v>355</v>
      </c>
      <c r="I147" s="174">
        <v>1</v>
      </c>
      <c r="J147" s="166"/>
    </row>
    <row r="148" spans="1:10" ht="15.75" thickBot="1" x14ac:dyDescent="0.3">
      <c r="A148" s="163" t="s">
        <v>335</v>
      </c>
      <c r="B148" s="153" t="s">
        <v>356</v>
      </c>
      <c r="C148" s="163">
        <v>1</v>
      </c>
      <c r="D148" s="164">
        <v>1</v>
      </c>
      <c r="E148" s="165">
        <v>68</v>
      </c>
      <c r="F148" s="165">
        <f t="shared" si="4"/>
        <v>68</v>
      </c>
      <c r="G148" t="s">
        <v>357</v>
      </c>
      <c r="H148" s="189"/>
      <c r="I148" s="177">
        <v>1</v>
      </c>
      <c r="J148" s="172"/>
    </row>
    <row r="149" spans="1:10" ht="16.5" thickBot="1" x14ac:dyDescent="0.3">
      <c r="A149" s="156"/>
      <c r="B149" s="157" t="s">
        <v>358</v>
      </c>
      <c r="C149" s="157"/>
      <c r="D149" s="157"/>
      <c r="E149" s="158"/>
      <c r="F149" s="159">
        <f>SUBTOTAL(109,Table1321[*Cost Price $USD])</f>
        <v>2343.4900000000002</v>
      </c>
      <c r="G149" s="160" t="s">
        <v>359</v>
      </c>
      <c r="H149" s="124"/>
      <c r="I149" s="113"/>
      <c r="J149" s="155"/>
    </row>
    <row r="150" spans="1:10" x14ac:dyDescent="0.25">
      <c r="F150" s="8"/>
      <c r="J150" s="229"/>
    </row>
    <row r="151" spans="1:10" x14ac:dyDescent="0.25">
      <c r="J151" s="229"/>
    </row>
    <row r="152" spans="1:10" x14ac:dyDescent="0.25">
      <c r="J152" s="229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 x14ac:dyDescent="0.25"/>
  <cols>
    <col min="1" max="1" width="15.5703125" style="2" customWidth="1"/>
    <col min="2" max="2" width="26.85546875" style="7" customWidth="1"/>
    <col min="3" max="3" width="15.7109375" style="7" customWidth="1"/>
    <col min="4" max="4" width="8" bestFit="1" customWidth="1"/>
    <col min="5" max="5" width="6.85546875" style="7" bestFit="1" customWidth="1"/>
    <col min="6" max="6" width="16.85546875" style="2" bestFit="1" customWidth="1"/>
    <col min="7" max="7" width="11" style="7"/>
    <col min="8" max="8" width="29.7109375" style="7" bestFit="1" customWidth="1"/>
    <col min="9" max="16384" width="11" style="7"/>
  </cols>
  <sheetData>
    <row r="1" spans="1:10" s="2" customFormat="1" x14ac:dyDescent="0.25">
      <c r="A1" s="36"/>
      <c r="B1" s="12" t="s">
        <v>360</v>
      </c>
      <c r="C1" s="230" t="s">
        <v>361</v>
      </c>
      <c r="D1" s="251" t="s">
        <v>1183</v>
      </c>
      <c r="E1" s="251" t="s">
        <v>1184</v>
      </c>
      <c r="F1" s="54"/>
    </row>
    <row r="2" spans="1:10" x14ac:dyDescent="0.25">
      <c r="A2" s="37" t="s">
        <v>363</v>
      </c>
      <c r="B2" s="13" t="s">
        <v>364</v>
      </c>
      <c r="C2" s="1" t="s">
        <v>365</v>
      </c>
      <c r="D2" s="231">
        <v>420</v>
      </c>
      <c r="E2" s="1">
        <v>1</v>
      </c>
      <c r="F2" s="55" t="s">
        <v>366</v>
      </c>
      <c r="G2" s="232"/>
      <c r="H2" s="232"/>
      <c r="I2" s="232"/>
      <c r="J2" s="232"/>
    </row>
    <row r="3" spans="1:10" x14ac:dyDescent="0.25">
      <c r="A3" s="34" t="s">
        <v>367</v>
      </c>
      <c r="B3" s="13" t="s">
        <v>364</v>
      </c>
      <c r="C3" s="1" t="s">
        <v>368</v>
      </c>
      <c r="D3" s="231">
        <v>368</v>
      </c>
      <c r="E3" s="1">
        <v>1</v>
      </c>
      <c r="F3" s="233" t="s">
        <v>369</v>
      </c>
      <c r="G3" s="232"/>
      <c r="H3" s="232"/>
      <c r="I3" s="232"/>
      <c r="J3" s="232"/>
    </row>
    <row r="4" spans="1:10" x14ac:dyDescent="0.25">
      <c r="A4" s="34" t="s">
        <v>370</v>
      </c>
      <c r="B4" s="13" t="s">
        <v>364</v>
      </c>
      <c r="C4" s="1" t="s">
        <v>371</v>
      </c>
      <c r="D4" s="231">
        <v>172</v>
      </c>
      <c r="E4" s="1">
        <v>1</v>
      </c>
      <c r="F4" s="233" t="s">
        <v>372</v>
      </c>
      <c r="G4" s="232"/>
      <c r="H4" s="232"/>
      <c r="I4" s="232"/>
      <c r="J4" s="232"/>
    </row>
    <row r="5" spans="1:10" x14ac:dyDescent="0.25">
      <c r="A5" s="34" t="s">
        <v>373</v>
      </c>
      <c r="B5" s="13" t="s">
        <v>374</v>
      </c>
      <c r="C5" s="1" t="s">
        <v>375</v>
      </c>
      <c r="D5" s="231">
        <v>420</v>
      </c>
      <c r="E5" s="1">
        <v>4</v>
      </c>
      <c r="F5" s="233"/>
      <c r="G5" s="232"/>
      <c r="H5" s="232"/>
      <c r="I5" s="232"/>
      <c r="J5" s="232"/>
    </row>
    <row r="6" spans="1:10" x14ac:dyDescent="0.25">
      <c r="A6" s="18"/>
      <c r="B6" s="13" t="s">
        <v>374</v>
      </c>
      <c r="C6" s="1" t="s">
        <v>377</v>
      </c>
      <c r="D6" s="231">
        <v>480</v>
      </c>
      <c r="E6" s="1">
        <v>4</v>
      </c>
      <c r="F6" s="56"/>
      <c r="G6" s="232"/>
      <c r="H6" s="232"/>
      <c r="I6" s="232"/>
      <c r="J6" s="232"/>
    </row>
    <row r="7" spans="1:10" x14ac:dyDescent="0.25">
      <c r="A7" s="18"/>
      <c r="B7" s="13" t="s">
        <v>374</v>
      </c>
      <c r="C7" s="1" t="s">
        <v>378</v>
      </c>
      <c r="D7" s="231">
        <v>750</v>
      </c>
      <c r="E7" s="1">
        <v>4</v>
      </c>
      <c r="F7" s="56"/>
      <c r="G7" s="232"/>
      <c r="H7" s="232"/>
      <c r="I7" s="232"/>
      <c r="J7" s="232"/>
    </row>
    <row r="8" spans="1:10" x14ac:dyDescent="0.25">
      <c r="A8" s="18"/>
      <c r="B8" s="13" t="s">
        <v>379</v>
      </c>
      <c r="C8" s="1" t="s">
        <v>380</v>
      </c>
      <c r="D8" s="231"/>
      <c r="E8" s="1">
        <v>34</v>
      </c>
      <c r="F8" s="56"/>
      <c r="G8" s="232"/>
      <c r="H8" s="232"/>
      <c r="I8" s="232"/>
      <c r="J8" s="232"/>
    </row>
    <row r="9" spans="1:10" x14ac:dyDescent="0.25">
      <c r="A9" s="18"/>
      <c r="B9" s="13" t="s">
        <v>381</v>
      </c>
      <c r="C9" s="1" t="s">
        <v>382</v>
      </c>
      <c r="D9" s="231"/>
      <c r="E9" s="1">
        <v>2</v>
      </c>
      <c r="F9" s="56"/>
      <c r="G9" s="232"/>
      <c r="H9" s="232"/>
      <c r="I9" s="232"/>
      <c r="J9" s="232"/>
    </row>
    <row r="10" spans="1:10" x14ac:dyDescent="0.25">
      <c r="A10" s="18"/>
      <c r="B10" s="13" t="s">
        <v>383</v>
      </c>
      <c r="C10" s="220" t="s">
        <v>161</v>
      </c>
      <c r="D10" s="231"/>
      <c r="E10" s="1">
        <v>79</v>
      </c>
      <c r="F10" s="56"/>
      <c r="G10" s="232"/>
      <c r="H10" s="232"/>
      <c r="I10" s="232"/>
      <c r="J10" s="232"/>
    </row>
    <row r="11" spans="1:10" x14ac:dyDescent="0.25">
      <c r="A11" s="18"/>
      <c r="B11" s="13" t="s">
        <v>207</v>
      </c>
      <c r="C11" s="220" t="s">
        <v>161</v>
      </c>
      <c r="D11" s="231"/>
      <c r="E11" s="1">
        <v>8</v>
      </c>
      <c r="F11" s="60"/>
      <c r="G11" s="232"/>
      <c r="H11" s="232"/>
      <c r="I11" s="232"/>
      <c r="J11" s="232"/>
    </row>
    <row r="12" spans="1:10" x14ac:dyDescent="0.25">
      <c r="A12" s="34" t="s">
        <v>384</v>
      </c>
      <c r="B12" s="13" t="s">
        <v>385</v>
      </c>
      <c r="C12" s="220" t="s">
        <v>161</v>
      </c>
      <c r="D12" s="231"/>
      <c r="E12" s="1">
        <v>78</v>
      </c>
      <c r="F12" s="63"/>
      <c r="G12" s="232"/>
      <c r="H12" s="232"/>
      <c r="I12" s="232"/>
      <c r="J12" s="232"/>
    </row>
    <row r="13" spans="1:10" x14ac:dyDescent="0.25">
      <c r="A13" s="18"/>
      <c r="B13" s="13" t="s">
        <v>211</v>
      </c>
      <c r="C13" s="220" t="s">
        <v>161</v>
      </c>
      <c r="D13" s="231"/>
      <c r="E13" s="1">
        <v>81</v>
      </c>
      <c r="F13" s="61"/>
      <c r="G13" s="232"/>
      <c r="H13" s="232"/>
      <c r="I13" s="232"/>
      <c r="J13" s="232"/>
    </row>
    <row r="14" spans="1:10" x14ac:dyDescent="0.25">
      <c r="A14" s="18"/>
      <c r="B14" s="13" t="s">
        <v>213</v>
      </c>
      <c r="C14" s="220" t="s">
        <v>161</v>
      </c>
      <c r="D14" s="231"/>
      <c r="E14" s="1">
        <v>4</v>
      </c>
      <c r="F14" s="60"/>
      <c r="G14" s="232"/>
      <c r="H14" s="232"/>
      <c r="I14" s="232"/>
      <c r="J14" s="232"/>
    </row>
    <row r="15" spans="1:10" x14ac:dyDescent="0.25">
      <c r="A15" s="18"/>
      <c r="B15" s="13" t="s">
        <v>221</v>
      </c>
      <c r="C15" s="220" t="s">
        <v>161</v>
      </c>
      <c r="D15" s="231"/>
      <c r="E15" s="1">
        <v>26</v>
      </c>
      <c r="F15" s="61"/>
      <c r="G15" s="232"/>
      <c r="H15" s="232"/>
      <c r="I15" s="232"/>
      <c r="J15" s="232"/>
    </row>
    <row r="16" spans="1:10" x14ac:dyDescent="0.25">
      <c r="A16" s="250" t="s">
        <v>386</v>
      </c>
      <c r="B16" s="13" t="s">
        <v>387</v>
      </c>
      <c r="C16" s="59" t="s">
        <v>388</v>
      </c>
      <c r="D16" s="231"/>
      <c r="E16" s="1">
        <v>1</v>
      </c>
      <c r="F16" s="57"/>
      <c r="G16" s="232"/>
      <c r="H16" s="232"/>
      <c r="I16" s="232"/>
      <c r="J16" s="232"/>
    </row>
    <row r="17" spans="1:7" x14ac:dyDescent="0.25">
      <c r="A17" s="18"/>
      <c r="B17" s="13" t="s">
        <v>389</v>
      </c>
      <c r="C17" s="58" t="s">
        <v>390</v>
      </c>
      <c r="D17" s="231"/>
      <c r="E17" s="1">
        <v>4</v>
      </c>
      <c r="F17" s="60"/>
      <c r="G17" s="232"/>
    </row>
    <row r="18" spans="1:7" x14ac:dyDescent="0.25">
      <c r="A18" s="18"/>
      <c r="B18" s="13" t="s">
        <v>391</v>
      </c>
      <c r="C18" s="1" t="s">
        <v>388</v>
      </c>
      <c r="D18" s="231"/>
      <c r="E18" s="1">
        <v>4</v>
      </c>
      <c r="F18" s="60"/>
      <c r="G18" s="232"/>
    </row>
    <row r="19" spans="1:7" x14ac:dyDescent="0.25">
      <c r="A19" s="44"/>
      <c r="B19" s="26" t="s">
        <v>392</v>
      </c>
      <c r="C19" s="1" t="s">
        <v>388</v>
      </c>
      <c r="D19" s="234"/>
      <c r="E19" s="27">
        <v>4</v>
      </c>
      <c r="F19" s="62"/>
      <c r="G19" s="232"/>
    </row>
    <row r="20" spans="1:7" x14ac:dyDescent="0.25">
      <c r="B20" s="232"/>
      <c r="C20" s="232"/>
      <c r="E20" s="232"/>
      <c r="G20" s="23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 x14ac:dyDescent="0.25">
      <c r="A1" s="66"/>
      <c r="B1" s="67" t="s">
        <v>360</v>
      </c>
      <c r="C1" s="235" t="s">
        <v>361</v>
      </c>
      <c r="D1" s="235" t="s">
        <v>362</v>
      </c>
      <c r="E1" s="68"/>
      <c r="G1"/>
      <c r="H1"/>
    </row>
    <row r="2" spans="1:8" x14ac:dyDescent="0.25">
      <c r="A2" s="69" t="s">
        <v>363</v>
      </c>
      <c r="B2" s="220" t="s">
        <v>11</v>
      </c>
      <c r="C2" s="21"/>
      <c r="D2" s="9">
        <v>2</v>
      </c>
      <c r="E2" s="70" t="s">
        <v>366</v>
      </c>
      <c r="G2"/>
      <c r="H2"/>
    </row>
    <row r="3" spans="1:8" x14ac:dyDescent="0.25">
      <c r="A3" s="71" t="s">
        <v>367</v>
      </c>
      <c r="B3" t="s">
        <v>393</v>
      </c>
      <c r="C3" s="21"/>
      <c r="D3" s="9">
        <v>1</v>
      </c>
      <c r="E3" s="236" t="s">
        <v>369</v>
      </c>
      <c r="G3"/>
      <c r="H3"/>
    </row>
    <row r="4" spans="1:8" x14ac:dyDescent="0.25">
      <c r="A4" s="71" t="s">
        <v>370</v>
      </c>
      <c r="B4" s="220" t="s">
        <v>226</v>
      </c>
      <c r="C4" s="21"/>
      <c r="D4" s="9">
        <v>36</v>
      </c>
      <c r="E4" s="236" t="s">
        <v>372</v>
      </c>
      <c r="G4"/>
      <c r="H4"/>
    </row>
    <row r="5" spans="1:8" x14ac:dyDescent="0.25">
      <c r="A5" s="71" t="s">
        <v>373</v>
      </c>
      <c r="B5" s="220" t="s">
        <v>14</v>
      </c>
      <c r="C5" s="21"/>
      <c r="D5" s="9">
        <v>24</v>
      </c>
      <c r="E5" s="236" t="s">
        <v>376</v>
      </c>
      <c r="G5"/>
      <c r="H5"/>
    </row>
    <row r="6" spans="1:8" x14ac:dyDescent="0.25">
      <c r="A6" s="72"/>
      <c r="B6" s="220" t="s">
        <v>324</v>
      </c>
      <c r="C6" s="21"/>
      <c r="D6" s="9">
        <v>4</v>
      </c>
      <c r="E6" s="73"/>
      <c r="G6" s="1"/>
      <c r="H6"/>
    </row>
    <row r="7" spans="1:8" x14ac:dyDescent="0.25">
      <c r="A7" s="72"/>
      <c r="B7" s="220" t="s">
        <v>326</v>
      </c>
      <c r="C7" s="21"/>
      <c r="D7" s="9">
        <v>8</v>
      </c>
      <c r="E7" s="73"/>
      <c r="G7" s="1"/>
      <c r="H7"/>
    </row>
    <row r="8" spans="1:8" x14ac:dyDescent="0.25">
      <c r="A8" s="72"/>
      <c r="B8" s="220" t="s">
        <v>394</v>
      </c>
      <c r="C8" s="21"/>
      <c r="D8" s="9">
        <v>1</v>
      </c>
      <c r="E8" s="73"/>
      <c r="G8"/>
      <c r="H8"/>
    </row>
    <row r="9" spans="1:8" x14ac:dyDescent="0.25">
      <c r="A9" s="72"/>
      <c r="B9" t="s">
        <v>395</v>
      </c>
      <c r="C9" s="21"/>
      <c r="D9" s="9">
        <v>1</v>
      </c>
      <c r="E9" s="73"/>
      <c r="G9"/>
      <c r="H9"/>
    </row>
    <row r="10" spans="1:8" x14ac:dyDescent="0.25">
      <c r="A10" s="72"/>
      <c r="B10" s="1" t="s">
        <v>396</v>
      </c>
      <c r="C10"/>
      <c r="D10" s="9">
        <v>2</v>
      </c>
      <c r="E10" s="73"/>
      <c r="G10"/>
      <c r="H10"/>
    </row>
    <row r="11" spans="1:8" x14ac:dyDescent="0.25">
      <c r="A11" s="72"/>
      <c r="B11" s="1" t="s">
        <v>397</v>
      </c>
      <c r="C11" s="1"/>
      <c r="D11" s="9">
        <v>5</v>
      </c>
      <c r="E11" s="73"/>
      <c r="G11" s="1"/>
      <c r="H11"/>
    </row>
    <row r="12" spans="1:8" x14ac:dyDescent="0.25">
      <c r="A12" s="71" t="s">
        <v>384</v>
      </c>
      <c r="B12" s="2" t="s">
        <v>398</v>
      </c>
      <c r="C12" s="21"/>
      <c r="D12" s="9">
        <v>52</v>
      </c>
      <c r="E12" s="74" t="s">
        <v>386</v>
      </c>
      <c r="G12"/>
      <c r="H12"/>
    </row>
    <row r="13" spans="1:8" x14ac:dyDescent="0.25">
      <c r="A13" s="72"/>
      <c r="B13" s="220" t="s">
        <v>399</v>
      </c>
      <c r="C13" s="21"/>
      <c r="D13" s="9">
        <v>8</v>
      </c>
      <c r="E13" s="74" t="s">
        <v>400</v>
      </c>
      <c r="G13"/>
      <c r="H13"/>
    </row>
    <row r="14" spans="1:8" x14ac:dyDescent="0.25">
      <c r="A14" s="72"/>
      <c r="B14" s="220" t="s">
        <v>401</v>
      </c>
      <c r="C14" s="21"/>
      <c r="D14" s="9">
        <v>12</v>
      </c>
      <c r="E14" s="73"/>
      <c r="G14"/>
      <c r="H14"/>
    </row>
    <row r="15" spans="1:8" x14ac:dyDescent="0.25">
      <c r="A15" s="72"/>
      <c r="B15" s="2" t="s">
        <v>177</v>
      </c>
      <c r="C15" s="21"/>
      <c r="D15" s="9">
        <v>8</v>
      </c>
      <c r="E15" s="73"/>
      <c r="G15"/>
      <c r="H15"/>
    </row>
    <row r="16" spans="1:8" x14ac:dyDescent="0.25">
      <c r="A16" s="72"/>
      <c r="B16" s="2" t="s">
        <v>402</v>
      </c>
      <c r="C16" s="21"/>
      <c r="D16" s="9">
        <v>52</v>
      </c>
      <c r="E16" s="73"/>
      <c r="G16"/>
      <c r="H16"/>
    </row>
    <row r="17" spans="1:8" x14ac:dyDescent="0.25">
      <c r="A17" s="72"/>
      <c r="B17" s="2" t="s">
        <v>403</v>
      </c>
      <c r="C17" s="21"/>
      <c r="D17" s="9">
        <v>12</v>
      </c>
      <c r="E17" s="73"/>
      <c r="G17"/>
      <c r="H17"/>
    </row>
    <row r="18" spans="1:8" x14ac:dyDescent="0.25">
      <c r="A18" s="72"/>
      <c r="B18" t="s">
        <v>404</v>
      </c>
      <c r="C18" s="21"/>
      <c r="D18" s="9">
        <v>4</v>
      </c>
      <c r="E18" s="73"/>
      <c r="G18"/>
      <c r="H18"/>
    </row>
    <row r="19" spans="1:8" x14ac:dyDescent="0.25">
      <c r="A19" s="72"/>
      <c r="B19" s="2" t="s">
        <v>405</v>
      </c>
      <c r="C19" s="21"/>
      <c r="D19" s="9">
        <v>2</v>
      </c>
      <c r="E19" s="73"/>
      <c r="G19"/>
      <c r="H19"/>
    </row>
    <row r="20" spans="1:8" x14ac:dyDescent="0.25">
      <c r="A20" s="72"/>
      <c r="B20" s="2" t="s">
        <v>406</v>
      </c>
      <c r="C20" s="21"/>
      <c r="D20" s="9">
        <v>11</v>
      </c>
      <c r="E20" s="73"/>
      <c r="G20"/>
      <c r="H20"/>
    </row>
    <row r="21" spans="1:8" x14ac:dyDescent="0.25">
      <c r="A21" s="72"/>
      <c r="B21" s="2" t="s">
        <v>383</v>
      </c>
      <c r="C21" s="21"/>
      <c r="D21" s="9">
        <v>23</v>
      </c>
      <c r="E21" s="73"/>
      <c r="G21"/>
      <c r="H21"/>
    </row>
    <row r="22" spans="1:8" x14ac:dyDescent="0.25">
      <c r="A22" s="72"/>
      <c r="B22" s="2" t="s">
        <v>385</v>
      </c>
      <c r="C22" s="21"/>
      <c r="D22" s="9">
        <v>6</v>
      </c>
      <c r="E22" s="73"/>
      <c r="G22"/>
      <c r="H22"/>
    </row>
    <row r="23" spans="1:8" x14ac:dyDescent="0.25">
      <c r="A23" s="72"/>
      <c r="B23" s="2" t="s">
        <v>211</v>
      </c>
      <c r="C23" s="21"/>
      <c r="D23" s="9">
        <v>31</v>
      </c>
      <c r="E23" s="73"/>
      <c r="G23"/>
      <c r="H23"/>
    </row>
    <row r="24" spans="1:8" x14ac:dyDescent="0.25">
      <c r="A24" s="72"/>
      <c r="B24" s="2" t="s">
        <v>407</v>
      </c>
      <c r="C24" s="21"/>
      <c r="D24" s="9">
        <v>5</v>
      </c>
      <c r="E24" s="73"/>
      <c r="G24"/>
      <c r="H24"/>
    </row>
    <row r="25" spans="1:8" x14ac:dyDescent="0.25">
      <c r="A25" s="72"/>
      <c r="B25" s="2" t="s">
        <v>408</v>
      </c>
      <c r="C25" s="21"/>
      <c r="D25" s="9">
        <v>2</v>
      </c>
      <c r="E25" s="73"/>
      <c r="G25"/>
      <c r="H25"/>
    </row>
    <row r="26" spans="1:8" x14ac:dyDescent="0.25">
      <c r="A26" s="72"/>
      <c r="B26" s="220" t="s">
        <v>409</v>
      </c>
      <c r="C26" s="65" t="s">
        <v>410</v>
      </c>
      <c r="D26" s="9">
        <v>2</v>
      </c>
      <c r="E26" s="74"/>
      <c r="G26"/>
      <c r="H26"/>
    </row>
    <row r="27" spans="1:8" x14ac:dyDescent="0.25">
      <c r="A27" s="72"/>
      <c r="B27" s="220" t="s">
        <v>411</v>
      </c>
      <c r="C27" s="65" t="s">
        <v>412</v>
      </c>
      <c r="D27" s="9">
        <v>1</v>
      </c>
      <c r="E27" s="73"/>
      <c r="G27"/>
      <c r="H27"/>
    </row>
    <row r="28" spans="1:8" x14ac:dyDescent="0.25">
      <c r="A28" s="72"/>
      <c r="B28" s="220" t="s">
        <v>413</v>
      </c>
      <c r="C28" s="21"/>
      <c r="D28" s="9">
        <v>2</v>
      </c>
      <c r="E28" s="73"/>
      <c r="G28"/>
      <c r="H28"/>
    </row>
    <row r="29" spans="1:8" x14ac:dyDescent="0.25">
      <c r="A29" s="72"/>
      <c r="B29" s="24" t="s">
        <v>414</v>
      </c>
      <c r="C29" s="58" t="s">
        <v>386</v>
      </c>
      <c r="D29" s="9">
        <v>1</v>
      </c>
      <c r="E29" s="73"/>
      <c r="F29" s="220"/>
      <c r="G29"/>
      <c r="H29"/>
    </row>
    <row r="30" spans="1:8" x14ac:dyDescent="0.25">
      <c r="A30" s="72"/>
      <c r="B30" s="24" t="s">
        <v>415</v>
      </c>
      <c r="C30" s="220" t="s">
        <v>388</v>
      </c>
      <c r="D30" s="9">
        <v>4</v>
      </c>
      <c r="E30" s="73"/>
      <c r="F30" s="220"/>
      <c r="G30"/>
      <c r="H30"/>
    </row>
    <row r="31" spans="1:8" x14ac:dyDescent="0.25">
      <c r="A31" s="72"/>
      <c r="B31" t="s">
        <v>416</v>
      </c>
      <c r="C31" s="220" t="s">
        <v>388</v>
      </c>
      <c r="D31" s="9">
        <v>2</v>
      </c>
      <c r="E31" s="73"/>
      <c r="F31" s="220"/>
      <c r="G31" s="220"/>
      <c r="H31"/>
    </row>
    <row r="32" spans="1:8" x14ac:dyDescent="0.25">
      <c r="A32" s="72"/>
      <c r="B32" t="s">
        <v>417</v>
      </c>
      <c r="C32" s="220" t="s">
        <v>388</v>
      </c>
      <c r="D32" s="9">
        <v>1</v>
      </c>
      <c r="E32" s="73"/>
      <c r="F32" s="220"/>
      <c r="G32"/>
      <c r="H32"/>
    </row>
    <row r="33" spans="1:8" x14ac:dyDescent="0.25">
      <c r="A33" s="72"/>
      <c r="B33" s="24" t="s">
        <v>418</v>
      </c>
      <c r="C33" s="220" t="s">
        <v>388</v>
      </c>
      <c r="D33" s="9">
        <v>1</v>
      </c>
      <c r="E33" s="73"/>
      <c r="F33" s="220"/>
      <c r="G33"/>
      <c r="H33"/>
    </row>
    <row r="34" spans="1:8" x14ac:dyDescent="0.25">
      <c r="A34" s="72"/>
      <c r="B34" t="s">
        <v>419</v>
      </c>
      <c r="C34" s="220" t="s">
        <v>388</v>
      </c>
      <c r="D34" s="9">
        <v>1</v>
      </c>
      <c r="E34" s="73"/>
      <c r="F34" s="220"/>
      <c r="G34"/>
      <c r="H34"/>
    </row>
    <row r="35" spans="1:8" x14ac:dyDescent="0.25">
      <c r="A35" s="72"/>
      <c r="B35" s="1" t="s">
        <v>420</v>
      </c>
      <c r="C35" s="220" t="s">
        <v>388</v>
      </c>
      <c r="D35" s="9">
        <v>1</v>
      </c>
      <c r="E35" s="73"/>
      <c r="F35" s="220"/>
      <c r="G35"/>
      <c r="H35"/>
    </row>
    <row r="36" spans="1:8" x14ac:dyDescent="0.25">
      <c r="A36" s="72"/>
      <c r="B36" s="1" t="s">
        <v>421</v>
      </c>
      <c r="C36" s="220" t="s">
        <v>388</v>
      </c>
      <c r="D36" s="9">
        <v>1</v>
      </c>
      <c r="E36" s="73"/>
      <c r="F36" s="220"/>
      <c r="G36"/>
      <c r="H36"/>
    </row>
    <row r="37" spans="1:8" x14ac:dyDescent="0.25">
      <c r="A37" s="72"/>
      <c r="B37" s="24" t="s">
        <v>422</v>
      </c>
      <c r="C37" s="220" t="s">
        <v>388</v>
      </c>
      <c r="D37" s="9">
        <v>2</v>
      </c>
      <c r="E37" s="73"/>
      <c r="F37" s="220"/>
      <c r="G37"/>
      <c r="H37"/>
    </row>
    <row r="38" spans="1:8" x14ac:dyDescent="0.25">
      <c r="A38" s="72"/>
      <c r="B38" s="24" t="s">
        <v>423</v>
      </c>
      <c r="C38" s="220" t="s">
        <v>388</v>
      </c>
      <c r="D38" s="9">
        <v>2</v>
      </c>
      <c r="E38" s="73"/>
      <c r="F38" s="220"/>
      <c r="G38" s="1"/>
      <c r="H38"/>
    </row>
    <row r="39" spans="1:8" x14ac:dyDescent="0.25">
      <c r="A39" s="72"/>
      <c r="B39" s="24" t="s">
        <v>424</v>
      </c>
      <c r="C39" s="220" t="s">
        <v>388</v>
      </c>
      <c r="D39" s="9">
        <v>1</v>
      </c>
      <c r="E39" s="73"/>
      <c r="F39" s="220"/>
      <c r="G39"/>
      <c r="H39"/>
    </row>
    <row r="40" spans="1:8" x14ac:dyDescent="0.25">
      <c r="A40" s="72"/>
      <c r="B40" s="24" t="s">
        <v>425</v>
      </c>
      <c r="C40" s="220" t="s">
        <v>388</v>
      </c>
      <c r="D40" s="9">
        <v>1</v>
      </c>
      <c r="E40" s="73"/>
      <c r="F40" s="220"/>
      <c r="G40"/>
      <c r="H40"/>
    </row>
    <row r="41" spans="1:8" x14ac:dyDescent="0.25">
      <c r="A41" s="72"/>
      <c r="B41" s="1" t="s">
        <v>426</v>
      </c>
      <c r="C41" s="220" t="s">
        <v>388</v>
      </c>
      <c r="D41" s="9">
        <v>1</v>
      </c>
      <c r="E41" s="73"/>
      <c r="F41" s="220"/>
      <c r="G41"/>
      <c r="H41"/>
    </row>
    <row r="42" spans="1:8" x14ac:dyDescent="0.25">
      <c r="A42" s="72"/>
      <c r="B42" s="1" t="s">
        <v>427</v>
      </c>
      <c r="C42" s="220" t="s">
        <v>388</v>
      </c>
      <c r="D42" s="9">
        <v>1</v>
      </c>
      <c r="E42" s="73"/>
      <c r="F42" s="220"/>
      <c r="G42"/>
      <c r="H42"/>
    </row>
    <row r="43" spans="1:8" x14ac:dyDescent="0.25">
      <c r="A43" s="72"/>
      <c r="B43" s="24" t="s">
        <v>428</v>
      </c>
      <c r="C43" s="220" t="s">
        <v>388</v>
      </c>
      <c r="D43" s="9">
        <v>1</v>
      </c>
      <c r="E43" s="73"/>
      <c r="F43" s="220"/>
      <c r="G43"/>
      <c r="H43"/>
    </row>
    <row r="44" spans="1:8" ht="15.75" thickBot="1" x14ac:dyDescent="0.3">
      <c r="A44" s="75"/>
      <c r="B44" s="24" t="s">
        <v>429</v>
      </c>
      <c r="C44" s="237" t="s">
        <v>388</v>
      </c>
      <c r="D44" s="76">
        <v>1</v>
      </c>
      <c r="E44" s="77"/>
      <c r="F44" s="220"/>
      <c r="G44"/>
      <c r="H44"/>
    </row>
    <row r="45" spans="1:8" x14ac:dyDescent="0.25">
      <c r="F45" s="22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 x14ac:dyDescent="0.25">
      <c r="A1" s="36"/>
      <c r="B1" s="49" t="s">
        <v>360</v>
      </c>
      <c r="C1" s="230" t="s">
        <v>361</v>
      </c>
      <c r="D1" s="230" t="s">
        <v>362</v>
      </c>
      <c r="E1" s="33"/>
    </row>
    <row r="2" spans="1:6" x14ac:dyDescent="0.25">
      <c r="A2" s="37" t="s">
        <v>363</v>
      </c>
      <c r="B2" s="220" t="s">
        <v>430</v>
      </c>
      <c r="C2"/>
      <c r="D2" s="9">
        <v>1</v>
      </c>
      <c r="E2" s="38" t="s">
        <v>366</v>
      </c>
    </row>
    <row r="3" spans="1:6" x14ac:dyDescent="0.25">
      <c r="A3" s="34" t="s">
        <v>367</v>
      </c>
      <c r="B3" s="217" t="s">
        <v>336</v>
      </c>
      <c r="C3" s="217"/>
      <c r="D3" s="9">
        <v>1</v>
      </c>
      <c r="E3" s="238" t="s">
        <v>369</v>
      </c>
    </row>
    <row r="4" spans="1:6" x14ac:dyDescent="0.25">
      <c r="A4" s="34" t="s">
        <v>370</v>
      </c>
      <c r="B4" s="217" t="s">
        <v>431</v>
      </c>
      <c r="C4" s="217"/>
      <c r="D4" s="9">
        <v>1</v>
      </c>
      <c r="E4" s="238" t="s">
        <v>372</v>
      </c>
    </row>
    <row r="5" spans="1:6" x14ac:dyDescent="0.25">
      <c r="A5" s="34" t="s">
        <v>373</v>
      </c>
      <c r="B5" t="s">
        <v>143</v>
      </c>
      <c r="C5"/>
      <c r="D5" s="9">
        <v>1</v>
      </c>
      <c r="E5" s="238" t="s">
        <v>376</v>
      </c>
    </row>
    <row r="6" spans="1:6" x14ac:dyDescent="0.25">
      <c r="A6" s="18"/>
      <c r="B6" s="21" t="s">
        <v>432</v>
      </c>
      <c r="C6"/>
      <c r="D6" s="9">
        <v>1</v>
      </c>
      <c r="E6" s="39"/>
      <c r="F6" s="95" t="s">
        <v>433</v>
      </c>
    </row>
    <row r="7" spans="1:6" x14ac:dyDescent="0.25">
      <c r="A7" s="18"/>
      <c r="B7" s="41" t="s">
        <v>434</v>
      </c>
      <c r="C7"/>
      <c r="D7" s="9">
        <v>1</v>
      </c>
      <c r="E7" s="39"/>
    </row>
    <row r="8" spans="1:6" x14ac:dyDescent="0.25">
      <c r="A8" s="18"/>
      <c r="B8" t="s">
        <v>435</v>
      </c>
      <c r="C8" s="50"/>
      <c r="D8" s="9">
        <v>9</v>
      </c>
      <c r="E8" s="39"/>
    </row>
    <row r="9" spans="1:6" x14ac:dyDescent="0.25">
      <c r="A9" s="18"/>
      <c r="B9" t="s">
        <v>436</v>
      </c>
      <c r="C9"/>
      <c r="D9" s="9">
        <v>2</v>
      </c>
      <c r="E9" s="39"/>
    </row>
    <row r="10" spans="1:6" x14ac:dyDescent="0.25">
      <c r="A10" s="18"/>
      <c r="B10" s="1" t="s">
        <v>437</v>
      </c>
      <c r="C10" s="1"/>
      <c r="D10" s="9">
        <v>7</v>
      </c>
      <c r="E10" s="39"/>
    </row>
    <row r="11" spans="1:6" x14ac:dyDescent="0.25">
      <c r="A11" s="18"/>
      <c r="B11" t="s">
        <v>179</v>
      </c>
      <c r="C11"/>
      <c r="D11" s="9">
        <v>6</v>
      </c>
      <c r="E11" s="39"/>
    </row>
    <row r="12" spans="1:6" x14ac:dyDescent="0.25">
      <c r="A12" s="34" t="s">
        <v>384</v>
      </c>
      <c r="B12" s="1" t="s">
        <v>183</v>
      </c>
      <c r="C12" s="1"/>
      <c r="D12" s="9">
        <v>2</v>
      </c>
      <c r="E12" s="39"/>
    </row>
    <row r="13" spans="1:6" x14ac:dyDescent="0.25">
      <c r="A13" s="18"/>
      <c r="B13" s="1" t="s">
        <v>185</v>
      </c>
      <c r="C13" s="1"/>
      <c r="D13" s="9">
        <v>10</v>
      </c>
      <c r="E13" s="39"/>
    </row>
    <row r="14" spans="1:6" x14ac:dyDescent="0.25">
      <c r="A14" s="18"/>
      <c r="B14" t="s">
        <v>438</v>
      </c>
      <c r="C14" s="1"/>
      <c r="D14" s="9">
        <v>1</v>
      </c>
      <c r="E14" s="39"/>
    </row>
    <row r="15" spans="1:6" x14ac:dyDescent="0.25">
      <c r="A15" s="18"/>
      <c r="B15" s="1" t="s">
        <v>439</v>
      </c>
      <c r="C15" s="1"/>
      <c r="D15" s="9">
        <v>1</v>
      </c>
      <c r="E15" s="39"/>
    </row>
    <row r="16" spans="1:6" x14ac:dyDescent="0.25">
      <c r="A16" s="18"/>
      <c r="B16" s="8" t="s">
        <v>250</v>
      </c>
      <c r="C16" s="8"/>
      <c r="D16" s="9">
        <v>4</v>
      </c>
      <c r="E16" s="39"/>
    </row>
    <row r="17" spans="1:5" x14ac:dyDescent="0.25">
      <c r="A17" s="18"/>
      <c r="B17" s="8" t="s">
        <v>440</v>
      </c>
      <c r="C17" s="8"/>
      <c r="D17" s="9">
        <v>1</v>
      </c>
      <c r="E17" s="39"/>
    </row>
    <row r="18" spans="1:5" x14ac:dyDescent="0.25">
      <c r="A18" s="18"/>
      <c r="B18" s="239" t="s">
        <v>441</v>
      </c>
      <c r="C18" s="51" t="s">
        <v>442</v>
      </c>
      <c r="D18" s="40">
        <v>1</v>
      </c>
      <c r="E18" s="39"/>
    </row>
    <row r="19" spans="1:5" x14ac:dyDescent="0.25">
      <c r="A19" s="18"/>
      <c r="B19" s="52" t="s">
        <v>443</v>
      </c>
      <c r="C19" s="52"/>
      <c r="D19" s="9">
        <v>1</v>
      </c>
      <c r="E19" s="39"/>
    </row>
    <row r="20" spans="1:5" x14ac:dyDescent="0.25">
      <c r="A20" s="18"/>
      <c r="B20" s="240" t="s">
        <v>444</v>
      </c>
      <c r="C20" s="240"/>
      <c r="D20" s="9">
        <v>1</v>
      </c>
      <c r="E20" s="39"/>
    </row>
    <row r="21" spans="1:5" x14ac:dyDescent="0.25">
      <c r="A21" s="18"/>
      <c r="B21" s="50" t="s">
        <v>445</v>
      </c>
      <c r="C21" s="50"/>
      <c r="D21" s="9">
        <v>1</v>
      </c>
      <c r="E21" s="39"/>
    </row>
    <row r="22" spans="1:5" x14ac:dyDescent="0.25">
      <c r="A22" s="18"/>
      <c r="B22" s="240" t="s">
        <v>446</v>
      </c>
      <c r="C22" s="240"/>
      <c r="D22" s="9">
        <v>1</v>
      </c>
      <c r="E22" s="39"/>
    </row>
    <row r="23" spans="1:5" x14ac:dyDescent="0.25">
      <c r="A23" s="18"/>
      <c r="B23" s="50" t="s">
        <v>447</v>
      </c>
      <c r="C23" s="50"/>
      <c r="D23" s="9">
        <v>1</v>
      </c>
      <c r="E23" s="39"/>
    </row>
    <row r="24" spans="1:5" x14ac:dyDescent="0.25">
      <c r="A24" s="18"/>
      <c r="B24" s="53" t="s">
        <v>448</v>
      </c>
      <c r="C24" s="53"/>
      <c r="D24" s="9">
        <v>1</v>
      </c>
      <c r="E24" s="39"/>
    </row>
    <row r="25" spans="1:5" x14ac:dyDescent="0.25">
      <c r="A25" s="18"/>
      <c r="B25" s="24" t="s">
        <v>449</v>
      </c>
      <c r="C25" s="53"/>
      <c r="D25" s="9">
        <v>1</v>
      </c>
      <c r="E25" s="39"/>
    </row>
    <row r="26" spans="1:5" x14ac:dyDescent="0.25">
      <c r="A26" s="18"/>
      <c r="B26" s="53" t="s">
        <v>450</v>
      </c>
      <c r="C26" s="50"/>
      <c r="D26" s="9">
        <v>1</v>
      </c>
      <c r="E26" s="39"/>
    </row>
    <row r="27" spans="1:5" ht="15.75" thickBot="1" x14ac:dyDescent="0.3">
      <c r="A27" s="18"/>
      <c r="B27" s="47"/>
      <c r="C27" s="47"/>
      <c r="D27" s="232"/>
      <c r="E27" s="39"/>
    </row>
    <row r="28" spans="1:5" ht="18.75" x14ac:dyDescent="0.3">
      <c r="A28" s="18"/>
      <c r="B28" s="14" t="s">
        <v>451</v>
      </c>
      <c r="C28" s="15"/>
      <c r="D28" s="29"/>
      <c r="E28" s="39"/>
    </row>
    <row r="29" spans="1:5" ht="30" customHeight="1" x14ac:dyDescent="0.25">
      <c r="A29" s="18"/>
      <c r="B29" s="16" t="s">
        <v>360</v>
      </c>
      <c r="C29" s="214" t="s">
        <v>361</v>
      </c>
      <c r="D29" s="241" t="s">
        <v>362</v>
      </c>
      <c r="E29" s="39"/>
    </row>
    <row r="30" spans="1:5" x14ac:dyDescent="0.25">
      <c r="A30" s="18"/>
      <c r="B30" s="13" t="s">
        <v>345</v>
      </c>
      <c r="C30" s="1"/>
      <c r="D30" s="30">
        <v>1</v>
      </c>
      <c r="E30" s="39"/>
    </row>
    <row r="31" spans="1:5" x14ac:dyDescent="0.25">
      <c r="A31" s="18"/>
      <c r="B31" s="13" t="s">
        <v>452</v>
      </c>
      <c r="C31"/>
      <c r="D31" s="30">
        <v>1</v>
      </c>
      <c r="E31" s="39"/>
    </row>
    <row r="32" spans="1:5" x14ac:dyDescent="0.25">
      <c r="A32" s="18"/>
      <c r="B32" s="13" t="s">
        <v>453</v>
      </c>
      <c r="C32" s="1"/>
      <c r="D32" s="30">
        <v>2</v>
      </c>
      <c r="E32" s="39"/>
    </row>
    <row r="33" spans="1:5" x14ac:dyDescent="0.25">
      <c r="A33" s="18"/>
      <c r="B33" s="17" t="s">
        <v>454</v>
      </c>
      <c r="C33" s="50"/>
      <c r="D33" s="30">
        <v>1</v>
      </c>
      <c r="E33" s="39"/>
    </row>
    <row r="34" spans="1:5" x14ac:dyDescent="0.25">
      <c r="A34" s="18"/>
      <c r="B34" s="10" t="s">
        <v>353</v>
      </c>
      <c r="C34" s="8"/>
      <c r="D34" s="30">
        <v>1</v>
      </c>
      <c r="E34" s="39"/>
    </row>
    <row r="35" spans="1:5" x14ac:dyDescent="0.25">
      <c r="A35" s="18"/>
      <c r="B35" s="19" t="s">
        <v>347</v>
      </c>
      <c r="C35" s="52"/>
      <c r="D35" s="30">
        <v>1</v>
      </c>
      <c r="E35" s="39"/>
    </row>
    <row r="36" spans="1:5" x14ac:dyDescent="0.25">
      <c r="A36" s="18"/>
      <c r="B36" s="20" t="s">
        <v>349</v>
      </c>
      <c r="C36" s="240"/>
      <c r="D36" s="30">
        <v>1</v>
      </c>
      <c r="E36" s="39"/>
    </row>
    <row r="37" spans="1:5" x14ac:dyDescent="0.25">
      <c r="A37" s="18"/>
      <c r="B37" s="10" t="s">
        <v>351</v>
      </c>
      <c r="C37" s="8"/>
      <c r="D37" s="30">
        <v>1</v>
      </c>
      <c r="E37" s="39"/>
    </row>
    <row r="38" spans="1:5" x14ac:dyDescent="0.25">
      <c r="A38" s="18"/>
      <c r="B38" s="13" t="s">
        <v>455</v>
      </c>
      <c r="C38" s="1"/>
      <c r="D38" s="30">
        <v>1</v>
      </c>
      <c r="E38" s="39"/>
    </row>
    <row r="39" spans="1:5" ht="15.75" thickBot="1" x14ac:dyDescent="0.3">
      <c r="A39" s="44"/>
      <c r="B39" s="26" t="s">
        <v>342</v>
      </c>
      <c r="C39" s="27"/>
      <c r="D39" s="31">
        <v>1</v>
      </c>
      <c r="E39" s="4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 x14ac:dyDescent="0.25">
      <c r="A1" s="66"/>
      <c r="B1" s="67" t="s">
        <v>360</v>
      </c>
      <c r="C1" s="235" t="s">
        <v>361</v>
      </c>
      <c r="D1" s="235" t="s">
        <v>362</v>
      </c>
      <c r="E1" s="68"/>
    </row>
    <row r="2" spans="1:5" ht="18" customHeight="1" x14ac:dyDescent="0.25">
      <c r="A2" s="69" t="s">
        <v>363</v>
      </c>
      <c r="B2" s="21" t="s">
        <v>223</v>
      </c>
      <c r="D2" s="9">
        <v>12</v>
      </c>
      <c r="E2" s="70" t="s">
        <v>366</v>
      </c>
    </row>
    <row r="3" spans="1:5" ht="18" customHeight="1" x14ac:dyDescent="0.25">
      <c r="A3" s="71" t="s">
        <v>367</v>
      </c>
      <c r="B3" s="220" t="s">
        <v>456</v>
      </c>
      <c r="C3" s="220"/>
      <c r="D3" s="9">
        <v>12</v>
      </c>
      <c r="E3" s="236" t="s">
        <v>369</v>
      </c>
    </row>
    <row r="4" spans="1:5" x14ac:dyDescent="0.25">
      <c r="A4" s="71" t="s">
        <v>370</v>
      </c>
      <c r="B4" s="220" t="s">
        <v>319</v>
      </c>
      <c r="C4" s="220"/>
      <c r="D4" s="9">
        <v>3</v>
      </c>
      <c r="E4" s="236" t="s">
        <v>372</v>
      </c>
    </row>
    <row r="5" spans="1:5" x14ac:dyDescent="0.25">
      <c r="A5" s="71" t="s">
        <v>373</v>
      </c>
      <c r="B5" s="220" t="s">
        <v>322</v>
      </c>
      <c r="C5" s="220"/>
      <c r="D5" s="9">
        <v>6</v>
      </c>
      <c r="E5" s="236" t="s">
        <v>376</v>
      </c>
    </row>
    <row r="6" spans="1:5" x14ac:dyDescent="0.25">
      <c r="A6" s="72"/>
      <c r="B6" s="28" t="s">
        <v>309</v>
      </c>
      <c r="C6" s="220" t="s">
        <v>457</v>
      </c>
      <c r="D6" s="226">
        <v>1</v>
      </c>
      <c r="E6" s="73"/>
    </row>
    <row r="7" spans="1:5" x14ac:dyDescent="0.25">
      <c r="A7" s="72"/>
      <c r="B7" s="8" t="s">
        <v>458</v>
      </c>
      <c r="C7" s="220" t="s">
        <v>459</v>
      </c>
      <c r="D7" s="226">
        <v>28</v>
      </c>
      <c r="E7" s="73"/>
    </row>
    <row r="8" spans="1:5" x14ac:dyDescent="0.25">
      <c r="A8" s="72"/>
      <c r="B8" s="220" t="s">
        <v>460</v>
      </c>
      <c r="C8" s="220"/>
      <c r="D8" s="9">
        <v>1</v>
      </c>
      <c r="E8" s="73"/>
    </row>
    <row r="9" spans="1:5" x14ac:dyDescent="0.25">
      <c r="A9" s="72"/>
      <c r="B9" s="24" t="s">
        <v>461</v>
      </c>
      <c r="D9" s="9">
        <v>3</v>
      </c>
      <c r="E9" s="73"/>
    </row>
    <row r="10" spans="1:5" x14ac:dyDescent="0.25">
      <c r="A10" s="72"/>
      <c r="B10" s="220" t="s">
        <v>242</v>
      </c>
      <c r="C10" s="220"/>
      <c r="D10" s="226">
        <v>6</v>
      </c>
      <c r="E10" s="73"/>
    </row>
    <row r="11" spans="1:5" x14ac:dyDescent="0.25">
      <c r="A11" s="72"/>
      <c r="B11" s="220" t="s">
        <v>462</v>
      </c>
      <c r="C11" s="220"/>
      <c r="D11" s="226">
        <v>3</v>
      </c>
      <c r="E11" s="73"/>
    </row>
    <row r="12" spans="1:5" x14ac:dyDescent="0.25">
      <c r="A12" s="71" t="s">
        <v>384</v>
      </c>
      <c r="B12" s="215" t="s">
        <v>463</v>
      </c>
      <c r="C12" s="220"/>
      <c r="D12" s="9">
        <v>1</v>
      </c>
      <c r="E12" s="73"/>
    </row>
    <row r="13" spans="1:5" x14ac:dyDescent="0.25">
      <c r="A13" s="72"/>
      <c r="B13" s="220" t="s">
        <v>398</v>
      </c>
      <c r="C13" s="220"/>
      <c r="D13" s="9">
        <v>42</v>
      </c>
      <c r="E13" s="73"/>
    </row>
    <row r="14" spans="1:5" x14ac:dyDescent="0.25">
      <c r="A14" s="72"/>
      <c r="B14" s="2" t="s">
        <v>464</v>
      </c>
      <c r="D14" s="9">
        <v>3</v>
      </c>
      <c r="E14" s="73"/>
    </row>
    <row r="15" spans="1:5" x14ac:dyDescent="0.25">
      <c r="A15" s="72"/>
      <c r="B15" s="2" t="s">
        <v>465</v>
      </c>
      <c r="D15" s="9">
        <v>27</v>
      </c>
      <c r="E15" s="73"/>
    </row>
    <row r="16" spans="1:5" x14ac:dyDescent="0.25">
      <c r="A16" s="72"/>
      <c r="B16" s="2" t="s">
        <v>402</v>
      </c>
      <c r="D16" s="9">
        <v>54</v>
      </c>
      <c r="E16" s="73"/>
    </row>
    <row r="17" spans="1:5" x14ac:dyDescent="0.25">
      <c r="A17" s="72"/>
      <c r="B17" s="2" t="s">
        <v>403</v>
      </c>
      <c r="D17" s="9">
        <v>8</v>
      </c>
      <c r="E17" s="73"/>
    </row>
    <row r="18" spans="1:5" x14ac:dyDescent="0.25">
      <c r="A18" s="72"/>
      <c r="B18" s="2" t="s">
        <v>404</v>
      </c>
      <c r="D18" s="9">
        <v>7</v>
      </c>
      <c r="E18" s="73"/>
    </row>
    <row r="19" spans="1:5" x14ac:dyDescent="0.25">
      <c r="A19" s="72"/>
      <c r="B19" s="2" t="s">
        <v>466</v>
      </c>
      <c r="D19" s="9">
        <v>3</v>
      </c>
      <c r="E19" s="73"/>
    </row>
    <row r="20" spans="1:5" x14ac:dyDescent="0.25">
      <c r="A20" s="72"/>
      <c r="B20" s="2" t="s">
        <v>467</v>
      </c>
      <c r="D20" s="9">
        <v>3</v>
      </c>
      <c r="E20" s="73"/>
    </row>
    <row r="21" spans="1:5" x14ac:dyDescent="0.25">
      <c r="A21" s="72"/>
      <c r="B21" s="2" t="s">
        <v>468</v>
      </c>
      <c r="D21" s="9">
        <v>3</v>
      </c>
      <c r="E21" s="73"/>
    </row>
    <row r="22" spans="1:5" x14ac:dyDescent="0.25">
      <c r="A22" s="72"/>
      <c r="B22" s="2" t="s">
        <v>199</v>
      </c>
      <c r="D22" s="9">
        <v>3</v>
      </c>
      <c r="E22" s="73"/>
    </row>
    <row r="23" spans="1:5" x14ac:dyDescent="0.25">
      <c r="A23" s="72"/>
      <c r="B23" s="2" t="s">
        <v>405</v>
      </c>
      <c r="D23" s="9">
        <v>3</v>
      </c>
      <c r="E23" s="73"/>
    </row>
    <row r="24" spans="1:5" x14ac:dyDescent="0.25">
      <c r="A24" s="72"/>
      <c r="B24" s="2" t="s">
        <v>383</v>
      </c>
      <c r="D24" s="9">
        <v>24</v>
      </c>
      <c r="E24" s="73"/>
    </row>
    <row r="25" spans="1:5" x14ac:dyDescent="0.25">
      <c r="A25" s="72"/>
      <c r="B25" s="220" t="s">
        <v>385</v>
      </c>
      <c r="C25" s="220"/>
      <c r="D25" s="9">
        <v>6</v>
      </c>
      <c r="E25" s="73"/>
    </row>
    <row r="26" spans="1:5" x14ac:dyDescent="0.25">
      <c r="A26" s="72"/>
      <c r="B26" s="220" t="s">
        <v>211</v>
      </c>
      <c r="C26" s="220"/>
      <c r="D26" s="9">
        <v>21</v>
      </c>
      <c r="E26" s="73"/>
    </row>
    <row r="27" spans="1:5" x14ac:dyDescent="0.25">
      <c r="A27" s="72"/>
      <c r="B27" s="2" t="s">
        <v>407</v>
      </c>
      <c r="D27" s="9">
        <v>3</v>
      </c>
      <c r="E27" s="73"/>
    </row>
    <row r="28" spans="1:5" x14ac:dyDescent="0.25">
      <c r="A28" s="72"/>
      <c r="B28" s="2" t="s">
        <v>469</v>
      </c>
      <c r="D28" s="9">
        <v>3</v>
      </c>
      <c r="E28" s="73"/>
    </row>
    <row r="29" spans="1:5" x14ac:dyDescent="0.25">
      <c r="A29" s="72"/>
      <c r="B29" s="2" t="s">
        <v>470</v>
      </c>
      <c r="D29" s="9">
        <v>3</v>
      </c>
      <c r="E29" s="73"/>
    </row>
    <row r="30" spans="1:5" x14ac:dyDescent="0.25">
      <c r="A30" s="72"/>
      <c r="B30" s="2" t="s">
        <v>471</v>
      </c>
      <c r="D30" s="9">
        <v>3</v>
      </c>
      <c r="E30" s="73"/>
    </row>
    <row r="31" spans="1:5" x14ac:dyDescent="0.25">
      <c r="A31" s="72"/>
      <c r="B31" s="2" t="s">
        <v>472</v>
      </c>
      <c r="C31" s="2" t="s">
        <v>473</v>
      </c>
      <c r="D31" s="9">
        <v>1</v>
      </c>
      <c r="E31" s="73"/>
    </row>
    <row r="32" spans="1:5" x14ac:dyDescent="0.25">
      <c r="A32" s="72"/>
      <c r="B32" s="2" t="s">
        <v>474</v>
      </c>
      <c r="C32" s="2" t="s">
        <v>473</v>
      </c>
      <c r="D32" s="9">
        <v>1</v>
      </c>
      <c r="E32" s="73"/>
    </row>
    <row r="33" spans="1:5" x14ac:dyDescent="0.25">
      <c r="A33" s="72"/>
      <c r="B33" s="2" t="s">
        <v>475</v>
      </c>
      <c r="C33" s="2" t="s">
        <v>473</v>
      </c>
      <c r="D33" s="9">
        <v>1</v>
      </c>
      <c r="E33" s="73"/>
    </row>
    <row r="34" spans="1:5" x14ac:dyDescent="0.25">
      <c r="A34" s="72"/>
      <c r="B34" s="2" t="s">
        <v>476</v>
      </c>
      <c r="C34" s="2" t="s">
        <v>473</v>
      </c>
      <c r="D34" s="9">
        <v>2</v>
      </c>
      <c r="E34" s="73"/>
    </row>
    <row r="35" spans="1:5" x14ac:dyDescent="0.25">
      <c r="A35" s="72"/>
      <c r="B35" s="2" t="s">
        <v>477</v>
      </c>
      <c r="C35" s="2" t="s">
        <v>473</v>
      </c>
      <c r="D35" s="9">
        <v>1</v>
      </c>
      <c r="E35" s="73"/>
    </row>
    <row r="36" spans="1:5" x14ac:dyDescent="0.25">
      <c r="A36" s="72"/>
      <c r="B36" s="2" t="s">
        <v>478</v>
      </c>
      <c r="C36" s="2" t="s">
        <v>473</v>
      </c>
      <c r="D36" s="9">
        <v>1</v>
      </c>
      <c r="E36" s="73"/>
    </row>
    <row r="37" spans="1:5" x14ac:dyDescent="0.25">
      <c r="A37" s="72"/>
      <c r="B37" s="220" t="s">
        <v>479</v>
      </c>
      <c r="C37" s="2" t="s">
        <v>473</v>
      </c>
      <c r="D37" s="9">
        <v>1</v>
      </c>
      <c r="E37" s="73"/>
    </row>
    <row r="38" spans="1:5" x14ac:dyDescent="0.25">
      <c r="A38" s="72"/>
      <c r="B38" s="2" t="s">
        <v>480</v>
      </c>
      <c r="C38" s="2" t="s">
        <v>473</v>
      </c>
      <c r="D38" s="9">
        <v>1</v>
      </c>
      <c r="E38" s="73"/>
    </row>
    <row r="39" spans="1:5" x14ac:dyDescent="0.25">
      <c r="A39" s="72"/>
      <c r="B39" s="2" t="s">
        <v>481</v>
      </c>
      <c r="C39" s="2" t="s">
        <v>473</v>
      </c>
      <c r="D39" s="9">
        <v>1</v>
      </c>
      <c r="E39" s="73"/>
    </row>
    <row r="40" spans="1:5" x14ac:dyDescent="0.25">
      <c r="A40" s="72"/>
      <c r="B40" s="2" t="s">
        <v>482</v>
      </c>
      <c r="C40" s="2" t="s">
        <v>473</v>
      </c>
      <c r="D40" s="9">
        <v>1</v>
      </c>
      <c r="E40" s="73"/>
    </row>
    <row r="41" spans="1:5" x14ac:dyDescent="0.25">
      <c r="A41" s="72"/>
      <c r="B41" s="2" t="s">
        <v>483</v>
      </c>
      <c r="C41" s="2" t="s">
        <v>473</v>
      </c>
      <c r="D41" s="9">
        <v>1</v>
      </c>
      <c r="E41" s="73"/>
    </row>
    <row r="42" spans="1:5" x14ac:dyDescent="0.25">
      <c r="A42" s="72"/>
      <c r="B42" s="2" t="s">
        <v>484</v>
      </c>
      <c r="C42" s="2" t="s">
        <v>473</v>
      </c>
      <c r="D42" s="9">
        <v>3</v>
      </c>
      <c r="E42" s="73"/>
    </row>
    <row r="43" spans="1:5" x14ac:dyDescent="0.25">
      <c r="A43" s="72"/>
      <c r="B43" s="2" t="s">
        <v>485</v>
      </c>
      <c r="C43" s="2" t="s">
        <v>473</v>
      </c>
      <c r="D43" s="9">
        <v>1</v>
      </c>
      <c r="E43" s="73"/>
    </row>
    <row r="44" spans="1:5" x14ac:dyDescent="0.25">
      <c r="A44" s="72"/>
      <c r="B44" s="2" t="s">
        <v>486</v>
      </c>
      <c r="C44" s="2" t="s">
        <v>473</v>
      </c>
      <c r="D44" s="9">
        <v>1</v>
      </c>
      <c r="E44" s="73"/>
    </row>
    <row r="45" spans="1:5" x14ac:dyDescent="0.25">
      <c r="A45" s="75"/>
      <c r="B45" s="97" t="s">
        <v>487</v>
      </c>
      <c r="C45" s="2" t="s">
        <v>473</v>
      </c>
      <c r="D45" s="76">
        <v>1</v>
      </c>
      <c r="E45" s="77"/>
    </row>
    <row r="47" spans="1:5" x14ac:dyDescent="0.25">
      <c r="B47" s="94" t="s">
        <v>488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 x14ac:dyDescent="0.25">
      <c r="A1" s="36"/>
      <c r="B1" s="49" t="s">
        <v>360</v>
      </c>
      <c r="C1" s="230" t="s">
        <v>361</v>
      </c>
      <c r="D1" s="230" t="s">
        <v>362</v>
      </c>
      <c r="E1" s="33"/>
    </row>
    <row r="2" spans="1:5" x14ac:dyDescent="0.25">
      <c r="A2" s="37" t="s">
        <v>363</v>
      </c>
      <c r="B2" s="21" t="s">
        <v>223</v>
      </c>
      <c r="C2" s="220"/>
      <c r="D2" s="9">
        <v>14</v>
      </c>
      <c r="E2" s="38" t="s">
        <v>366</v>
      </c>
    </row>
    <row r="3" spans="1:5" x14ac:dyDescent="0.25">
      <c r="A3" s="34" t="s">
        <v>367</v>
      </c>
      <c r="B3" t="s">
        <v>489</v>
      </c>
      <c r="C3" s="220"/>
      <c r="D3" s="9">
        <v>13</v>
      </c>
      <c r="E3" s="238" t="s">
        <v>369</v>
      </c>
    </row>
    <row r="4" spans="1:5" x14ac:dyDescent="0.25">
      <c r="A4" s="34" t="s">
        <v>370</v>
      </c>
      <c r="B4" s="220" t="s">
        <v>228</v>
      </c>
      <c r="C4" s="220"/>
      <c r="D4" s="9">
        <v>2</v>
      </c>
      <c r="E4" s="238" t="s">
        <v>372</v>
      </c>
    </row>
    <row r="5" spans="1:5" x14ac:dyDescent="0.25">
      <c r="A5" s="34" t="s">
        <v>373</v>
      </c>
      <c r="B5" t="s">
        <v>490</v>
      </c>
      <c r="C5" s="220"/>
      <c r="D5" s="9">
        <v>2</v>
      </c>
      <c r="E5" s="238" t="s">
        <v>376</v>
      </c>
    </row>
    <row r="6" spans="1:5" x14ac:dyDescent="0.25">
      <c r="A6" s="18"/>
      <c r="B6" s="220" t="s">
        <v>491</v>
      </c>
      <c r="C6" s="220"/>
      <c r="D6" s="9">
        <v>1</v>
      </c>
      <c r="E6" s="39"/>
    </row>
    <row r="7" spans="1:5" x14ac:dyDescent="0.25">
      <c r="A7" s="18"/>
      <c r="B7" s="220" t="s">
        <v>492</v>
      </c>
      <c r="C7" s="220"/>
      <c r="D7" s="9">
        <v>4</v>
      </c>
      <c r="E7" s="39"/>
    </row>
    <row r="8" spans="1:5" x14ac:dyDescent="0.25">
      <c r="A8" s="18"/>
      <c r="B8" s="1" t="s">
        <v>493</v>
      </c>
      <c r="C8" s="220"/>
      <c r="D8" s="9">
        <v>6</v>
      </c>
      <c r="E8" s="39"/>
    </row>
    <row r="9" spans="1:5" x14ac:dyDescent="0.25">
      <c r="A9" s="18"/>
      <c r="B9" s="1" t="s">
        <v>494</v>
      </c>
      <c r="C9" s="220"/>
      <c r="D9" s="9">
        <v>6</v>
      </c>
      <c r="E9" s="39"/>
    </row>
    <row r="10" spans="1:5" x14ac:dyDescent="0.25">
      <c r="A10" s="18"/>
      <c r="B10" s="8" t="s">
        <v>312</v>
      </c>
      <c r="C10" s="242" t="s">
        <v>495</v>
      </c>
      <c r="D10" s="9">
        <v>2</v>
      </c>
      <c r="E10" s="39"/>
    </row>
    <row r="11" spans="1:5" x14ac:dyDescent="0.25">
      <c r="A11" s="18"/>
      <c r="B11" s="8" t="s">
        <v>496</v>
      </c>
      <c r="C11" s="220"/>
      <c r="D11" s="9">
        <v>1</v>
      </c>
      <c r="E11" s="39"/>
    </row>
    <row r="12" spans="1:5" x14ac:dyDescent="0.25">
      <c r="A12" s="18"/>
      <c r="B12" s="220" t="s">
        <v>67</v>
      </c>
      <c r="C12" s="220"/>
      <c r="D12" s="9">
        <v>1</v>
      </c>
      <c r="E12" s="39"/>
    </row>
    <row r="13" spans="1:5" x14ac:dyDescent="0.25">
      <c r="A13" s="34" t="s">
        <v>384</v>
      </c>
      <c r="B13" s="220" t="s">
        <v>70</v>
      </c>
      <c r="C13" s="220"/>
      <c r="D13" s="9">
        <v>1</v>
      </c>
      <c r="E13" s="39"/>
    </row>
    <row r="14" spans="1:5" x14ac:dyDescent="0.25">
      <c r="A14" s="18"/>
      <c r="B14" t="s">
        <v>435</v>
      </c>
      <c r="C14" s="1"/>
      <c r="D14" s="9">
        <v>29</v>
      </c>
      <c r="E14" s="39"/>
    </row>
    <row r="15" spans="1:5" x14ac:dyDescent="0.25">
      <c r="A15" s="18"/>
      <c r="B15" t="s">
        <v>497</v>
      </c>
      <c r="C15" s="1"/>
      <c r="D15" s="9">
        <v>19</v>
      </c>
      <c r="E15" s="39"/>
    </row>
    <row r="16" spans="1:5" x14ac:dyDescent="0.25">
      <c r="A16" s="18"/>
      <c r="B16" t="s">
        <v>498</v>
      </c>
      <c r="C16" s="220"/>
      <c r="D16" s="9">
        <v>4</v>
      </c>
      <c r="E16" s="39"/>
    </row>
    <row r="17" spans="1:5" x14ac:dyDescent="0.25">
      <c r="A17" s="18"/>
      <c r="B17" s="2" t="s">
        <v>183</v>
      </c>
      <c r="C17" s="220"/>
      <c r="D17" s="9">
        <v>19</v>
      </c>
      <c r="E17" s="39"/>
    </row>
    <row r="18" spans="1:5" x14ac:dyDescent="0.25">
      <c r="A18" s="18"/>
      <c r="B18" s="48" t="s">
        <v>499</v>
      </c>
      <c r="C18" s="220"/>
      <c r="D18" s="9">
        <v>6</v>
      </c>
      <c r="E18" s="39"/>
    </row>
    <row r="19" spans="1:5" x14ac:dyDescent="0.25">
      <c r="A19" s="18"/>
      <c r="B19" s="2" t="s">
        <v>467</v>
      </c>
      <c r="C19" s="220"/>
      <c r="D19" s="9">
        <v>13</v>
      </c>
      <c r="E19" s="39"/>
    </row>
    <row r="20" spans="1:5" x14ac:dyDescent="0.25">
      <c r="A20" s="18"/>
      <c r="B20" s="220" t="s">
        <v>500</v>
      </c>
      <c r="C20" s="220"/>
      <c r="D20" s="9">
        <v>4</v>
      </c>
      <c r="E20" s="39"/>
    </row>
    <row r="21" spans="1:5" x14ac:dyDescent="0.25">
      <c r="A21" s="18"/>
      <c r="B21" s="220" t="s">
        <v>501</v>
      </c>
      <c r="C21" s="220"/>
      <c r="D21" s="9">
        <v>6</v>
      </c>
      <c r="E21" s="39"/>
    </row>
    <row r="22" spans="1:5" x14ac:dyDescent="0.25">
      <c r="A22" s="18"/>
      <c r="B22" s="21" t="s">
        <v>195</v>
      </c>
      <c r="C22" s="220"/>
      <c r="D22" s="9">
        <v>4</v>
      </c>
      <c r="E22" s="39"/>
    </row>
    <row r="23" spans="1:5" x14ac:dyDescent="0.25">
      <c r="A23" s="18"/>
      <c r="B23" t="s">
        <v>502</v>
      </c>
      <c r="C23" s="220"/>
      <c r="D23" s="9">
        <v>6</v>
      </c>
      <c r="E23" s="39"/>
    </row>
    <row r="24" spans="1:5" x14ac:dyDescent="0.25">
      <c r="A24" s="18"/>
      <c r="B24" s="21" t="s">
        <v>503</v>
      </c>
      <c r="C24" s="220"/>
      <c r="D24" s="9">
        <v>4</v>
      </c>
      <c r="E24" s="39"/>
    </row>
    <row r="25" spans="1:5" x14ac:dyDescent="0.25">
      <c r="A25" s="18"/>
      <c r="B25" s="21" t="s">
        <v>203</v>
      </c>
      <c r="C25" s="220"/>
      <c r="D25" s="9">
        <v>4</v>
      </c>
      <c r="E25" s="39"/>
    </row>
    <row r="26" spans="1:5" x14ac:dyDescent="0.25">
      <c r="A26" s="18"/>
      <c r="B26" s="220" t="s">
        <v>504</v>
      </c>
      <c r="C26" s="220"/>
      <c r="D26" s="9">
        <v>1</v>
      </c>
      <c r="E26" s="39"/>
    </row>
    <row r="27" spans="1:5" x14ac:dyDescent="0.25">
      <c r="A27" s="18"/>
      <c r="B27" s="220" t="s">
        <v>205</v>
      </c>
      <c r="C27" s="220"/>
      <c r="D27" s="9">
        <v>16</v>
      </c>
      <c r="E27" s="39"/>
    </row>
    <row r="28" spans="1:5" x14ac:dyDescent="0.25">
      <c r="A28" s="18"/>
      <c r="B28" s="2" t="s">
        <v>383</v>
      </c>
      <c r="C28" s="220"/>
      <c r="D28" s="9">
        <v>52</v>
      </c>
      <c r="E28" s="39"/>
    </row>
    <row r="29" spans="1:5" x14ac:dyDescent="0.25">
      <c r="A29" s="18"/>
      <c r="B29" s="2" t="s">
        <v>385</v>
      </c>
      <c r="C29" s="220"/>
      <c r="D29" s="9">
        <v>77</v>
      </c>
      <c r="E29" s="39"/>
    </row>
    <row r="30" spans="1:5" x14ac:dyDescent="0.25">
      <c r="A30" s="18"/>
      <c r="B30" s="2" t="s">
        <v>211</v>
      </c>
      <c r="C30" s="220"/>
      <c r="D30" s="9">
        <v>16</v>
      </c>
      <c r="E30" s="39"/>
    </row>
    <row r="31" spans="1:5" x14ac:dyDescent="0.25">
      <c r="A31" s="18"/>
      <c r="B31" s="220" t="s">
        <v>505</v>
      </c>
      <c r="C31" s="220"/>
      <c r="D31" s="9">
        <v>44</v>
      </c>
      <c r="E31" s="39"/>
    </row>
    <row r="32" spans="1:5" x14ac:dyDescent="0.25">
      <c r="A32" s="18"/>
      <c r="B32" s="220" t="s">
        <v>506</v>
      </c>
      <c r="C32" s="220"/>
      <c r="D32" s="9">
        <v>17</v>
      </c>
      <c r="E32" s="39"/>
    </row>
    <row r="33" spans="1:5" x14ac:dyDescent="0.25">
      <c r="A33" s="18"/>
      <c r="B33" s="2" t="s">
        <v>507</v>
      </c>
      <c r="C33" s="2" t="s">
        <v>508</v>
      </c>
      <c r="D33" s="9">
        <v>1</v>
      </c>
      <c r="E33" s="39"/>
    </row>
    <row r="34" spans="1:5" x14ac:dyDescent="0.25">
      <c r="A34" s="18"/>
      <c r="B34" s="220" t="s">
        <v>509</v>
      </c>
      <c r="C34" s="220" t="s">
        <v>510</v>
      </c>
      <c r="D34" s="9">
        <v>1</v>
      </c>
      <c r="E34" s="39"/>
    </row>
    <row r="35" spans="1:5" x14ac:dyDescent="0.25">
      <c r="A35" s="18"/>
      <c r="B35" s="220" t="s">
        <v>511</v>
      </c>
      <c r="C35" s="2" t="s">
        <v>508</v>
      </c>
      <c r="D35" s="9">
        <v>2</v>
      </c>
      <c r="E35" s="39"/>
    </row>
    <row r="36" spans="1:5" x14ac:dyDescent="0.25">
      <c r="A36" s="18"/>
      <c r="B36" s="2" t="s">
        <v>512</v>
      </c>
      <c r="C36" s="2" t="s">
        <v>508</v>
      </c>
      <c r="D36" s="9">
        <v>1</v>
      </c>
      <c r="E36" s="39"/>
    </row>
    <row r="37" spans="1:5" x14ac:dyDescent="0.25">
      <c r="A37" s="18"/>
      <c r="B37" s="2" t="s">
        <v>513</v>
      </c>
      <c r="C37" s="2" t="s">
        <v>508</v>
      </c>
      <c r="D37" s="9">
        <v>1</v>
      </c>
      <c r="E37" s="39"/>
    </row>
    <row r="38" spans="1:5" x14ac:dyDescent="0.25">
      <c r="A38" s="18"/>
      <c r="B38" s="239" t="s">
        <v>514</v>
      </c>
      <c r="C38" s="239" t="s">
        <v>357</v>
      </c>
      <c r="D38" s="40">
        <v>1</v>
      </c>
      <c r="E38" s="39"/>
    </row>
    <row r="39" spans="1:5" x14ac:dyDescent="0.25">
      <c r="A39" s="18"/>
      <c r="B39" s="2" t="s">
        <v>515</v>
      </c>
      <c r="C39" s="2" t="s">
        <v>508</v>
      </c>
      <c r="D39" s="9">
        <v>4</v>
      </c>
      <c r="E39" s="39"/>
    </row>
    <row r="40" spans="1:5" x14ac:dyDescent="0.25">
      <c r="A40" s="18"/>
      <c r="B40" s="220" t="s">
        <v>516</v>
      </c>
      <c r="C40" s="2" t="s">
        <v>508</v>
      </c>
      <c r="D40" s="9">
        <v>2</v>
      </c>
      <c r="E40" s="39"/>
    </row>
    <row r="41" spans="1:5" x14ac:dyDescent="0.25">
      <c r="A41" s="18"/>
      <c r="B41" s="2" t="s">
        <v>517</v>
      </c>
      <c r="C41" s="2" t="s">
        <v>508</v>
      </c>
      <c r="D41" s="9">
        <v>1</v>
      </c>
      <c r="E41" s="39"/>
    </row>
    <row r="42" spans="1:5" x14ac:dyDescent="0.25">
      <c r="A42" s="18"/>
      <c r="B42" s="2" t="s">
        <v>518</v>
      </c>
      <c r="C42" s="2" t="s">
        <v>508</v>
      </c>
      <c r="D42" s="9">
        <v>1</v>
      </c>
      <c r="E42" s="39"/>
    </row>
    <row r="43" spans="1:5" x14ac:dyDescent="0.25">
      <c r="A43" s="18"/>
      <c r="B43" s="2" t="s">
        <v>519</v>
      </c>
      <c r="C43" s="2" t="s">
        <v>508</v>
      </c>
      <c r="D43" s="9">
        <v>2</v>
      </c>
      <c r="E43" s="39"/>
    </row>
    <row r="44" spans="1:5" x14ac:dyDescent="0.25">
      <c r="A44" s="18"/>
      <c r="B44" s="2" t="s">
        <v>520</v>
      </c>
      <c r="C44" s="2" t="s">
        <v>508</v>
      </c>
      <c r="D44" s="9">
        <v>1</v>
      </c>
      <c r="E44" s="39"/>
    </row>
    <row r="45" spans="1:5" x14ac:dyDescent="0.25">
      <c r="A45" s="18"/>
      <c r="B45" s="2" t="s">
        <v>521</v>
      </c>
      <c r="C45" s="2" t="s">
        <v>508</v>
      </c>
      <c r="D45" s="9">
        <v>1</v>
      </c>
      <c r="E45" s="39"/>
    </row>
    <row r="46" spans="1:5" x14ac:dyDescent="0.25">
      <c r="A46" s="18"/>
      <c r="B46" s="2" t="s">
        <v>522</v>
      </c>
      <c r="C46" s="2" t="s">
        <v>508</v>
      </c>
      <c r="D46" s="9">
        <v>1</v>
      </c>
      <c r="E46" s="39"/>
    </row>
    <row r="47" spans="1:5" x14ac:dyDescent="0.25">
      <c r="A47" s="18"/>
      <c r="B47" s="2" t="s">
        <v>523</v>
      </c>
      <c r="C47" s="2" t="s">
        <v>508</v>
      </c>
      <c r="D47" s="9">
        <v>1</v>
      </c>
      <c r="E47" s="39"/>
    </row>
    <row r="48" spans="1:5" x14ac:dyDescent="0.25">
      <c r="A48" s="18"/>
      <c r="B48" s="220" t="s">
        <v>524</v>
      </c>
      <c r="C48" s="2" t="s">
        <v>508</v>
      </c>
      <c r="D48" s="9">
        <v>1</v>
      </c>
      <c r="E48" s="39"/>
    </row>
    <row r="49" spans="1:5" x14ac:dyDescent="0.25">
      <c r="A49" s="18"/>
      <c r="B49" s="220" t="s">
        <v>525</v>
      </c>
      <c r="C49" s="2" t="s">
        <v>508</v>
      </c>
      <c r="D49" s="9">
        <v>1</v>
      </c>
      <c r="E49" s="39"/>
    </row>
    <row r="50" spans="1:5" x14ac:dyDescent="0.25">
      <c r="A50" s="18"/>
      <c r="B50" s="220" t="s">
        <v>526</v>
      </c>
      <c r="C50" s="2" t="s">
        <v>508</v>
      </c>
      <c r="D50" s="9">
        <v>1</v>
      </c>
      <c r="E50" s="39"/>
    </row>
    <row r="51" spans="1:5" x14ac:dyDescent="0.25">
      <c r="A51" s="18"/>
      <c r="B51" s="220" t="s">
        <v>527</v>
      </c>
      <c r="C51" s="2" t="s">
        <v>508</v>
      </c>
      <c r="D51" s="9">
        <v>1</v>
      </c>
      <c r="E51" s="39"/>
    </row>
    <row r="52" spans="1:5" x14ac:dyDescent="0.25">
      <c r="A52" s="18"/>
      <c r="B52" s="2" t="s">
        <v>528</v>
      </c>
      <c r="C52" s="2" t="s">
        <v>508</v>
      </c>
      <c r="D52" s="9">
        <v>1</v>
      </c>
      <c r="E52" s="39"/>
    </row>
    <row r="53" spans="1:5" x14ac:dyDescent="0.25">
      <c r="A53" s="18"/>
      <c r="B53" s="2" t="s">
        <v>529</v>
      </c>
      <c r="C53" s="2" t="s">
        <v>508</v>
      </c>
      <c r="D53" s="9">
        <v>1</v>
      </c>
      <c r="E53" s="39"/>
    </row>
    <row r="54" spans="1:5" x14ac:dyDescent="0.25">
      <c r="A54" s="18"/>
      <c r="B54" s="2" t="s">
        <v>530</v>
      </c>
      <c r="C54" s="2" t="s">
        <v>531</v>
      </c>
      <c r="D54" s="9">
        <v>1</v>
      </c>
      <c r="E54" s="39"/>
    </row>
    <row r="55" spans="1:5" x14ac:dyDescent="0.25">
      <c r="A55" s="18"/>
      <c r="B55" s="2" t="s">
        <v>532</v>
      </c>
      <c r="C55" s="2" t="s">
        <v>531</v>
      </c>
      <c r="D55" s="9">
        <v>1</v>
      </c>
      <c r="E55" s="39"/>
    </row>
    <row r="56" spans="1:5" x14ac:dyDescent="0.25">
      <c r="A56" s="18"/>
      <c r="B56" s="2" t="s">
        <v>533</v>
      </c>
      <c r="C56" s="2" t="s">
        <v>531</v>
      </c>
      <c r="D56" s="9">
        <v>1</v>
      </c>
      <c r="E56" s="39"/>
    </row>
    <row r="57" spans="1:5" x14ac:dyDescent="0.25">
      <c r="A57" s="18"/>
      <c r="B57" s="2" t="s">
        <v>534</v>
      </c>
      <c r="C57" s="2" t="s">
        <v>531</v>
      </c>
      <c r="D57" s="9">
        <v>1</v>
      </c>
      <c r="E57" s="39"/>
    </row>
    <row r="58" spans="1:5" x14ac:dyDescent="0.25">
      <c r="A58" s="18"/>
      <c r="B58" s="2" t="s">
        <v>535</v>
      </c>
      <c r="C58" s="2" t="s">
        <v>531</v>
      </c>
      <c r="D58" s="9">
        <v>1</v>
      </c>
      <c r="E58" s="39"/>
    </row>
    <row r="59" spans="1:5" x14ac:dyDescent="0.25">
      <c r="A59" s="18"/>
      <c r="B59" s="2" t="s">
        <v>536</v>
      </c>
      <c r="C59" s="2" t="s">
        <v>531</v>
      </c>
      <c r="D59" s="9">
        <v>1</v>
      </c>
      <c r="E59" s="39"/>
    </row>
    <row r="60" spans="1:5" x14ac:dyDescent="0.25">
      <c r="A60" s="18"/>
      <c r="B60" s="2" t="s">
        <v>537</v>
      </c>
      <c r="C60" s="2" t="s">
        <v>538</v>
      </c>
      <c r="D60" s="9">
        <v>1</v>
      </c>
      <c r="E60" s="39"/>
    </row>
    <row r="61" spans="1:5" x14ac:dyDescent="0.25">
      <c r="A61" s="18"/>
      <c r="B61" s="2" t="s">
        <v>539</v>
      </c>
      <c r="C61" s="2" t="s">
        <v>538</v>
      </c>
      <c r="D61" s="9">
        <v>2</v>
      </c>
      <c r="E61" s="39"/>
    </row>
    <row r="62" spans="1:5" x14ac:dyDescent="0.25">
      <c r="A62" s="18"/>
      <c r="B62" s="2" t="s">
        <v>540</v>
      </c>
      <c r="C62" s="2" t="s">
        <v>538</v>
      </c>
      <c r="D62" s="9">
        <v>1</v>
      </c>
      <c r="E62" s="39"/>
    </row>
    <row r="63" spans="1:5" x14ac:dyDescent="0.25">
      <c r="A63" s="18"/>
      <c r="B63" s="2" t="s">
        <v>541</v>
      </c>
      <c r="C63" s="2" t="s">
        <v>538</v>
      </c>
      <c r="D63" s="9">
        <v>1</v>
      </c>
      <c r="E63" s="39"/>
    </row>
    <row r="64" spans="1:5" x14ac:dyDescent="0.25">
      <c r="A64" s="18"/>
      <c r="B64" s="2" t="s">
        <v>542</v>
      </c>
      <c r="C64" s="2" t="s">
        <v>538</v>
      </c>
      <c r="D64" s="9">
        <v>1</v>
      </c>
      <c r="E64" s="39"/>
    </row>
    <row r="65" spans="1:5" x14ac:dyDescent="0.25">
      <c r="A65" s="18"/>
      <c r="B65" s="2" t="s">
        <v>543</v>
      </c>
      <c r="C65" s="2" t="s">
        <v>538</v>
      </c>
      <c r="D65" s="9">
        <v>1</v>
      </c>
      <c r="E65" s="39"/>
    </row>
    <row r="66" spans="1:5" x14ac:dyDescent="0.25">
      <c r="A66" s="18"/>
      <c r="B66" s="2" t="s">
        <v>544</v>
      </c>
      <c r="C66" s="2" t="s">
        <v>538</v>
      </c>
      <c r="D66" s="9">
        <v>1</v>
      </c>
      <c r="E66" s="39"/>
    </row>
    <row r="67" spans="1:5" x14ac:dyDescent="0.25">
      <c r="A67" s="18"/>
      <c r="B67" s="2" t="s">
        <v>545</v>
      </c>
      <c r="C67" s="2" t="s">
        <v>538</v>
      </c>
      <c r="D67" s="9">
        <v>1</v>
      </c>
      <c r="E67" s="39"/>
    </row>
    <row r="68" spans="1:5" x14ac:dyDescent="0.25">
      <c r="A68" s="18"/>
      <c r="B68" s="2" t="s">
        <v>546</v>
      </c>
      <c r="C68" s="2" t="s">
        <v>538</v>
      </c>
      <c r="D68" s="9">
        <v>1</v>
      </c>
      <c r="E68" s="39"/>
    </row>
    <row r="69" spans="1:5" x14ac:dyDescent="0.25">
      <c r="A69" s="18"/>
      <c r="B69" s="220" t="s">
        <v>547</v>
      </c>
      <c r="C69" s="2" t="s">
        <v>508</v>
      </c>
      <c r="D69" s="9">
        <v>6</v>
      </c>
      <c r="E69" s="39"/>
    </row>
    <row r="70" spans="1:5" x14ac:dyDescent="0.25">
      <c r="A70" s="18"/>
      <c r="B70" s="2" t="s">
        <v>548</v>
      </c>
      <c r="C70" s="2" t="s">
        <v>538</v>
      </c>
      <c r="D70" s="9">
        <v>1</v>
      </c>
      <c r="E70" s="39"/>
    </row>
    <row r="71" spans="1:5" x14ac:dyDescent="0.25">
      <c r="A71" s="18"/>
      <c r="B71" s="1" t="s">
        <v>549</v>
      </c>
      <c r="C71" s="220" t="s">
        <v>508</v>
      </c>
      <c r="D71" s="9">
        <v>1</v>
      </c>
      <c r="E71" s="39"/>
    </row>
    <row r="72" spans="1:5" x14ac:dyDescent="0.25">
      <c r="A72" s="18"/>
      <c r="B72" t="s">
        <v>550</v>
      </c>
      <c r="C72" s="220" t="s">
        <v>508</v>
      </c>
      <c r="D72" s="9">
        <v>1</v>
      </c>
      <c r="E72" s="39"/>
    </row>
    <row r="73" spans="1:5" x14ac:dyDescent="0.25">
      <c r="A73" s="18"/>
      <c r="B73" s="2" t="s">
        <v>551</v>
      </c>
      <c r="C73" s="2" t="s">
        <v>508</v>
      </c>
      <c r="D73" s="9">
        <v>2</v>
      </c>
      <c r="E73" s="39"/>
    </row>
    <row r="74" spans="1:5" ht="15.75" thickBot="1" x14ac:dyDescent="0.3">
      <c r="A74" s="44"/>
      <c r="B74" s="35" t="s">
        <v>552</v>
      </c>
      <c r="C74" s="35" t="s">
        <v>508</v>
      </c>
      <c r="D74" s="45">
        <v>1</v>
      </c>
      <c r="E74" s="4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 x14ac:dyDescent="0.25">
      <c r="A1" s="36"/>
      <c r="B1" s="6" t="s">
        <v>360</v>
      </c>
      <c r="C1" s="214" t="s">
        <v>361</v>
      </c>
      <c r="D1" s="214" t="s">
        <v>362</v>
      </c>
      <c r="E1" s="33"/>
    </row>
    <row r="2" spans="1:5" x14ac:dyDescent="0.25">
      <c r="A2" s="37" t="s">
        <v>363</v>
      </c>
      <c r="B2" s="8" t="s">
        <v>553</v>
      </c>
      <c r="C2" s="214" t="s">
        <v>554</v>
      </c>
      <c r="D2" s="243" t="s">
        <v>555</v>
      </c>
      <c r="E2" s="38" t="s">
        <v>366</v>
      </c>
    </row>
    <row r="3" spans="1:5" x14ac:dyDescent="0.25">
      <c r="A3" s="34" t="s">
        <v>367</v>
      </c>
      <c r="B3" s="220" t="s">
        <v>162</v>
      </c>
      <c r="C3" s="220" t="s">
        <v>554</v>
      </c>
      <c r="D3" s="220">
        <v>1</v>
      </c>
      <c r="E3" s="238" t="s">
        <v>369</v>
      </c>
    </row>
    <row r="4" spans="1:5" x14ac:dyDescent="0.25">
      <c r="A4" s="34" t="s">
        <v>370</v>
      </c>
      <c r="B4" t="s">
        <v>489</v>
      </c>
      <c r="C4" s="220" t="s">
        <v>554</v>
      </c>
      <c r="D4" s="220">
        <v>4</v>
      </c>
      <c r="E4" s="238" t="s">
        <v>372</v>
      </c>
    </row>
    <row r="5" spans="1:5" x14ac:dyDescent="0.25">
      <c r="A5" s="34" t="s">
        <v>373</v>
      </c>
      <c r="B5" s="220" t="s">
        <v>319</v>
      </c>
      <c r="C5" s="220" t="s">
        <v>554</v>
      </c>
      <c r="D5" s="220">
        <v>3</v>
      </c>
      <c r="E5" s="238" t="s">
        <v>376</v>
      </c>
    </row>
    <row r="6" spans="1:5" x14ac:dyDescent="0.25">
      <c r="A6" s="18"/>
      <c r="B6" s="8" t="s">
        <v>556</v>
      </c>
      <c r="C6" s="220" t="s">
        <v>554</v>
      </c>
      <c r="D6" s="220">
        <v>1</v>
      </c>
      <c r="E6" s="39"/>
    </row>
    <row r="7" spans="1:5" x14ac:dyDescent="0.25">
      <c r="A7" s="18"/>
      <c r="B7" s="220" t="s">
        <v>557</v>
      </c>
      <c r="C7" s="220" t="s">
        <v>554</v>
      </c>
      <c r="D7" s="2">
        <v>2</v>
      </c>
      <c r="E7" s="39"/>
    </row>
    <row r="8" spans="1:5" x14ac:dyDescent="0.25">
      <c r="A8" s="18"/>
      <c r="B8" s="220" t="s">
        <v>558</v>
      </c>
      <c r="C8" s="220" t="s">
        <v>559</v>
      </c>
      <c r="D8" s="220">
        <v>1</v>
      </c>
      <c r="E8" s="39"/>
    </row>
    <row r="9" spans="1:5" x14ac:dyDescent="0.25">
      <c r="A9" s="18"/>
      <c r="B9" s="224" t="s">
        <v>61</v>
      </c>
      <c r="C9" s="220" t="s">
        <v>559</v>
      </c>
      <c r="D9" s="220">
        <v>1</v>
      </c>
      <c r="E9" s="39"/>
    </row>
    <row r="10" spans="1:5" x14ac:dyDescent="0.25">
      <c r="A10" s="18"/>
      <c r="B10" s="2" t="s">
        <v>52</v>
      </c>
      <c r="C10" s="220" t="s">
        <v>559</v>
      </c>
      <c r="D10" s="220">
        <v>1</v>
      </c>
      <c r="E10" s="39"/>
    </row>
    <row r="11" spans="1:5" x14ac:dyDescent="0.25">
      <c r="A11" s="18"/>
      <c r="B11" s="21" t="s">
        <v>560</v>
      </c>
      <c r="C11" s="220" t="s">
        <v>559</v>
      </c>
      <c r="D11" s="220">
        <v>1</v>
      </c>
      <c r="E11" s="39"/>
    </row>
    <row r="12" spans="1:5" x14ac:dyDescent="0.25">
      <c r="A12" s="34" t="s">
        <v>384</v>
      </c>
      <c r="B12" s="2" t="s">
        <v>179</v>
      </c>
      <c r="C12" s="220" t="s">
        <v>554</v>
      </c>
      <c r="D12" s="220">
        <v>10</v>
      </c>
      <c r="E12" s="39"/>
    </row>
    <row r="13" spans="1:5" x14ac:dyDescent="0.25">
      <c r="A13" s="18"/>
      <c r="B13" s="220" t="s">
        <v>403</v>
      </c>
      <c r="C13" s="220" t="s">
        <v>554</v>
      </c>
      <c r="D13" s="220">
        <v>1</v>
      </c>
      <c r="E13" s="39"/>
    </row>
    <row r="14" spans="1:5" x14ac:dyDescent="0.25">
      <c r="A14" s="18"/>
      <c r="B14" s="2" t="s">
        <v>561</v>
      </c>
      <c r="C14" s="220" t="s">
        <v>554</v>
      </c>
      <c r="D14" s="220">
        <v>2</v>
      </c>
      <c r="E14" s="39"/>
    </row>
    <row r="15" spans="1:5" x14ac:dyDescent="0.25">
      <c r="A15" s="18"/>
      <c r="B15" s="2" t="s">
        <v>562</v>
      </c>
      <c r="C15" s="220" t="s">
        <v>554</v>
      </c>
      <c r="D15" s="220">
        <v>7</v>
      </c>
      <c r="E15" s="39"/>
    </row>
    <row r="16" spans="1:5" x14ac:dyDescent="0.25">
      <c r="A16" s="18"/>
      <c r="B16" s="2" t="s">
        <v>563</v>
      </c>
      <c r="C16" s="220" t="s">
        <v>554</v>
      </c>
      <c r="D16" s="220">
        <v>3</v>
      </c>
      <c r="E16" s="39"/>
    </row>
    <row r="17" spans="1:6" x14ac:dyDescent="0.25">
      <c r="A17" s="18"/>
      <c r="B17" s="220" t="s">
        <v>564</v>
      </c>
      <c r="C17" s="220" t="s">
        <v>554</v>
      </c>
      <c r="D17" s="2">
        <v>2</v>
      </c>
      <c r="E17" s="39"/>
    </row>
    <row r="18" spans="1:6" x14ac:dyDescent="0.25">
      <c r="A18" s="18"/>
      <c r="B18" s="220" t="s">
        <v>232</v>
      </c>
      <c r="C18" s="220" t="s">
        <v>554</v>
      </c>
      <c r="D18" s="220">
        <v>1</v>
      </c>
      <c r="E18" s="39"/>
    </row>
    <row r="19" spans="1:6" x14ac:dyDescent="0.25">
      <c r="A19" s="18"/>
      <c r="B19" t="s">
        <v>565</v>
      </c>
      <c r="C19" s="220" t="s">
        <v>554</v>
      </c>
      <c r="D19" s="220">
        <v>2</v>
      </c>
      <c r="E19" s="39"/>
    </row>
    <row r="20" spans="1:6" x14ac:dyDescent="0.25">
      <c r="A20" s="18"/>
      <c r="B20" t="s">
        <v>566</v>
      </c>
      <c r="C20" s="220" t="s">
        <v>554</v>
      </c>
      <c r="D20" s="220">
        <v>2</v>
      </c>
      <c r="E20" s="39"/>
    </row>
    <row r="21" spans="1:6" x14ac:dyDescent="0.25">
      <c r="A21" s="18"/>
      <c r="B21" s="220" t="s">
        <v>567</v>
      </c>
      <c r="C21" s="220" t="s">
        <v>559</v>
      </c>
      <c r="D21" s="2">
        <v>1</v>
      </c>
      <c r="E21" s="39"/>
      <c r="F21" s="2" t="s">
        <v>568</v>
      </c>
    </row>
    <row r="22" spans="1:6" x14ac:dyDescent="0.25">
      <c r="A22" s="18"/>
      <c r="B22" t="s">
        <v>569</v>
      </c>
      <c r="C22" s="220" t="s">
        <v>388</v>
      </c>
      <c r="D22" s="2">
        <v>1</v>
      </c>
      <c r="E22" s="39"/>
    </row>
    <row r="23" spans="1:6" x14ac:dyDescent="0.25">
      <c r="A23" s="18"/>
      <c r="B23" t="s">
        <v>570</v>
      </c>
      <c r="C23" s="220" t="s">
        <v>388</v>
      </c>
      <c r="D23" s="2">
        <v>2</v>
      </c>
      <c r="E23" s="39"/>
    </row>
    <row r="24" spans="1:6" x14ac:dyDescent="0.25">
      <c r="A24" s="18"/>
      <c r="B24" t="s">
        <v>571</v>
      </c>
      <c r="C24" s="220" t="s">
        <v>388</v>
      </c>
      <c r="D24" s="2">
        <v>1</v>
      </c>
      <c r="E24" s="39"/>
    </row>
    <row r="25" spans="1:6" x14ac:dyDescent="0.25">
      <c r="A25" s="18"/>
      <c r="B25" t="s">
        <v>572</v>
      </c>
      <c r="C25" s="220" t="s">
        <v>388</v>
      </c>
      <c r="D25" s="220">
        <v>1</v>
      </c>
      <c r="E25" s="39"/>
    </row>
    <row r="26" spans="1:6" x14ac:dyDescent="0.25">
      <c r="A26" s="18"/>
      <c r="B26" t="s">
        <v>573</v>
      </c>
      <c r="C26" s="220" t="s">
        <v>388</v>
      </c>
      <c r="D26" s="1">
        <v>1</v>
      </c>
      <c r="E26" s="39"/>
    </row>
    <row r="27" spans="1:6" x14ac:dyDescent="0.25">
      <c r="A27" s="18"/>
      <c r="B27" t="s">
        <v>574</v>
      </c>
      <c r="C27" s="220" t="s">
        <v>388</v>
      </c>
      <c r="D27" s="1">
        <v>1</v>
      </c>
      <c r="E27" s="39"/>
    </row>
    <row r="28" spans="1:6" x14ac:dyDescent="0.25">
      <c r="A28" s="18"/>
      <c r="B28" s="1" t="s">
        <v>575</v>
      </c>
      <c r="C28" s="220" t="s">
        <v>388</v>
      </c>
      <c r="D28" s="220">
        <v>2</v>
      </c>
      <c r="E28" s="39"/>
    </row>
    <row r="29" spans="1:6" x14ac:dyDescent="0.25">
      <c r="A29" s="18"/>
      <c r="B29" s="220" t="s">
        <v>576</v>
      </c>
      <c r="C29" s="220" t="s">
        <v>388</v>
      </c>
      <c r="D29" s="2">
        <v>4</v>
      </c>
      <c r="E29" s="39"/>
    </row>
    <row r="30" spans="1:6" x14ac:dyDescent="0.25">
      <c r="A30" s="18"/>
      <c r="B30" s="220" t="s">
        <v>577</v>
      </c>
      <c r="C30" s="220" t="s">
        <v>538</v>
      </c>
      <c r="D30" s="2">
        <v>1</v>
      </c>
      <c r="E30" s="39"/>
    </row>
    <row r="31" spans="1:6" x14ac:dyDescent="0.25">
      <c r="A31" s="18"/>
      <c r="B31" t="s">
        <v>578</v>
      </c>
      <c r="C31" s="220" t="s">
        <v>388</v>
      </c>
      <c r="D31" s="220">
        <v>1</v>
      </c>
      <c r="E31" s="39"/>
    </row>
    <row r="32" spans="1:6" x14ac:dyDescent="0.25">
      <c r="A32" s="18"/>
      <c r="B32" s="1" t="s">
        <v>579</v>
      </c>
      <c r="C32" s="220" t="s">
        <v>580</v>
      </c>
      <c r="D32" s="220">
        <v>2</v>
      </c>
      <c r="E32" s="39"/>
    </row>
    <row r="33" spans="1:5" x14ac:dyDescent="0.25">
      <c r="A33" s="18"/>
      <c r="B33" t="s">
        <v>581</v>
      </c>
      <c r="C33" s="220" t="s">
        <v>582</v>
      </c>
      <c r="D33" s="220">
        <v>2</v>
      </c>
      <c r="E33" s="39"/>
    </row>
    <row r="34" spans="1:5" x14ac:dyDescent="0.25">
      <c r="A34" s="18"/>
      <c r="B34" s="1" t="s">
        <v>583</v>
      </c>
      <c r="C34" s="220" t="s">
        <v>584</v>
      </c>
      <c r="D34" s="220">
        <v>2</v>
      </c>
      <c r="E34" s="39"/>
    </row>
    <row r="35" spans="1:5" x14ac:dyDescent="0.25">
      <c r="A35" s="18"/>
      <c r="B35" s="1" t="s">
        <v>585</v>
      </c>
      <c r="C35" s="220" t="s">
        <v>580</v>
      </c>
      <c r="D35" s="220">
        <v>2</v>
      </c>
      <c r="E35" s="39"/>
    </row>
    <row r="36" spans="1:5" x14ac:dyDescent="0.25">
      <c r="A36" s="18"/>
      <c r="B36" s="220" t="s">
        <v>586</v>
      </c>
      <c r="C36" s="220" t="s">
        <v>587</v>
      </c>
      <c r="D36" s="220">
        <v>2</v>
      </c>
      <c r="E36" s="39"/>
    </row>
    <row r="37" spans="1:5" x14ac:dyDescent="0.25">
      <c r="A37" s="18"/>
      <c r="B37" s="220" t="s">
        <v>588</v>
      </c>
      <c r="C37" s="220" t="s">
        <v>584</v>
      </c>
      <c r="D37" s="220">
        <v>2</v>
      </c>
      <c r="E37" s="39"/>
    </row>
    <row r="38" spans="1:5" x14ac:dyDescent="0.25">
      <c r="A38" s="18"/>
      <c r="B38" s="1" t="s">
        <v>589</v>
      </c>
      <c r="C38" s="220" t="s">
        <v>388</v>
      </c>
      <c r="D38" s="220">
        <v>1</v>
      </c>
      <c r="E38" s="39"/>
    </row>
    <row r="39" spans="1:5" x14ac:dyDescent="0.25">
      <c r="A39" s="18"/>
      <c r="B39" s="220" t="s">
        <v>590</v>
      </c>
      <c r="C39" s="220" t="s">
        <v>388</v>
      </c>
      <c r="D39" s="2">
        <v>1</v>
      </c>
      <c r="E39" s="39"/>
    </row>
    <row r="40" spans="1:5" x14ac:dyDescent="0.25">
      <c r="A40" s="18"/>
      <c r="B40" s="220" t="s">
        <v>591</v>
      </c>
      <c r="C40" s="220" t="s">
        <v>388</v>
      </c>
      <c r="D40" s="2">
        <v>1</v>
      </c>
      <c r="E40" s="39"/>
    </row>
    <row r="41" spans="1:5" x14ac:dyDescent="0.25">
      <c r="A41" s="18"/>
      <c r="B41" s="220" t="s">
        <v>592</v>
      </c>
      <c r="C41" s="220" t="s">
        <v>388</v>
      </c>
      <c r="D41" s="2">
        <v>1</v>
      </c>
      <c r="E41" s="39"/>
    </row>
    <row r="42" spans="1:5" x14ac:dyDescent="0.25">
      <c r="A42" s="18"/>
      <c r="B42" s="220" t="s">
        <v>593</v>
      </c>
      <c r="C42" s="220" t="s">
        <v>388</v>
      </c>
      <c r="D42" s="2">
        <v>1</v>
      </c>
      <c r="E42" s="39"/>
    </row>
    <row r="43" spans="1:5" x14ac:dyDescent="0.25">
      <c r="A43" s="18"/>
      <c r="B43" s="220" t="s">
        <v>594</v>
      </c>
      <c r="C43" s="220" t="s">
        <v>388</v>
      </c>
      <c r="D43" s="220">
        <v>1</v>
      </c>
      <c r="E43" s="39"/>
    </row>
    <row r="44" spans="1:5" ht="15.75" thickBot="1" x14ac:dyDescent="0.3">
      <c r="A44" s="44"/>
      <c r="B44" s="220" t="s">
        <v>595</v>
      </c>
      <c r="C44" s="220" t="s">
        <v>388</v>
      </c>
      <c r="D44" s="2">
        <v>1</v>
      </c>
      <c r="E44" s="46"/>
    </row>
    <row r="45" spans="1:5" x14ac:dyDescent="0.25">
      <c r="C45" s="232"/>
    </row>
    <row r="46" spans="1:5" ht="30" x14ac:dyDescent="0.25">
      <c r="B46" s="96" t="s">
        <v>596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36"/>
      <c r="B1" s="49" t="s">
        <v>360</v>
      </c>
      <c r="C1" s="230" t="s">
        <v>361</v>
      </c>
      <c r="D1" s="230" t="s">
        <v>362</v>
      </c>
      <c r="E1" s="33"/>
    </row>
    <row r="2" spans="1:5" x14ac:dyDescent="0.25">
      <c r="A2" s="37" t="s">
        <v>363</v>
      </c>
      <c r="B2" s="8" t="s">
        <v>597</v>
      </c>
      <c r="C2" s="220"/>
      <c r="D2" s="220">
        <v>6</v>
      </c>
      <c r="E2" s="38" t="s">
        <v>366</v>
      </c>
    </row>
    <row r="3" spans="1:5" x14ac:dyDescent="0.25">
      <c r="A3" s="34" t="s">
        <v>367</v>
      </c>
      <c r="B3" s="219" t="s">
        <v>268</v>
      </c>
      <c r="D3" s="220">
        <v>1</v>
      </c>
      <c r="E3" s="238" t="s">
        <v>369</v>
      </c>
    </row>
    <row r="4" spans="1:5" x14ac:dyDescent="0.25">
      <c r="A4" s="34" t="s">
        <v>370</v>
      </c>
      <c r="B4" s="220" t="s">
        <v>598</v>
      </c>
      <c r="C4" s="220"/>
      <c r="D4" s="220">
        <v>1</v>
      </c>
      <c r="E4" s="238" t="s">
        <v>372</v>
      </c>
    </row>
    <row r="5" spans="1:5" x14ac:dyDescent="0.25">
      <c r="A5" s="34" t="s">
        <v>373</v>
      </c>
      <c r="B5" s="219" t="s">
        <v>277</v>
      </c>
      <c r="C5" s="220"/>
      <c r="D5" s="220">
        <v>1</v>
      </c>
      <c r="E5" s="238" t="s">
        <v>376</v>
      </c>
    </row>
    <row r="6" spans="1:5" x14ac:dyDescent="0.25">
      <c r="A6" s="18"/>
      <c r="B6" s="219" t="s">
        <v>271</v>
      </c>
      <c r="D6" s="220">
        <v>1</v>
      </c>
      <c r="E6" s="39"/>
    </row>
    <row r="7" spans="1:5" x14ac:dyDescent="0.25">
      <c r="A7" s="18"/>
      <c r="B7" s="220" t="s">
        <v>599</v>
      </c>
      <c r="C7" s="220"/>
      <c r="D7" s="220">
        <v>1</v>
      </c>
      <c r="E7" s="39"/>
    </row>
    <row r="8" spans="1:5" x14ac:dyDescent="0.25">
      <c r="A8" s="18"/>
      <c r="B8" t="s">
        <v>170</v>
      </c>
      <c r="C8" s="220"/>
      <c r="D8" s="220">
        <v>4</v>
      </c>
      <c r="E8" s="39"/>
    </row>
    <row r="9" spans="1:5" x14ac:dyDescent="0.25">
      <c r="A9" s="18"/>
      <c r="B9" t="s">
        <v>173</v>
      </c>
      <c r="D9" s="220">
        <v>12</v>
      </c>
      <c r="E9" s="39"/>
    </row>
    <row r="10" spans="1:5" x14ac:dyDescent="0.25">
      <c r="A10" s="18"/>
      <c r="B10" t="s">
        <v>181</v>
      </c>
      <c r="D10" s="220">
        <v>4</v>
      </c>
      <c r="E10" s="39"/>
    </row>
    <row r="11" spans="1:5" x14ac:dyDescent="0.25">
      <c r="A11" s="18"/>
      <c r="B11" t="s">
        <v>185</v>
      </c>
      <c r="D11" s="220">
        <v>4</v>
      </c>
      <c r="E11" s="39"/>
    </row>
    <row r="12" spans="1:5" x14ac:dyDescent="0.25">
      <c r="A12" s="34" t="s">
        <v>384</v>
      </c>
      <c r="B12" t="s">
        <v>383</v>
      </c>
      <c r="D12" s="220">
        <v>2</v>
      </c>
      <c r="E12" s="39"/>
    </row>
    <row r="13" spans="1:5" x14ac:dyDescent="0.25">
      <c r="A13" s="18"/>
      <c r="B13" s="1" t="s">
        <v>385</v>
      </c>
      <c r="D13" s="220">
        <v>2</v>
      </c>
      <c r="E13" s="39"/>
    </row>
    <row r="14" spans="1:5" x14ac:dyDescent="0.25">
      <c r="A14" s="18"/>
      <c r="B14" s="2" t="s">
        <v>211</v>
      </c>
      <c r="D14" s="220">
        <v>6</v>
      </c>
      <c r="E14" s="39"/>
    </row>
    <row r="15" spans="1:5" x14ac:dyDescent="0.25">
      <c r="A15" s="18"/>
      <c r="B15" t="s">
        <v>600</v>
      </c>
      <c r="D15" s="220">
        <v>1</v>
      </c>
      <c r="E15" s="39"/>
    </row>
    <row r="16" spans="1:5" x14ac:dyDescent="0.25">
      <c r="A16" s="18"/>
      <c r="B16" s="215" t="s">
        <v>601</v>
      </c>
      <c r="D16" s="220">
        <v>1</v>
      </c>
      <c r="E16" s="39"/>
    </row>
    <row r="17" spans="1:5" x14ac:dyDescent="0.25">
      <c r="A17" s="18"/>
      <c r="B17" s="21" t="s">
        <v>602</v>
      </c>
      <c r="D17" s="220">
        <v>1</v>
      </c>
      <c r="E17" s="39"/>
    </row>
    <row r="18" spans="1:5" ht="15.75" thickBot="1" x14ac:dyDescent="0.3">
      <c r="A18" s="44"/>
      <c r="B18" s="35" t="s">
        <v>603</v>
      </c>
      <c r="C18" s="35"/>
      <c r="D18" s="244">
        <v>1</v>
      </c>
      <c r="E18" s="46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36"/>
      <c r="B1" s="12" t="s">
        <v>360</v>
      </c>
      <c r="C1" s="230" t="s">
        <v>361</v>
      </c>
      <c r="D1" s="230" t="s">
        <v>362</v>
      </c>
      <c r="E1" s="33"/>
    </row>
    <row r="2" spans="1:5" x14ac:dyDescent="0.25">
      <c r="A2" s="37" t="s">
        <v>363</v>
      </c>
      <c r="B2" s="23" t="s">
        <v>604</v>
      </c>
      <c r="C2" s="2" t="s">
        <v>605</v>
      </c>
      <c r="D2" s="9">
        <v>1</v>
      </c>
      <c r="E2" s="38" t="s">
        <v>366</v>
      </c>
    </row>
    <row r="3" spans="1:5" x14ac:dyDescent="0.25">
      <c r="A3" s="34" t="s">
        <v>367</v>
      </c>
      <c r="B3" s="23" t="s">
        <v>604</v>
      </c>
      <c r="C3" s="2" t="s">
        <v>606</v>
      </c>
      <c r="D3" s="9">
        <v>1</v>
      </c>
      <c r="E3" s="238" t="s">
        <v>369</v>
      </c>
    </row>
    <row r="4" spans="1:5" x14ac:dyDescent="0.25">
      <c r="A4" s="34" t="s">
        <v>370</v>
      </c>
      <c r="B4" s="23" t="s">
        <v>604</v>
      </c>
      <c r="C4" s="2" t="s">
        <v>607</v>
      </c>
      <c r="D4" s="9">
        <v>1</v>
      </c>
      <c r="E4" s="238" t="s">
        <v>372</v>
      </c>
    </row>
    <row r="5" spans="1:5" x14ac:dyDescent="0.25">
      <c r="A5" s="34" t="s">
        <v>373</v>
      </c>
      <c r="B5" s="22" t="s">
        <v>608</v>
      </c>
      <c r="C5" s="220" t="s">
        <v>609</v>
      </c>
      <c r="D5" s="226">
        <v>2</v>
      </c>
      <c r="E5" s="238" t="s">
        <v>376</v>
      </c>
    </row>
    <row r="6" spans="1:5" x14ac:dyDescent="0.25">
      <c r="A6" s="18"/>
      <c r="B6" s="245" t="s">
        <v>608</v>
      </c>
      <c r="C6" s="220" t="s">
        <v>610</v>
      </c>
      <c r="D6" s="226">
        <v>5</v>
      </c>
      <c r="E6" s="39"/>
    </row>
    <row r="7" spans="1:5" x14ac:dyDescent="0.25">
      <c r="A7" s="18"/>
      <c r="B7" s="13" t="s">
        <v>611</v>
      </c>
      <c r="C7" s="220" t="s">
        <v>609</v>
      </c>
      <c r="D7" s="226">
        <v>2</v>
      </c>
      <c r="E7" s="39"/>
    </row>
    <row r="8" spans="1:5" x14ac:dyDescent="0.25">
      <c r="A8" s="18"/>
      <c r="B8" s="13" t="s">
        <v>611</v>
      </c>
      <c r="C8" s="220" t="s">
        <v>610</v>
      </c>
      <c r="D8" s="9">
        <v>2</v>
      </c>
      <c r="E8" s="39"/>
    </row>
    <row r="9" spans="1:5" x14ac:dyDescent="0.25">
      <c r="A9" s="18"/>
      <c r="B9" s="246" t="s">
        <v>152</v>
      </c>
      <c r="C9" s="220" t="s">
        <v>612</v>
      </c>
      <c r="D9" s="9">
        <v>1</v>
      </c>
      <c r="E9" s="39"/>
    </row>
    <row r="10" spans="1:5" x14ac:dyDescent="0.25">
      <c r="A10" s="18"/>
      <c r="B10" s="22" t="s">
        <v>613</v>
      </c>
      <c r="C10" s="220" t="s">
        <v>609</v>
      </c>
      <c r="D10" s="226">
        <v>2</v>
      </c>
      <c r="E10" s="39"/>
    </row>
    <row r="11" spans="1:5" x14ac:dyDescent="0.25">
      <c r="A11" s="18"/>
      <c r="B11" s="22" t="s">
        <v>613</v>
      </c>
      <c r="C11" s="220" t="s">
        <v>610</v>
      </c>
      <c r="D11" s="9">
        <v>2</v>
      </c>
      <c r="E11" s="39"/>
    </row>
    <row r="12" spans="1:5" x14ac:dyDescent="0.25">
      <c r="A12" s="34" t="s">
        <v>384</v>
      </c>
      <c r="B12" s="246" t="s">
        <v>614</v>
      </c>
      <c r="C12" s="220" t="s">
        <v>615</v>
      </c>
      <c r="D12" s="9">
        <v>5</v>
      </c>
      <c r="E12" s="39"/>
    </row>
    <row r="13" spans="1:5" x14ac:dyDescent="0.25">
      <c r="A13" s="34"/>
      <c r="B13" s="22" t="s">
        <v>616</v>
      </c>
      <c r="C13" s="220" t="s">
        <v>617</v>
      </c>
      <c r="D13" s="226">
        <v>2</v>
      </c>
      <c r="E13" s="39"/>
    </row>
    <row r="14" spans="1:5" x14ac:dyDescent="0.25">
      <c r="A14" s="34"/>
      <c r="B14" s="22" t="s">
        <v>608</v>
      </c>
      <c r="C14" s="220" t="s">
        <v>617</v>
      </c>
      <c r="D14" s="226">
        <v>2</v>
      </c>
      <c r="E14" s="39"/>
    </row>
    <row r="15" spans="1:5" x14ac:dyDescent="0.25">
      <c r="A15" s="18"/>
      <c r="B15" s="22" t="s">
        <v>616</v>
      </c>
      <c r="C15" s="220" t="s">
        <v>609</v>
      </c>
      <c r="D15" s="226">
        <v>2</v>
      </c>
      <c r="E15" s="39"/>
    </row>
    <row r="16" spans="1:5" x14ac:dyDescent="0.25">
      <c r="A16" s="18"/>
      <c r="B16" s="22" t="s">
        <v>616</v>
      </c>
      <c r="C16" s="220" t="s">
        <v>610</v>
      </c>
      <c r="D16" s="226">
        <v>5</v>
      </c>
      <c r="E16" s="39"/>
    </row>
    <row r="17" spans="1:5" x14ac:dyDescent="0.25">
      <c r="A17" s="18"/>
      <c r="B17" s="246" t="s">
        <v>618</v>
      </c>
      <c r="C17" s="220" t="s">
        <v>619</v>
      </c>
      <c r="D17" s="226">
        <v>5</v>
      </c>
      <c r="E17" s="39"/>
    </row>
    <row r="18" spans="1:5" x14ac:dyDescent="0.25">
      <c r="A18" s="18"/>
      <c r="B18" s="246" t="s">
        <v>618</v>
      </c>
      <c r="C18" s="220" t="s">
        <v>610</v>
      </c>
      <c r="D18" s="226">
        <v>5</v>
      </c>
      <c r="E18" s="39"/>
    </row>
    <row r="19" spans="1:5" x14ac:dyDescent="0.25">
      <c r="A19" s="18"/>
      <c r="B19" s="22" t="s">
        <v>616</v>
      </c>
      <c r="C19" s="2" t="s">
        <v>620</v>
      </c>
      <c r="D19" s="9">
        <v>2</v>
      </c>
      <c r="E19" s="39"/>
    </row>
    <row r="20" spans="1:5" x14ac:dyDescent="0.25">
      <c r="A20" s="18"/>
      <c r="B20" s="245" t="s">
        <v>608</v>
      </c>
      <c r="C20" s="2" t="s">
        <v>620</v>
      </c>
      <c r="D20" s="9">
        <v>2</v>
      </c>
      <c r="E20" s="39"/>
    </row>
    <row r="21" spans="1:5" x14ac:dyDescent="0.25">
      <c r="A21" s="18"/>
      <c r="B21" s="2" t="s">
        <v>621</v>
      </c>
      <c r="C21" s="2" t="s">
        <v>622</v>
      </c>
      <c r="D21" s="9">
        <v>3</v>
      </c>
      <c r="E21" s="39"/>
    </row>
    <row r="22" spans="1:5" x14ac:dyDescent="0.25">
      <c r="A22" s="18"/>
      <c r="B22" s="2" t="s">
        <v>623</v>
      </c>
      <c r="C22" s="2" t="s">
        <v>622</v>
      </c>
      <c r="D22" s="9">
        <v>3</v>
      </c>
      <c r="E22" s="39"/>
    </row>
    <row r="23" spans="1:5" x14ac:dyDescent="0.25">
      <c r="A23" s="18"/>
      <c r="B23" s="2" t="s">
        <v>624</v>
      </c>
      <c r="C23" s="2" t="s">
        <v>622</v>
      </c>
      <c r="D23" s="9">
        <v>3</v>
      </c>
      <c r="E23" s="39"/>
    </row>
    <row r="24" spans="1:5" x14ac:dyDescent="0.25">
      <c r="A24" s="18"/>
      <c r="B24" s="239" t="s">
        <v>625</v>
      </c>
      <c r="C24" s="239" t="s">
        <v>442</v>
      </c>
      <c r="D24" s="40"/>
      <c r="E24" s="39"/>
    </row>
    <row r="25" spans="1:5" x14ac:dyDescent="0.25">
      <c r="A25" s="18"/>
      <c r="B25" s="220" t="s">
        <v>149</v>
      </c>
      <c r="C25" s="220" t="s">
        <v>626</v>
      </c>
      <c r="D25" s="220">
        <v>1</v>
      </c>
      <c r="E25" s="39"/>
    </row>
    <row r="26" spans="1:5" x14ac:dyDescent="0.25">
      <c r="A26" s="18"/>
      <c r="B26" s="220" t="s">
        <v>627</v>
      </c>
      <c r="D26" s="9">
        <v>1</v>
      </c>
      <c r="E26" s="39"/>
    </row>
    <row r="27" spans="1:5" x14ac:dyDescent="0.25">
      <c r="A27" s="18"/>
      <c r="B27" s="41" t="s">
        <v>434</v>
      </c>
      <c r="D27" s="9">
        <v>1</v>
      </c>
      <c r="E27" s="39"/>
    </row>
    <row r="28" spans="1:5" ht="14.25" customHeight="1" x14ac:dyDescent="0.25">
      <c r="A28" s="18"/>
      <c r="B28" s="42" t="s">
        <v>124</v>
      </c>
      <c r="C28" s="43"/>
      <c r="D28" s="43">
        <v>1</v>
      </c>
      <c r="E28" s="39"/>
    </row>
    <row r="29" spans="1:5" ht="15.75" customHeight="1" x14ac:dyDescent="0.25">
      <c r="A29" s="18"/>
      <c r="B29" s="42" t="s">
        <v>127</v>
      </c>
      <c r="C29" s="43"/>
      <c r="D29" s="43">
        <v>1</v>
      </c>
      <c r="E29" s="39"/>
    </row>
    <row r="30" spans="1:5" ht="15" customHeight="1" x14ac:dyDescent="0.25">
      <c r="A30" s="18"/>
      <c r="B30" s="42" t="s">
        <v>129</v>
      </c>
      <c r="C30" s="43"/>
      <c r="D30" s="43">
        <v>2</v>
      </c>
      <c r="E30" s="39"/>
    </row>
    <row r="31" spans="1:5" ht="14.25" customHeight="1" x14ac:dyDescent="0.25">
      <c r="A31" s="18"/>
      <c r="B31" s="42" t="s">
        <v>131</v>
      </c>
      <c r="C31" s="43"/>
      <c r="D31" s="43">
        <v>2</v>
      </c>
      <c r="E31" s="39"/>
    </row>
    <row r="32" spans="1:5" x14ac:dyDescent="0.25">
      <c r="A32" s="18"/>
      <c r="B32" s="219" t="s">
        <v>40</v>
      </c>
      <c r="D32" s="220">
        <v>1</v>
      </c>
      <c r="E32" s="39"/>
    </row>
    <row r="33" spans="1:5" x14ac:dyDescent="0.25">
      <c r="A33" s="18"/>
      <c r="B33" t="s">
        <v>170</v>
      </c>
      <c r="C33" s="21"/>
      <c r="D33">
        <v>6</v>
      </c>
      <c r="E33" s="39"/>
    </row>
    <row r="34" spans="1:5" x14ac:dyDescent="0.25">
      <c r="A34" s="18"/>
      <c r="B34" t="s">
        <v>173</v>
      </c>
      <c r="C34" s="21"/>
      <c r="D34">
        <v>20</v>
      </c>
      <c r="E34" s="39"/>
    </row>
    <row r="35" spans="1:5" x14ac:dyDescent="0.25">
      <c r="A35" s="18"/>
      <c r="B35" s="11" t="s">
        <v>181</v>
      </c>
      <c r="C35" s="21"/>
      <c r="D35">
        <v>12</v>
      </c>
      <c r="E35" s="39"/>
    </row>
    <row r="36" spans="1:5" x14ac:dyDescent="0.25">
      <c r="A36" s="18"/>
      <c r="B36" s="11" t="s">
        <v>185</v>
      </c>
      <c r="C36" s="21"/>
      <c r="D36">
        <v>6</v>
      </c>
      <c r="E36" s="39"/>
    </row>
    <row r="37" spans="1:5" x14ac:dyDescent="0.25">
      <c r="A37" s="18"/>
      <c r="B37" s="11" t="s">
        <v>205</v>
      </c>
      <c r="C37" s="21"/>
      <c r="D37">
        <v>3</v>
      </c>
      <c r="E37" s="39"/>
    </row>
    <row r="38" spans="1:5" x14ac:dyDescent="0.25">
      <c r="A38" s="18"/>
      <c r="B38" s="11" t="s">
        <v>383</v>
      </c>
      <c r="C38" s="21"/>
      <c r="D38">
        <v>14</v>
      </c>
      <c r="E38" s="39"/>
    </row>
    <row r="39" spans="1:5" x14ac:dyDescent="0.25">
      <c r="A39" s="18"/>
      <c r="B39" s="11" t="s">
        <v>385</v>
      </c>
      <c r="C39" s="21"/>
      <c r="D39">
        <v>15</v>
      </c>
      <c r="E39" s="39"/>
    </row>
    <row r="40" spans="1:5" x14ac:dyDescent="0.25">
      <c r="A40" s="18"/>
      <c r="B40" s="11" t="s">
        <v>211</v>
      </c>
      <c r="C40" s="21"/>
      <c r="D40">
        <v>17</v>
      </c>
      <c r="E40" s="39"/>
    </row>
    <row r="41" spans="1:5" x14ac:dyDescent="0.25">
      <c r="A41" s="18"/>
      <c r="B41" s="246" t="s">
        <v>43</v>
      </c>
      <c r="C41" s="220" t="s">
        <v>628</v>
      </c>
      <c r="D41" s="9">
        <v>2</v>
      </c>
      <c r="E41" s="39"/>
    </row>
    <row r="42" spans="1:5" ht="15" customHeight="1" x14ac:dyDescent="0.25">
      <c r="A42" s="18"/>
      <c r="B42" s="246" t="s">
        <v>46</v>
      </c>
      <c r="C42" s="220" t="s">
        <v>628</v>
      </c>
      <c r="D42" s="9">
        <v>1</v>
      </c>
      <c r="E42" s="39"/>
    </row>
    <row r="43" spans="1:5" x14ac:dyDescent="0.25">
      <c r="A43" s="18"/>
      <c r="B43" s="18" t="s">
        <v>629</v>
      </c>
      <c r="C43" s="220" t="s">
        <v>628</v>
      </c>
      <c r="D43" s="9">
        <v>1</v>
      </c>
      <c r="E43" s="39"/>
    </row>
    <row r="44" spans="1:5" x14ac:dyDescent="0.25">
      <c r="A44" s="18"/>
      <c r="B44" s="246" t="s">
        <v>35</v>
      </c>
      <c r="C44" s="220" t="s">
        <v>630</v>
      </c>
      <c r="D44" s="9">
        <v>1</v>
      </c>
      <c r="E44" s="39"/>
    </row>
    <row r="45" spans="1:5" x14ac:dyDescent="0.25">
      <c r="A45" s="18"/>
      <c r="B45" s="10" t="s">
        <v>631</v>
      </c>
      <c r="C45" s="220" t="s">
        <v>632</v>
      </c>
      <c r="D45" s="220">
        <v>1</v>
      </c>
      <c r="E45" s="39"/>
    </row>
    <row r="46" spans="1:5" x14ac:dyDescent="0.25">
      <c r="A46" s="18"/>
      <c r="B46" s="246" t="s">
        <v>138</v>
      </c>
      <c r="C46" s="220" t="s">
        <v>633</v>
      </c>
      <c r="D46" s="220">
        <v>1</v>
      </c>
      <c r="E46" s="39"/>
    </row>
    <row r="47" spans="1:5" x14ac:dyDescent="0.25">
      <c r="A47" s="18"/>
      <c r="B47" s="2" t="s">
        <v>120</v>
      </c>
      <c r="C47" s="220" t="s">
        <v>634</v>
      </c>
      <c r="D47" s="9">
        <v>3</v>
      </c>
      <c r="E47" s="39"/>
    </row>
    <row r="48" spans="1:5" ht="16.5" customHeight="1" x14ac:dyDescent="0.25">
      <c r="A48" s="18"/>
      <c r="B48" t="s">
        <v>635</v>
      </c>
      <c r="C48" s="220" t="s">
        <v>636</v>
      </c>
      <c r="D48" s="9">
        <v>1</v>
      </c>
      <c r="E48" s="39"/>
    </row>
    <row r="49" spans="1:5" ht="16.5" customHeight="1" x14ac:dyDescent="0.25">
      <c r="A49" s="18"/>
      <c r="B49" t="s">
        <v>637</v>
      </c>
      <c r="C49" s="220" t="s">
        <v>638</v>
      </c>
      <c r="D49" s="9">
        <v>1</v>
      </c>
      <c r="E49" s="39"/>
    </row>
    <row r="50" spans="1:5" ht="16.5" customHeight="1" x14ac:dyDescent="0.25">
      <c r="A50" s="18"/>
      <c r="B50" s="220" t="s">
        <v>639</v>
      </c>
      <c r="C50" s="220" t="s">
        <v>640</v>
      </c>
      <c r="D50" s="9">
        <v>2</v>
      </c>
      <c r="E50" s="39"/>
    </row>
    <row r="51" spans="1:5" ht="16.5" customHeight="1" thickBot="1" x14ac:dyDescent="0.3">
      <c r="A51" s="44"/>
      <c r="B51" s="32" t="s">
        <v>641</v>
      </c>
      <c r="C51" s="244" t="s">
        <v>636</v>
      </c>
      <c r="D51" s="45">
        <v>1</v>
      </c>
      <c r="E51" s="46"/>
    </row>
    <row r="53" spans="1:5" ht="60" x14ac:dyDescent="0.25">
      <c r="B53" s="2" t="s">
        <v>642</v>
      </c>
      <c r="C53" s="95" t="s">
        <v>643</v>
      </c>
      <c r="E53" s="98" t="s">
        <v>644</v>
      </c>
    </row>
    <row r="54" spans="1:5" x14ac:dyDescent="0.25">
      <c r="B54" s="2" t="s">
        <v>645</v>
      </c>
    </row>
    <row r="56" spans="1:5" x14ac:dyDescent="0.25">
      <c r="B56" s="2" t="s">
        <v>646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5"/>
  <sheetViews>
    <sheetView tabSelected="1" workbookViewId="0">
      <pane ySplit="1" topLeftCell="A8" activePane="bottomLeft" state="frozen"/>
      <selection pane="bottomLeft" activeCell="G1" sqref="G1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647</v>
      </c>
      <c r="B1" s="1" t="s">
        <v>1</v>
      </c>
      <c r="C1" s="1" t="s">
        <v>648</v>
      </c>
      <c r="D1" s="1" t="s">
        <v>1184</v>
      </c>
      <c r="E1" s="78" t="s">
        <v>649</v>
      </c>
      <c r="F1" s="1" t="s">
        <v>650</v>
      </c>
      <c r="G1" s="1" t="s">
        <v>1197</v>
      </c>
      <c r="I1" s="1" t="s">
        <v>651</v>
      </c>
      <c r="J1" s="1" t="s">
        <v>652</v>
      </c>
      <c r="K1" s="1" t="s">
        <v>653</v>
      </c>
      <c r="L1" s="1" t="s">
        <v>1196</v>
      </c>
    </row>
    <row r="2" spans="1:12" x14ac:dyDescent="0.25">
      <c r="A2" s="1" t="s">
        <v>654</v>
      </c>
      <c r="B2" s="24" t="s">
        <v>414</v>
      </c>
      <c r="C2" s="90">
        <v>98</v>
      </c>
      <c r="D2" s="24">
        <v>1</v>
      </c>
      <c r="E2" s="84">
        <f>SUM(Table6[[#This Row],[Weight]]*Table6[[#This Row],[QTY]])</f>
        <v>98</v>
      </c>
      <c r="F2" s="80">
        <f>$J$2/1000*Table6[[#This Row],[Weight]]*Table6[[#This Row],[QTY]]</f>
        <v>12.74</v>
      </c>
      <c r="G2" s="82"/>
      <c r="I2" s="93" t="s">
        <v>655</v>
      </c>
      <c r="J2" s="93">
        <v>130</v>
      </c>
      <c r="K2" s="297">
        <v>1.3</v>
      </c>
    </row>
    <row r="3" spans="1:12" x14ac:dyDescent="0.25">
      <c r="A3" s="1" t="s">
        <v>654</v>
      </c>
      <c r="B3" s="24" t="s">
        <v>415</v>
      </c>
      <c r="C3" s="90">
        <v>10</v>
      </c>
      <c r="D3" s="24">
        <v>4</v>
      </c>
      <c r="E3" s="84">
        <f>SUM(Table6[[#This Row],[Weight]]*Table6[[#This Row],[QTY]])</f>
        <v>40</v>
      </c>
      <c r="F3" s="80">
        <f>$J$2/1000*Table6[[#This Row],[Weight]]*Table6[[#This Row],[QTY]]</f>
        <v>5.2</v>
      </c>
      <c r="G3" s="82">
        <v>1.3888888888888888E-2</v>
      </c>
      <c r="I3" s="1" t="s">
        <v>656</v>
      </c>
      <c r="J3">
        <v>130</v>
      </c>
      <c r="K3">
        <v>1.3</v>
      </c>
      <c r="L3">
        <v>8</v>
      </c>
    </row>
    <row r="4" spans="1:12" x14ac:dyDescent="0.25">
      <c r="A4" s="1" t="s">
        <v>654</v>
      </c>
      <c r="B4" s="1" t="s">
        <v>416</v>
      </c>
      <c r="C4" s="90">
        <v>49</v>
      </c>
      <c r="D4" s="1">
        <v>1</v>
      </c>
      <c r="E4" s="85">
        <f>SUM(Table6[[#This Row],[Weight]]*Table6[[#This Row],[QTY]])</f>
        <v>49</v>
      </c>
      <c r="F4" s="80">
        <f>$J$2/1000*Table6[[#This Row],[Weight]]*Table6[[#This Row],[QTY]]</f>
        <v>6.37</v>
      </c>
      <c r="G4" s="82"/>
      <c r="I4" s="1" t="s">
        <v>657</v>
      </c>
      <c r="J4" s="1">
        <v>155</v>
      </c>
      <c r="K4">
        <v>1.3</v>
      </c>
      <c r="L4">
        <v>8</v>
      </c>
    </row>
    <row r="5" spans="1:12" x14ac:dyDescent="0.25">
      <c r="A5" s="1" t="s">
        <v>654</v>
      </c>
      <c r="B5" s="1" t="s">
        <v>417</v>
      </c>
      <c r="C5" s="90">
        <v>47</v>
      </c>
      <c r="D5" s="1">
        <v>1</v>
      </c>
      <c r="E5" s="85">
        <f>SUM(Table6[[#This Row],[Weight]]*Table6[[#This Row],[QTY]])</f>
        <v>47</v>
      </c>
      <c r="F5" s="80">
        <f>$J$2/1000*Table6[[#This Row],[Weight]]*Table6[[#This Row],[QTY]]</f>
        <v>6.11</v>
      </c>
      <c r="G5" s="82"/>
      <c r="I5" s="1" t="s">
        <v>658</v>
      </c>
      <c r="J5" s="1">
        <v>150</v>
      </c>
      <c r="K5">
        <v>1.25</v>
      </c>
    </row>
    <row r="6" spans="1:12" x14ac:dyDescent="0.25">
      <c r="A6" s="1" t="s">
        <v>654</v>
      </c>
      <c r="B6" s="24" t="s">
        <v>418</v>
      </c>
      <c r="C6" s="90">
        <v>11</v>
      </c>
      <c r="D6" s="24">
        <v>2</v>
      </c>
      <c r="E6" s="84">
        <f>SUM(Table6[[#This Row],[Weight]]*Table6[[#This Row],[QTY]])</f>
        <v>22</v>
      </c>
      <c r="F6" s="80">
        <f>$J$2/1000*Table6[[#This Row],[Weight]]*Table6[[#This Row],[QTY]]</f>
        <v>2.8600000000000003</v>
      </c>
      <c r="G6" s="82"/>
      <c r="I6" s="1"/>
      <c r="L6" s="1"/>
    </row>
    <row r="7" spans="1:12" x14ac:dyDescent="0.25">
      <c r="A7" s="1" t="s">
        <v>654</v>
      </c>
      <c r="B7" s="1" t="s">
        <v>419</v>
      </c>
      <c r="C7" s="90">
        <v>200</v>
      </c>
      <c r="D7" s="1">
        <v>1</v>
      </c>
      <c r="E7" s="85">
        <f>SUM(Table6[[#This Row],[Weight]]*Table6[[#This Row],[QTY]])</f>
        <v>200</v>
      </c>
      <c r="F7" s="80">
        <f>$J$2/1000*Table6[[#This Row],[Weight]]*Table6[[#This Row],[QTY]]</f>
        <v>26</v>
      </c>
      <c r="G7" s="82">
        <v>0.29166666666666669</v>
      </c>
    </row>
    <row r="8" spans="1:12" x14ac:dyDescent="0.25">
      <c r="A8" s="1" t="s">
        <v>654</v>
      </c>
      <c r="B8" s="1" t="s">
        <v>420</v>
      </c>
      <c r="C8" s="90">
        <v>28</v>
      </c>
      <c r="D8" s="1">
        <v>1</v>
      </c>
      <c r="E8" s="85">
        <f>SUM(Table6[[#This Row],[Weight]]*Table6[[#This Row],[QTY]])</f>
        <v>28</v>
      </c>
      <c r="F8" s="80">
        <f>$J$2/1000*Table6[[#This Row],[Weight]]*Table6[[#This Row],[QTY]]</f>
        <v>3.64</v>
      </c>
      <c r="G8" s="82"/>
      <c r="I8" s="47" t="s">
        <v>659</v>
      </c>
    </row>
    <row r="9" spans="1:12" x14ac:dyDescent="0.25">
      <c r="A9" s="1" t="s">
        <v>654</v>
      </c>
      <c r="B9" s="1" t="s">
        <v>421</v>
      </c>
      <c r="C9" s="90">
        <v>15</v>
      </c>
      <c r="D9" s="1">
        <v>1</v>
      </c>
      <c r="E9" s="85">
        <f>SUM(Table6[[#This Row],[Weight]]*Table6[[#This Row],[QTY]])</f>
        <v>15</v>
      </c>
      <c r="F9" s="80">
        <f>$J$2/1000*Table6[[#This Row],[Weight]]*Table6[[#This Row],[QTY]]</f>
        <v>1.9500000000000002</v>
      </c>
      <c r="G9" s="82"/>
      <c r="I9" s="92" t="s">
        <v>660</v>
      </c>
      <c r="J9" s="92">
        <v>3</v>
      </c>
      <c r="K9" s="92">
        <v>3</v>
      </c>
    </row>
    <row r="10" spans="1:12" x14ac:dyDescent="0.25">
      <c r="A10" s="1" t="s">
        <v>654</v>
      </c>
      <c r="B10" s="24" t="s">
        <v>422</v>
      </c>
      <c r="C10" s="90">
        <v>42</v>
      </c>
      <c r="D10" s="24">
        <v>1</v>
      </c>
      <c r="E10" s="84">
        <f>SUM(Table6[[#This Row],[Weight]]*Table6[[#This Row],[QTY]])</f>
        <v>42</v>
      </c>
      <c r="F10" s="80">
        <f>$J$2/1000*Table6[[#This Row],[Weight]]*Table6[[#This Row],[QTY]]</f>
        <v>5.46</v>
      </c>
      <c r="G10" s="82">
        <v>4.1666666666666664E-2</v>
      </c>
      <c r="I10" s="1" t="s">
        <v>661</v>
      </c>
      <c r="J10">
        <v>0.25</v>
      </c>
      <c r="K10">
        <v>0.2</v>
      </c>
    </row>
    <row r="11" spans="1:12" x14ac:dyDescent="0.25">
      <c r="A11" s="1" t="s">
        <v>654</v>
      </c>
      <c r="B11" s="24" t="s">
        <v>423</v>
      </c>
      <c r="C11" s="90">
        <v>30</v>
      </c>
      <c r="D11" s="24">
        <v>1</v>
      </c>
      <c r="E11" s="84">
        <f>SUM(Table6[[#This Row],[Weight]]*Table6[[#This Row],[QTY]])</f>
        <v>30</v>
      </c>
      <c r="F11" s="80">
        <f>$J$2/1000*Table6[[#This Row],[Weight]]*Table6[[#This Row],[QTY]]</f>
        <v>3.9000000000000004</v>
      </c>
      <c r="G11" s="82">
        <v>4.1666666666666664E-2</v>
      </c>
      <c r="I11" s="1" t="s">
        <v>662</v>
      </c>
      <c r="J11">
        <f>J9/J10</f>
        <v>12</v>
      </c>
      <c r="K11">
        <v>15</v>
      </c>
    </row>
    <row r="12" spans="1:12" x14ac:dyDescent="0.25">
      <c r="A12" s="1" t="s">
        <v>654</v>
      </c>
      <c r="B12" s="24" t="s">
        <v>424</v>
      </c>
      <c r="C12" s="90"/>
      <c r="D12" s="24">
        <v>2</v>
      </c>
      <c r="E12" s="84">
        <f>SUM(Table6[[#This Row],[Weight]]*Table6[[#This Row],[QTY]])</f>
        <v>0</v>
      </c>
      <c r="F12" s="80">
        <f>$J$2/1000*Table6[[#This Row],[Weight]]*Table6[[#This Row],[QTY]]</f>
        <v>0</v>
      </c>
      <c r="G12" s="82"/>
      <c r="I12" s="1" t="s">
        <v>663</v>
      </c>
      <c r="J12">
        <f>J9/J10</f>
        <v>12</v>
      </c>
      <c r="K12">
        <v>15</v>
      </c>
    </row>
    <row r="13" spans="1:12" x14ac:dyDescent="0.25">
      <c r="A13" s="1" t="s">
        <v>654</v>
      </c>
      <c r="B13" s="24" t="s">
        <v>425</v>
      </c>
      <c r="C13" s="90"/>
      <c r="D13" s="24">
        <v>2</v>
      </c>
      <c r="E13" s="84">
        <f>SUM(Table6[[#This Row],[Weight]]*Table6[[#This Row],[QTY]])</f>
        <v>0</v>
      </c>
      <c r="F13" s="80">
        <f>$J$2/1000*Table6[[#This Row],[Weight]]*Table6[[#This Row],[QTY]]</f>
        <v>0</v>
      </c>
      <c r="G13" s="82"/>
      <c r="I13" s="1" t="s">
        <v>664</v>
      </c>
      <c r="J13">
        <v>0.6</v>
      </c>
      <c r="K13">
        <v>0.6</v>
      </c>
    </row>
    <row r="14" spans="1:12" x14ac:dyDescent="0.25">
      <c r="A14" s="1" t="s">
        <v>654</v>
      </c>
      <c r="B14" s="1" t="s">
        <v>426</v>
      </c>
      <c r="C14" s="90"/>
      <c r="D14" s="1">
        <v>1</v>
      </c>
      <c r="E14" s="85">
        <f>SUM(Table6[[#This Row],[Weight]]*Table6[[#This Row],[QTY]])</f>
        <v>0</v>
      </c>
      <c r="F14" s="80">
        <f>$J$2/1000*Table6[[#This Row],[Weight]]*Table6[[#This Row],[QTY]]</f>
        <v>0</v>
      </c>
      <c r="G14" s="82">
        <v>4.1666666666666664E-2</v>
      </c>
      <c r="I14" s="1" t="s">
        <v>665</v>
      </c>
      <c r="J14" s="90">
        <f>J9/J13</f>
        <v>5</v>
      </c>
      <c r="K14">
        <v>5</v>
      </c>
    </row>
    <row r="15" spans="1:12" x14ac:dyDescent="0.25">
      <c r="A15" s="1" t="s">
        <v>654</v>
      </c>
      <c r="B15" s="1" t="s">
        <v>427</v>
      </c>
      <c r="C15" s="90"/>
      <c r="D15" s="1">
        <v>1</v>
      </c>
      <c r="E15" s="85">
        <f>SUM(Table6[[#This Row],[Weight]]*Table6[[#This Row],[QTY]])</f>
        <v>0</v>
      </c>
      <c r="F15" s="80">
        <f>$J$2/1000*Table6[[#This Row],[Weight]]*Table6[[#This Row],[QTY]]</f>
        <v>0</v>
      </c>
      <c r="G15" s="82">
        <v>2.0833333333333332E-2</v>
      </c>
      <c r="I15" s="1" t="s">
        <v>666</v>
      </c>
      <c r="J15" s="91">
        <v>0.2</v>
      </c>
      <c r="K15" s="91">
        <v>0.2</v>
      </c>
    </row>
    <row r="16" spans="1:12" x14ac:dyDescent="0.25">
      <c r="A16" s="1" t="s">
        <v>654</v>
      </c>
      <c r="B16" s="24" t="s">
        <v>428</v>
      </c>
      <c r="C16" s="90">
        <v>45</v>
      </c>
      <c r="D16" s="24">
        <v>1</v>
      </c>
      <c r="E16" s="84">
        <f>SUM(Table6[[#This Row],[Weight]]*Table6[[#This Row],[QTY]])</f>
        <v>45</v>
      </c>
      <c r="F16" s="80">
        <f>$J$2/1000*Table6[[#This Row],[Weight]]*Table6[[#This Row],[QTY]]</f>
        <v>5.8500000000000005</v>
      </c>
      <c r="G16" s="82">
        <v>0.10416666666666667</v>
      </c>
      <c r="I16" s="1" t="s">
        <v>667</v>
      </c>
      <c r="J16" s="210" t="s">
        <v>668</v>
      </c>
      <c r="K16" s="1" t="s">
        <v>668</v>
      </c>
    </row>
    <row r="17" spans="1:7" x14ac:dyDescent="0.25">
      <c r="A17" s="1" t="s">
        <v>654</v>
      </c>
      <c r="B17" s="24" t="s">
        <v>429</v>
      </c>
      <c r="C17" s="90"/>
      <c r="D17" s="24">
        <v>1</v>
      </c>
      <c r="E17" s="84">
        <f>SUM(Table6[[#This Row],[Weight]]*Table6[[#This Row],[QTY]])</f>
        <v>0</v>
      </c>
      <c r="F17" s="80">
        <f>$J$2/1000*Table6[[#This Row],[Weight]]*Table6[[#This Row],[QTY]]</f>
        <v>0</v>
      </c>
      <c r="G17" s="82">
        <v>0.10416666666666667</v>
      </c>
    </row>
    <row r="18" spans="1:7" x14ac:dyDescent="0.25">
      <c r="A18" s="1" t="s">
        <v>669</v>
      </c>
      <c r="B18" s="1" t="s">
        <v>569</v>
      </c>
      <c r="C18" s="90"/>
      <c r="D18" s="1">
        <v>1</v>
      </c>
      <c r="E18" s="85">
        <f>SUM(Table6[[#This Row],[Weight]]*Table6[[#This Row],[QTY]])</f>
        <v>0</v>
      </c>
      <c r="F18" s="80">
        <f>$J$2/1000*Table6[[#This Row],[Weight]]*Table6[[#This Row],[QTY]]</f>
        <v>0</v>
      </c>
      <c r="G18" s="82"/>
    </row>
    <row r="19" spans="1:7" x14ac:dyDescent="0.25">
      <c r="A19" s="1" t="s">
        <v>669</v>
      </c>
      <c r="B19" s="1" t="s">
        <v>570</v>
      </c>
      <c r="C19" s="90"/>
      <c r="D19" s="1">
        <v>1</v>
      </c>
      <c r="E19" s="85">
        <f>SUM(Table6[[#This Row],[Weight]]*Table6[[#This Row],[QTY]])</f>
        <v>0</v>
      </c>
      <c r="F19" s="80">
        <f>$J$2/1000*Table6[[#This Row],[Weight]]*Table6[[#This Row],[QTY]]</f>
        <v>0</v>
      </c>
      <c r="G19" s="82"/>
    </row>
    <row r="20" spans="1:7" x14ac:dyDescent="0.25">
      <c r="A20" s="1" t="s">
        <v>669</v>
      </c>
      <c r="B20" s="1" t="s">
        <v>571</v>
      </c>
      <c r="C20" s="90"/>
      <c r="D20" s="1">
        <v>1</v>
      </c>
      <c r="E20" s="85">
        <f>SUM(Table6[[#This Row],[Weight]]*Table6[[#This Row],[QTY]])</f>
        <v>0</v>
      </c>
      <c r="F20" s="80">
        <f>$J$2/1000*Table6[[#This Row],[Weight]]*Table6[[#This Row],[QTY]]</f>
        <v>0</v>
      </c>
      <c r="G20" s="82"/>
    </row>
    <row r="21" spans="1:7" x14ac:dyDescent="0.25">
      <c r="A21" s="1" t="s">
        <v>669</v>
      </c>
      <c r="B21" s="1" t="s">
        <v>572</v>
      </c>
      <c r="C21" s="90"/>
      <c r="D21" s="1">
        <v>1</v>
      </c>
      <c r="E21" s="85">
        <f>SUM(Table6[[#This Row],[Weight]]*Table6[[#This Row],[QTY]])</f>
        <v>0</v>
      </c>
      <c r="F21" s="80">
        <f>$J$2/1000*Table6[[#This Row],[Weight]]*Table6[[#This Row],[QTY]]</f>
        <v>0</v>
      </c>
      <c r="G21" s="82"/>
    </row>
    <row r="22" spans="1:7" x14ac:dyDescent="0.25">
      <c r="A22" s="1" t="s">
        <v>669</v>
      </c>
      <c r="B22" s="1" t="s">
        <v>573</v>
      </c>
      <c r="C22" s="90"/>
      <c r="D22" s="1">
        <v>1</v>
      </c>
      <c r="E22" s="85">
        <f>SUM(Table6[[#This Row],[Weight]]*Table6[[#This Row],[QTY]])</f>
        <v>0</v>
      </c>
      <c r="F22" s="80">
        <f>$J$2/1000*Table6[[#This Row],[Weight]]*Table6[[#This Row],[QTY]]</f>
        <v>0</v>
      </c>
      <c r="G22" s="82"/>
    </row>
    <row r="23" spans="1:7" x14ac:dyDescent="0.25">
      <c r="A23" s="1" t="s">
        <v>669</v>
      </c>
      <c r="B23" s="1" t="s">
        <v>574</v>
      </c>
      <c r="C23" s="90"/>
      <c r="D23" s="1">
        <v>1</v>
      </c>
      <c r="E23" s="85">
        <f>SUM(Table6[[#This Row],[Weight]]*Table6[[#This Row],[QTY]])</f>
        <v>0</v>
      </c>
      <c r="F23" s="80">
        <f>$J$2/1000*Table6[[#This Row],[Weight]]*Table6[[#This Row],[QTY]]</f>
        <v>0</v>
      </c>
      <c r="G23" s="82"/>
    </row>
    <row r="24" spans="1:7" x14ac:dyDescent="0.25">
      <c r="A24" s="1" t="s">
        <v>669</v>
      </c>
      <c r="B24" s="1" t="s">
        <v>575</v>
      </c>
      <c r="C24" s="90"/>
      <c r="D24" s="1">
        <v>2</v>
      </c>
      <c r="E24" s="85">
        <f>SUM(Table6[[#This Row],[Weight]]*Table6[[#This Row],[QTY]])</f>
        <v>0</v>
      </c>
      <c r="F24" s="80">
        <f>$J$2/1000*Table6[[#This Row],[Weight]]*Table6[[#This Row],[QTY]]</f>
        <v>0</v>
      </c>
      <c r="G24" s="82"/>
    </row>
    <row r="25" spans="1:7" x14ac:dyDescent="0.25">
      <c r="A25" s="1" t="s">
        <v>669</v>
      </c>
      <c r="B25" s="24" t="s">
        <v>576</v>
      </c>
      <c r="C25" s="90"/>
      <c r="D25" s="24">
        <v>4</v>
      </c>
      <c r="E25" s="84">
        <f>SUM(Table6[[#This Row],[Weight]]*Table6[[#This Row],[QTY]])</f>
        <v>0</v>
      </c>
      <c r="F25" s="80">
        <f>$J$2/1000*Table6[[#This Row],[Weight]]*Table6[[#This Row],[QTY]]</f>
        <v>0</v>
      </c>
      <c r="G25" s="82"/>
    </row>
    <row r="26" spans="1:7" x14ac:dyDescent="0.25">
      <c r="A26" s="1" t="s">
        <v>669</v>
      </c>
      <c r="B26" s="1" t="s">
        <v>578</v>
      </c>
      <c r="C26" s="90"/>
      <c r="D26" s="1">
        <v>1</v>
      </c>
      <c r="E26" s="85">
        <f>SUM(Table6[[#This Row],[Weight]]*Table6[[#This Row],[QTY]])</f>
        <v>0</v>
      </c>
      <c r="F26" s="80">
        <f>$J$2/1000*Table6[[#This Row],[Weight]]*Table6[[#This Row],[QTY]]</f>
        <v>0</v>
      </c>
      <c r="G26" s="82"/>
    </row>
    <row r="27" spans="1:7" x14ac:dyDescent="0.25">
      <c r="A27" s="1" t="s">
        <v>669</v>
      </c>
      <c r="B27" s="1" t="s">
        <v>589</v>
      </c>
      <c r="C27" s="90"/>
      <c r="D27" s="1">
        <v>1</v>
      </c>
      <c r="E27" s="85">
        <f>SUM(Table6[[#This Row],[Weight]]*Table6[[#This Row],[QTY]])</f>
        <v>0</v>
      </c>
      <c r="F27" s="80">
        <f>$J$2/1000*Table6[[#This Row],[Weight]]*Table6[[#This Row],[QTY]]</f>
        <v>0</v>
      </c>
      <c r="G27" s="82"/>
    </row>
    <row r="28" spans="1:7" x14ac:dyDescent="0.25">
      <c r="A28" s="1" t="s">
        <v>669</v>
      </c>
      <c r="B28" s="24" t="s">
        <v>590</v>
      </c>
      <c r="C28" s="90"/>
      <c r="D28" s="24">
        <v>1</v>
      </c>
      <c r="E28" s="84">
        <f>SUM(Table6[[#This Row],[Weight]]*Table6[[#This Row],[QTY]])</f>
        <v>0</v>
      </c>
      <c r="F28" s="80">
        <f>$J$2/1000*Table6[[#This Row],[Weight]]*Table6[[#This Row],[QTY]]</f>
        <v>0</v>
      </c>
      <c r="G28" s="82"/>
    </row>
    <row r="29" spans="1:7" x14ac:dyDescent="0.25">
      <c r="A29" s="1" t="s">
        <v>669</v>
      </c>
      <c r="B29" s="24" t="s">
        <v>591</v>
      </c>
      <c r="C29" s="90"/>
      <c r="D29" s="24">
        <v>1</v>
      </c>
      <c r="E29" s="84">
        <f>SUM(Table6[[#This Row],[Weight]]*Table6[[#This Row],[QTY]])</f>
        <v>0</v>
      </c>
      <c r="F29" s="80">
        <f>$J$2/1000*Table6[[#This Row],[Weight]]*Table6[[#This Row],[QTY]]</f>
        <v>0</v>
      </c>
      <c r="G29" s="82"/>
    </row>
    <row r="30" spans="1:7" x14ac:dyDescent="0.25">
      <c r="A30" s="1" t="s">
        <v>669</v>
      </c>
      <c r="B30" s="24" t="s">
        <v>592</v>
      </c>
      <c r="C30" s="90"/>
      <c r="D30" s="24">
        <v>1</v>
      </c>
      <c r="E30" s="84">
        <f>SUM(Table6[[#This Row],[Weight]]*Table6[[#This Row],[QTY]])</f>
        <v>0</v>
      </c>
      <c r="F30" s="80">
        <f>$J$2/1000*Table6[[#This Row],[Weight]]*Table6[[#This Row],[QTY]]</f>
        <v>0</v>
      </c>
      <c r="G30" s="82"/>
    </row>
    <row r="31" spans="1:7" x14ac:dyDescent="0.25">
      <c r="A31" s="1" t="s">
        <v>669</v>
      </c>
      <c r="B31" s="24" t="s">
        <v>593</v>
      </c>
      <c r="C31" s="90"/>
      <c r="D31" s="24">
        <v>1</v>
      </c>
      <c r="E31" s="84">
        <f>SUM(Table6[[#This Row],[Weight]]*Table6[[#This Row],[QTY]])</f>
        <v>0</v>
      </c>
      <c r="F31" s="80">
        <f>$J$2/1000*Table6[[#This Row],[Weight]]*Table6[[#This Row],[QTY]]</f>
        <v>0</v>
      </c>
      <c r="G31" s="82"/>
    </row>
    <row r="32" spans="1:7" x14ac:dyDescent="0.25">
      <c r="A32" s="1" t="s">
        <v>669</v>
      </c>
      <c r="B32" s="24" t="s">
        <v>594</v>
      </c>
      <c r="C32" s="90"/>
      <c r="D32" s="24">
        <v>1</v>
      </c>
      <c r="E32" s="84">
        <f>SUM(Table6[[#This Row],[Weight]]*Table6[[#This Row],[QTY]])</f>
        <v>0</v>
      </c>
      <c r="F32" s="80">
        <f>$J$2/1000*Table6[[#This Row],[Weight]]*Table6[[#This Row],[QTY]]</f>
        <v>0</v>
      </c>
      <c r="G32" s="82"/>
    </row>
    <row r="33" spans="1:7" x14ac:dyDescent="0.25">
      <c r="A33" s="1" t="s">
        <v>669</v>
      </c>
      <c r="B33" s="24" t="s">
        <v>595</v>
      </c>
      <c r="C33" s="90"/>
      <c r="D33" s="24">
        <v>1</v>
      </c>
      <c r="E33" s="84">
        <f>SUM(Table6[[#This Row],[Weight]]*Table6[[#This Row],[QTY]])</f>
        <v>0</v>
      </c>
      <c r="F33" s="80">
        <f>$J$2/1000*Table6[[#This Row],[Weight]]*Table6[[#This Row],[QTY]]</f>
        <v>0</v>
      </c>
      <c r="G33" s="82"/>
    </row>
    <row r="34" spans="1:7" x14ac:dyDescent="0.25">
      <c r="A34" s="1" t="s">
        <v>670</v>
      </c>
      <c r="B34" s="24" t="s">
        <v>507</v>
      </c>
      <c r="C34" s="90"/>
      <c r="D34" s="24">
        <v>1</v>
      </c>
      <c r="E34" s="84">
        <f>SUM(Table6[[#This Row],[Weight]]*Table6[[#This Row],[QTY]])</f>
        <v>0</v>
      </c>
      <c r="F34" s="80">
        <f>$J$2/1000*Table6[[#This Row],[Weight]]*Table6[[#This Row],[QTY]]</f>
        <v>0</v>
      </c>
      <c r="G34" s="82"/>
    </row>
    <row r="35" spans="1:7" x14ac:dyDescent="0.25">
      <c r="A35" s="1" t="s">
        <v>670</v>
      </c>
      <c r="B35" s="24" t="s">
        <v>509</v>
      </c>
      <c r="C35" s="90"/>
      <c r="D35" s="24">
        <v>1</v>
      </c>
      <c r="E35" s="84">
        <f>SUM(Table6[[#This Row],[Weight]]*Table6[[#This Row],[QTY]])</f>
        <v>0</v>
      </c>
      <c r="F35" s="80">
        <f>$J$2/1000*Table6[[#This Row],[Weight]]*Table6[[#This Row],[QTY]]</f>
        <v>0</v>
      </c>
      <c r="G35" s="82"/>
    </row>
    <row r="36" spans="1:7" x14ac:dyDescent="0.25">
      <c r="A36" s="1" t="s">
        <v>670</v>
      </c>
      <c r="B36" s="24" t="s">
        <v>512</v>
      </c>
      <c r="C36" s="90"/>
      <c r="D36" s="24">
        <v>1</v>
      </c>
      <c r="E36" s="84">
        <f>SUM(Table6[[#This Row],[Weight]]*Table6[[#This Row],[QTY]])</f>
        <v>0</v>
      </c>
      <c r="F36" s="80">
        <f>$J$2/1000*Table6[[#This Row],[Weight]]*Table6[[#This Row],[QTY]]</f>
        <v>0</v>
      </c>
      <c r="G36" s="82"/>
    </row>
    <row r="37" spans="1:7" x14ac:dyDescent="0.25">
      <c r="A37" s="1" t="s">
        <v>670</v>
      </c>
      <c r="B37" s="24" t="s">
        <v>513</v>
      </c>
      <c r="C37" s="90"/>
      <c r="D37" s="24">
        <v>1</v>
      </c>
      <c r="E37" s="84">
        <f>SUM(Table6[[#This Row],[Weight]]*Table6[[#This Row],[QTY]])</f>
        <v>0</v>
      </c>
      <c r="F37" s="80">
        <f>$J$2/1000*Table6[[#This Row],[Weight]]*Table6[[#This Row],[QTY]]</f>
        <v>0</v>
      </c>
      <c r="G37" s="82"/>
    </row>
    <row r="38" spans="1:7" x14ac:dyDescent="0.25">
      <c r="A38" s="1" t="s">
        <v>670</v>
      </c>
      <c r="B38" s="81" t="s">
        <v>514</v>
      </c>
      <c r="C38" s="90"/>
      <c r="D38" s="81">
        <v>1</v>
      </c>
      <c r="E38" s="86">
        <f>SUM(Table6[[#This Row],[Weight]]*Table6[[#This Row],[QTY]])</f>
        <v>0</v>
      </c>
      <c r="F38" s="80">
        <f>$J$2/1000*Table6[[#This Row],[Weight]]*Table6[[#This Row],[QTY]]</f>
        <v>0</v>
      </c>
      <c r="G38" s="82"/>
    </row>
    <row r="39" spans="1:7" x14ac:dyDescent="0.25">
      <c r="A39" s="1" t="s">
        <v>670</v>
      </c>
      <c r="B39" s="24" t="s">
        <v>515</v>
      </c>
      <c r="C39" s="90"/>
      <c r="D39" s="24">
        <v>4</v>
      </c>
      <c r="E39" s="84">
        <f>SUM(Table6[[#This Row],[Weight]]*Table6[[#This Row],[QTY]])</f>
        <v>0</v>
      </c>
      <c r="F39" s="80">
        <f>$J$2/1000*Table6[[#This Row],[Weight]]*Table6[[#This Row],[QTY]]</f>
        <v>0</v>
      </c>
      <c r="G39" s="82"/>
    </row>
    <row r="40" spans="1:7" x14ac:dyDescent="0.25">
      <c r="A40" s="1" t="s">
        <v>670</v>
      </c>
      <c r="B40" s="24" t="s">
        <v>516</v>
      </c>
      <c r="C40" s="90"/>
      <c r="D40" s="24">
        <v>2</v>
      </c>
      <c r="E40" s="84">
        <f>SUM(Table6[[#This Row],[Weight]]*Table6[[#This Row],[QTY]])</f>
        <v>0</v>
      </c>
      <c r="F40" s="80">
        <f>$J$2/1000*Table6[[#This Row],[Weight]]*Table6[[#This Row],[QTY]]</f>
        <v>0</v>
      </c>
      <c r="G40" s="82"/>
    </row>
    <row r="41" spans="1:7" x14ac:dyDescent="0.25">
      <c r="A41" s="1" t="s">
        <v>670</v>
      </c>
      <c r="B41" s="24" t="s">
        <v>517</v>
      </c>
      <c r="C41" s="90"/>
      <c r="D41" s="24">
        <v>1</v>
      </c>
      <c r="E41" s="84">
        <f>SUM(Table6[[#This Row],[Weight]]*Table6[[#This Row],[QTY]])</f>
        <v>0</v>
      </c>
      <c r="F41" s="80">
        <f>$J$2/1000*Table6[[#This Row],[Weight]]*Table6[[#This Row],[QTY]]</f>
        <v>0</v>
      </c>
      <c r="G41" s="82"/>
    </row>
    <row r="42" spans="1:7" x14ac:dyDescent="0.25">
      <c r="A42" s="1" t="s">
        <v>670</v>
      </c>
      <c r="B42" s="24" t="s">
        <v>518</v>
      </c>
      <c r="C42" s="90"/>
      <c r="D42" s="24">
        <v>1</v>
      </c>
      <c r="E42" s="84">
        <f>SUM(Table6[[#This Row],[Weight]]*Table6[[#This Row],[QTY]])</f>
        <v>0</v>
      </c>
      <c r="F42" s="80">
        <f>$J$2/1000*Table6[[#This Row],[Weight]]*Table6[[#This Row],[QTY]]</f>
        <v>0</v>
      </c>
      <c r="G42" s="82"/>
    </row>
    <row r="43" spans="1:7" x14ac:dyDescent="0.25">
      <c r="A43" s="1" t="s">
        <v>670</v>
      </c>
      <c r="B43" s="24" t="s">
        <v>519</v>
      </c>
      <c r="C43" s="90"/>
      <c r="D43" s="24">
        <v>2</v>
      </c>
      <c r="E43" s="84">
        <f>SUM(Table6[[#This Row],[Weight]]*Table6[[#This Row],[QTY]])</f>
        <v>0</v>
      </c>
      <c r="F43" s="80">
        <f>$J$2/1000*Table6[[#This Row],[Weight]]*Table6[[#This Row],[QTY]]</f>
        <v>0</v>
      </c>
      <c r="G43" s="82"/>
    </row>
    <row r="44" spans="1:7" x14ac:dyDescent="0.25">
      <c r="A44" s="1" t="s">
        <v>670</v>
      </c>
      <c r="B44" s="24" t="s">
        <v>520</v>
      </c>
      <c r="C44" s="90"/>
      <c r="D44" s="24">
        <v>1</v>
      </c>
      <c r="E44" s="84">
        <f>SUM(Table6[[#This Row],[Weight]]*Table6[[#This Row],[QTY]])</f>
        <v>0</v>
      </c>
      <c r="F44" s="80">
        <f>$J$2/1000*Table6[[#This Row],[Weight]]*Table6[[#This Row],[QTY]]</f>
        <v>0</v>
      </c>
      <c r="G44" s="82"/>
    </row>
    <row r="45" spans="1:7" x14ac:dyDescent="0.25">
      <c r="A45" s="1" t="s">
        <v>670</v>
      </c>
      <c r="B45" s="24" t="s">
        <v>521</v>
      </c>
      <c r="C45" s="90"/>
      <c r="D45" s="24">
        <v>1</v>
      </c>
      <c r="E45" s="84">
        <f>SUM(Table6[[#This Row],[Weight]]*Table6[[#This Row],[QTY]])</f>
        <v>0</v>
      </c>
      <c r="F45" s="80">
        <f>$J$2/1000*Table6[[#This Row],[Weight]]*Table6[[#This Row],[QTY]]</f>
        <v>0</v>
      </c>
      <c r="G45" s="82"/>
    </row>
    <row r="46" spans="1:7" x14ac:dyDescent="0.25">
      <c r="A46" s="1" t="s">
        <v>670</v>
      </c>
      <c r="B46" s="24" t="s">
        <v>522</v>
      </c>
      <c r="C46" s="90"/>
      <c r="D46" s="24">
        <v>1</v>
      </c>
      <c r="E46" s="84">
        <f>SUM(Table6[[#This Row],[Weight]]*Table6[[#This Row],[QTY]])</f>
        <v>0</v>
      </c>
      <c r="F46" s="80">
        <f>$J$2/1000*Table6[[#This Row],[Weight]]*Table6[[#This Row],[QTY]]</f>
        <v>0</v>
      </c>
      <c r="G46" s="82"/>
    </row>
    <row r="47" spans="1:7" x14ac:dyDescent="0.25">
      <c r="A47" s="1" t="s">
        <v>670</v>
      </c>
      <c r="B47" s="24" t="s">
        <v>523</v>
      </c>
      <c r="C47" s="90"/>
      <c r="D47" s="24">
        <v>1</v>
      </c>
      <c r="E47" s="84">
        <f>SUM(Table6[[#This Row],[Weight]]*Table6[[#This Row],[QTY]])</f>
        <v>0</v>
      </c>
      <c r="F47" s="80">
        <f>$J$2/1000*Table6[[#This Row],[Weight]]*Table6[[#This Row],[QTY]]</f>
        <v>0</v>
      </c>
      <c r="G47" s="82"/>
    </row>
    <row r="48" spans="1:7" x14ac:dyDescent="0.25">
      <c r="A48" s="1" t="s">
        <v>670</v>
      </c>
      <c r="B48" s="24" t="s">
        <v>524</v>
      </c>
      <c r="C48" s="90"/>
      <c r="D48" s="24">
        <v>1</v>
      </c>
      <c r="E48" s="84">
        <f>SUM(Table6[[#This Row],[Weight]]*Table6[[#This Row],[QTY]])</f>
        <v>0</v>
      </c>
      <c r="F48" s="80">
        <f>$J$2/1000*Table6[[#This Row],[Weight]]*Table6[[#This Row],[QTY]]</f>
        <v>0</v>
      </c>
      <c r="G48" s="82"/>
    </row>
    <row r="49" spans="1:7" x14ac:dyDescent="0.25">
      <c r="A49" s="1" t="s">
        <v>670</v>
      </c>
      <c r="B49" s="24" t="s">
        <v>525</v>
      </c>
      <c r="C49" s="90"/>
      <c r="D49" s="24">
        <v>1</v>
      </c>
      <c r="E49" s="84">
        <f>SUM(Table6[[#This Row],[Weight]]*Table6[[#This Row],[QTY]])</f>
        <v>0</v>
      </c>
      <c r="F49" s="80">
        <f>$J$2/1000*Table6[[#This Row],[Weight]]*Table6[[#This Row],[QTY]]</f>
        <v>0</v>
      </c>
      <c r="G49" s="82"/>
    </row>
    <row r="50" spans="1:7" x14ac:dyDescent="0.25">
      <c r="A50" s="1" t="s">
        <v>670</v>
      </c>
      <c r="B50" s="24" t="s">
        <v>526</v>
      </c>
      <c r="C50" s="90"/>
      <c r="D50" s="24">
        <v>1</v>
      </c>
      <c r="E50" s="84">
        <f>SUM(Table6[[#This Row],[Weight]]*Table6[[#This Row],[QTY]])</f>
        <v>0</v>
      </c>
      <c r="F50" s="80">
        <f>$J$2/1000*Table6[[#This Row],[Weight]]*Table6[[#This Row],[QTY]]</f>
        <v>0</v>
      </c>
      <c r="G50" s="82"/>
    </row>
    <row r="51" spans="1:7" x14ac:dyDescent="0.25">
      <c r="A51" s="1" t="s">
        <v>670</v>
      </c>
      <c r="B51" s="24" t="s">
        <v>527</v>
      </c>
      <c r="C51" s="90"/>
      <c r="D51" s="24">
        <v>1</v>
      </c>
      <c r="E51" s="84">
        <f>SUM(Table6[[#This Row],[Weight]]*Table6[[#This Row],[QTY]])</f>
        <v>0</v>
      </c>
      <c r="F51" s="80">
        <f>$J$2/1000*Table6[[#This Row],[Weight]]*Table6[[#This Row],[QTY]]</f>
        <v>0</v>
      </c>
      <c r="G51" s="82"/>
    </row>
    <row r="52" spans="1:7" x14ac:dyDescent="0.25">
      <c r="A52" s="105" t="s">
        <v>671</v>
      </c>
      <c r="B52" s="24" t="s">
        <v>528</v>
      </c>
      <c r="C52" s="90"/>
      <c r="D52" s="24">
        <v>1</v>
      </c>
      <c r="E52" s="84">
        <f>SUM(Table6[[#This Row],[Weight]]*Table6[[#This Row],[QTY]])</f>
        <v>0</v>
      </c>
      <c r="F52" s="80">
        <f>$J$2/1000*Table6[[#This Row],[Weight]]*Table6[[#This Row],[QTY]]</f>
        <v>0</v>
      </c>
      <c r="G52" s="82"/>
    </row>
    <row r="53" spans="1:7" x14ac:dyDescent="0.25">
      <c r="A53" s="105" t="s">
        <v>671</v>
      </c>
      <c r="B53" s="24" t="s">
        <v>529</v>
      </c>
      <c r="C53" s="90"/>
      <c r="D53" s="24">
        <v>1</v>
      </c>
      <c r="E53" s="84">
        <f>SUM(Table6[[#This Row],[Weight]]*Table6[[#This Row],[QTY]])</f>
        <v>0</v>
      </c>
      <c r="F53" s="80">
        <f>$J$2/1000*Table6[[#This Row],[Weight]]*Table6[[#This Row],[QTY]]</f>
        <v>0</v>
      </c>
      <c r="G53" s="82"/>
    </row>
    <row r="54" spans="1:7" x14ac:dyDescent="0.25">
      <c r="A54" s="1" t="s">
        <v>670</v>
      </c>
      <c r="B54" s="24" t="s">
        <v>547</v>
      </c>
      <c r="C54" s="90"/>
      <c r="D54" s="24">
        <v>6</v>
      </c>
      <c r="E54" s="84">
        <f>SUM(Table6[[#This Row],[Weight]]*Table6[[#This Row],[QTY]])</f>
        <v>0</v>
      </c>
      <c r="F54" s="80">
        <f>$J$2/1000*Table6[[#This Row],[Weight]]*Table6[[#This Row],[QTY]]</f>
        <v>0</v>
      </c>
      <c r="G54" s="82"/>
    </row>
    <row r="55" spans="1:7" x14ac:dyDescent="0.25">
      <c r="A55" s="1" t="s">
        <v>670</v>
      </c>
      <c r="B55" s="1" t="s">
        <v>549</v>
      </c>
      <c r="C55" s="90"/>
      <c r="D55" s="1">
        <v>1</v>
      </c>
      <c r="E55" s="85">
        <f>SUM(Table6[[#This Row],[Weight]]*Table6[[#This Row],[QTY]])</f>
        <v>0</v>
      </c>
      <c r="F55" s="80">
        <f>$J$2/1000*Table6[[#This Row],[Weight]]*Table6[[#This Row],[QTY]]</f>
        <v>0</v>
      </c>
      <c r="G55" s="82"/>
    </row>
    <row r="56" spans="1:7" x14ac:dyDescent="0.25">
      <c r="A56" s="1" t="s">
        <v>670</v>
      </c>
      <c r="B56" s="1" t="s">
        <v>550</v>
      </c>
      <c r="C56" s="90"/>
      <c r="D56" s="1">
        <v>1</v>
      </c>
      <c r="E56" s="85">
        <f>SUM(Table6[[#This Row],[Weight]]*Table6[[#This Row],[QTY]])</f>
        <v>0</v>
      </c>
      <c r="F56" s="80">
        <f>$J$2/1000*Table6[[#This Row],[Weight]]*Table6[[#This Row],[QTY]]</f>
        <v>0</v>
      </c>
      <c r="G56" s="82"/>
    </row>
    <row r="57" spans="1:7" x14ac:dyDescent="0.25">
      <c r="A57" s="1" t="s">
        <v>670</v>
      </c>
      <c r="B57" s="24" t="s">
        <v>551</v>
      </c>
      <c r="C57" s="90"/>
      <c r="D57" s="24">
        <v>2</v>
      </c>
      <c r="E57" s="84">
        <f>SUM(Table6[[#This Row],[Weight]]*Table6[[#This Row],[QTY]])</f>
        <v>0</v>
      </c>
      <c r="F57" s="80">
        <f>$J$2/1000*Table6[[#This Row],[Weight]]*Table6[[#This Row],[QTY]]</f>
        <v>0</v>
      </c>
      <c r="G57" s="82"/>
    </row>
    <row r="58" spans="1:7" x14ac:dyDescent="0.25">
      <c r="A58" s="1" t="s">
        <v>670</v>
      </c>
      <c r="B58" s="24" t="s">
        <v>552</v>
      </c>
      <c r="C58" s="90"/>
      <c r="D58" s="24">
        <v>1</v>
      </c>
      <c r="E58" s="84">
        <f>SUM(Table6[[#This Row],[Weight]]*Table6[[#This Row],[QTY]])</f>
        <v>0</v>
      </c>
      <c r="F58" s="80">
        <f>$J$2/1000*Table6[[#This Row],[Weight]]*Table6[[#This Row],[QTY]]</f>
        <v>0</v>
      </c>
      <c r="G58" s="82"/>
    </row>
    <row r="59" spans="1:7" x14ac:dyDescent="0.25">
      <c r="A59" s="1" t="s">
        <v>672</v>
      </c>
      <c r="B59" s="1" t="s">
        <v>387</v>
      </c>
      <c r="C59" s="90">
        <v>17</v>
      </c>
      <c r="D59" s="1">
        <v>1</v>
      </c>
      <c r="E59" s="85">
        <f>SUM(Table6[[#This Row],[Weight]]*Table6[[#This Row],[QTY]])</f>
        <v>17</v>
      </c>
      <c r="F59" s="80">
        <f>$J$2/1000*Table6[[#This Row],[Weight]]*Table6[[#This Row],[QTY]]</f>
        <v>2.21</v>
      </c>
      <c r="G59" s="82">
        <v>1.7361111111111112E-2</v>
      </c>
    </row>
    <row r="60" spans="1:7" x14ac:dyDescent="0.25">
      <c r="A60" s="1" t="s">
        <v>672</v>
      </c>
      <c r="B60" s="1" t="s">
        <v>389</v>
      </c>
      <c r="C60" s="90"/>
      <c r="D60" s="1">
        <v>4</v>
      </c>
      <c r="E60" s="85">
        <f>SUM(Table6[[#This Row],[Weight]]*Table6[[#This Row],[QTY]])</f>
        <v>0</v>
      </c>
      <c r="F60" s="80">
        <f>$J$2/1000*Table6[[#This Row],[Weight]]*Table6[[#This Row],[QTY]]</f>
        <v>0</v>
      </c>
      <c r="G60" s="82"/>
    </row>
    <row r="61" spans="1:7" x14ac:dyDescent="0.25">
      <c r="A61" s="1" t="s">
        <v>672</v>
      </c>
      <c r="B61" s="1" t="s">
        <v>391</v>
      </c>
      <c r="C61" s="90">
        <v>6</v>
      </c>
      <c r="D61" s="1">
        <v>4</v>
      </c>
      <c r="E61" s="85">
        <f>SUM(Table6[[#This Row],[Weight]]*Table6[[#This Row],[QTY]])</f>
        <v>24</v>
      </c>
      <c r="F61" s="80">
        <f>$J$2/1000*Table6[[#This Row],[Weight]]*Table6[[#This Row],[QTY]]</f>
        <v>3.12</v>
      </c>
      <c r="G61" s="82"/>
    </row>
    <row r="62" spans="1:7" x14ac:dyDescent="0.25">
      <c r="A62" s="1" t="s">
        <v>672</v>
      </c>
      <c r="B62" s="1" t="s">
        <v>392</v>
      </c>
      <c r="C62" s="90">
        <v>9</v>
      </c>
      <c r="D62" s="1">
        <v>4</v>
      </c>
      <c r="E62" s="85">
        <f>SUM(Table6[[#This Row],[Weight]]*Table6[[#This Row],[QTY]])</f>
        <v>36</v>
      </c>
      <c r="F62" s="80">
        <f>$J$2/1000*Table6[[#This Row],[Weight]]*Table6[[#This Row],[QTY]]</f>
        <v>4.68</v>
      </c>
      <c r="G62" s="82"/>
    </row>
    <row r="63" spans="1:7" x14ac:dyDescent="0.25">
      <c r="A63" s="1" t="s">
        <v>673</v>
      </c>
      <c r="B63" s="1" t="s">
        <v>600</v>
      </c>
      <c r="C63" s="90"/>
      <c r="D63" s="1">
        <v>1</v>
      </c>
      <c r="E63" s="85">
        <f>SUM(Table6[[#This Row],[Weight]]*Table6[[#This Row],[QTY]])</f>
        <v>0</v>
      </c>
      <c r="F63" s="80">
        <f>$J$2/1000*Table6[[#This Row],[Weight]]*Table6[[#This Row],[QTY]]</f>
        <v>0</v>
      </c>
      <c r="G63" s="82"/>
    </row>
    <row r="64" spans="1:7" x14ac:dyDescent="0.25">
      <c r="A64" s="1" t="s">
        <v>673</v>
      </c>
      <c r="B64" s="28" t="s">
        <v>601</v>
      </c>
      <c r="C64" s="90"/>
      <c r="D64" s="28">
        <v>1</v>
      </c>
      <c r="E64" s="87">
        <f>SUM(Table6[[#This Row],[Weight]]*Table6[[#This Row],[QTY]])</f>
        <v>0</v>
      </c>
      <c r="F64" s="80">
        <f>$J$2/1000*Table6[[#This Row],[Weight]]*Table6[[#This Row],[QTY]]</f>
        <v>0</v>
      </c>
      <c r="G64" s="82"/>
    </row>
    <row r="65" spans="1:7" x14ac:dyDescent="0.25">
      <c r="A65" s="1" t="s">
        <v>673</v>
      </c>
      <c r="B65" s="24" t="s">
        <v>602</v>
      </c>
      <c r="C65" s="90"/>
      <c r="D65" s="24">
        <v>1</v>
      </c>
      <c r="E65" s="84">
        <f>SUM(Table6[[#This Row],[Weight]]*Table6[[#This Row],[QTY]])</f>
        <v>0</v>
      </c>
      <c r="F65" s="80">
        <f>$J$2/1000*Table6[[#This Row],[Weight]]*Table6[[#This Row],[QTY]]</f>
        <v>0</v>
      </c>
      <c r="G65" s="82"/>
    </row>
    <row r="66" spans="1:7" x14ac:dyDescent="0.25">
      <c r="A66" s="1" t="s">
        <v>673</v>
      </c>
      <c r="B66" s="24" t="s">
        <v>674</v>
      </c>
      <c r="C66" s="90"/>
      <c r="D66" s="24">
        <v>1</v>
      </c>
      <c r="E66" s="84">
        <f>SUM(Table6[[#This Row],[Weight]]*Table6[[#This Row],[QTY]])</f>
        <v>0</v>
      </c>
      <c r="F66" s="80">
        <f>$J$2/1000*Table6[[#This Row],[Weight]]*Table6[[#This Row],[QTY]]</f>
        <v>0</v>
      </c>
      <c r="G66" s="82"/>
    </row>
    <row r="67" spans="1:7" x14ac:dyDescent="0.25">
      <c r="A67" s="1" t="s">
        <v>675</v>
      </c>
      <c r="B67" s="81" t="s">
        <v>441</v>
      </c>
      <c r="C67" s="90"/>
      <c r="D67" s="81">
        <v>1</v>
      </c>
      <c r="E67" s="86">
        <f>SUM(Table6[[#This Row],[Weight]]*Table6[[#This Row],[QTY]])</f>
        <v>0</v>
      </c>
      <c r="F67" s="80">
        <f>$J$2/1000*Table6[[#This Row],[Weight]]*Table6[[#This Row],[QTY]]</f>
        <v>0</v>
      </c>
      <c r="G67" s="82"/>
    </row>
    <row r="68" spans="1:7" x14ac:dyDescent="0.25">
      <c r="A68" s="1" t="s">
        <v>675</v>
      </c>
      <c r="B68" s="52" t="s">
        <v>443</v>
      </c>
      <c r="C68" s="90"/>
      <c r="D68" s="52">
        <v>1</v>
      </c>
      <c r="E68" s="88">
        <f>SUM(Table6[[#This Row],[Weight]]*Table6[[#This Row],[QTY]])</f>
        <v>0</v>
      </c>
      <c r="F68" s="80">
        <f>$J$2/1000*Table6[[#This Row],[Weight]]*Table6[[#This Row],[QTY]]</f>
        <v>0</v>
      </c>
      <c r="G68" s="82">
        <v>1.1111111111111112E-2</v>
      </c>
    </row>
    <row r="69" spans="1:7" x14ac:dyDescent="0.25">
      <c r="A69" s="1" t="s">
        <v>675</v>
      </c>
      <c r="B69" s="52" t="s">
        <v>444</v>
      </c>
      <c r="C69" s="90">
        <v>2</v>
      </c>
      <c r="D69" s="52">
        <v>1</v>
      </c>
      <c r="E69" s="88">
        <f>SUM(Table6[[#This Row],[Weight]]*Table6[[#This Row],[QTY]])</f>
        <v>2</v>
      </c>
      <c r="F69" s="80">
        <f>$J$2/1000*Table6[[#This Row],[Weight]]*Table6[[#This Row],[QTY]]</f>
        <v>0.26</v>
      </c>
      <c r="G69" s="82"/>
    </row>
    <row r="70" spans="1:7" x14ac:dyDescent="0.25">
      <c r="A70" s="1" t="s">
        <v>675</v>
      </c>
      <c r="B70" s="52" t="s">
        <v>445</v>
      </c>
      <c r="C70" s="90">
        <v>9</v>
      </c>
      <c r="D70" s="52">
        <v>1</v>
      </c>
      <c r="E70" s="88">
        <f>SUM(Table6[[#This Row],[Weight]]*Table6[[#This Row],[QTY]])</f>
        <v>9</v>
      </c>
      <c r="F70" s="80">
        <f>$J$2/1000*Table6[[#This Row],[Weight]]*Table6[[#This Row],[QTY]]</f>
        <v>1.17</v>
      </c>
      <c r="G70" s="82"/>
    </row>
    <row r="71" spans="1:7" x14ac:dyDescent="0.25">
      <c r="A71" s="1" t="s">
        <v>675</v>
      </c>
      <c r="B71" s="52" t="s">
        <v>446</v>
      </c>
      <c r="C71" s="90"/>
      <c r="D71" s="52">
        <v>1</v>
      </c>
      <c r="E71" s="88">
        <f>SUM(Table6[[#This Row],[Weight]]*Table6[[#This Row],[QTY]])</f>
        <v>0</v>
      </c>
      <c r="F71" s="80">
        <f>$J$2/1000*Table6[[#This Row],[Weight]]*Table6[[#This Row],[QTY]]</f>
        <v>0</v>
      </c>
      <c r="G71" s="82"/>
    </row>
    <row r="72" spans="1:7" x14ac:dyDescent="0.25">
      <c r="A72" s="1" t="s">
        <v>675</v>
      </c>
      <c r="B72" s="52" t="s">
        <v>447</v>
      </c>
      <c r="C72" s="90"/>
      <c r="D72" s="52">
        <v>1</v>
      </c>
      <c r="E72" s="88">
        <f>SUM(Table6[[#This Row],[Weight]]*Table6[[#This Row],[QTY]])</f>
        <v>0</v>
      </c>
      <c r="F72" s="80">
        <f>$J$2/1000*Table6[[#This Row],[Weight]]*Table6[[#This Row],[QTY]]</f>
        <v>0</v>
      </c>
      <c r="G72" s="82"/>
    </row>
    <row r="73" spans="1:7" x14ac:dyDescent="0.25">
      <c r="A73" s="1" t="s">
        <v>675</v>
      </c>
      <c r="B73" s="52" t="s">
        <v>450</v>
      </c>
      <c r="C73" s="90">
        <v>40</v>
      </c>
      <c r="D73" s="52">
        <v>1</v>
      </c>
      <c r="E73" s="88">
        <f>SUM(Table6[[#This Row],[Weight]]*Table6[[#This Row],[QTY]])</f>
        <v>40</v>
      </c>
      <c r="F73" s="80">
        <f>$J$2/1000*Table6[[#This Row],[Weight]]*Table6[[#This Row],[QTY]]</f>
        <v>5.2</v>
      </c>
      <c r="G73" s="82">
        <v>8.3333333333333329E-2</v>
      </c>
    </row>
    <row r="74" spans="1:7" x14ac:dyDescent="0.25">
      <c r="A74" s="1" t="s">
        <v>675</v>
      </c>
      <c r="B74" s="24" t="s">
        <v>449</v>
      </c>
      <c r="C74" s="90">
        <v>40</v>
      </c>
      <c r="D74" s="24">
        <v>1</v>
      </c>
      <c r="E74" s="84">
        <f>SUM(Table6[[#This Row],[Weight]]*Table6[[#This Row],[QTY]])</f>
        <v>40</v>
      </c>
      <c r="F74" s="80">
        <f>$J$2/1000*Table6[[#This Row],[Weight]]*Table6[[#This Row],[QTY]]</f>
        <v>5.2</v>
      </c>
      <c r="G74" s="82">
        <v>8.3333333333333329E-2</v>
      </c>
    </row>
    <row r="75" spans="1:7" x14ac:dyDescent="0.25">
      <c r="A75" s="1" t="s">
        <v>675</v>
      </c>
      <c r="B75" s="52" t="s">
        <v>448</v>
      </c>
      <c r="C75" s="90">
        <v>45</v>
      </c>
      <c r="D75" s="52">
        <v>1</v>
      </c>
      <c r="E75" s="88">
        <f>SUM(Table6[[#This Row],[Weight]]*Table6[[#This Row],[QTY]])</f>
        <v>45</v>
      </c>
      <c r="F75" s="80">
        <f>$J$2/1000*Table6[[#This Row],[Weight]]*Table6[[#This Row],[QTY]]</f>
        <v>5.8500000000000005</v>
      </c>
      <c r="G75" s="82">
        <v>0.6069444444444444</v>
      </c>
    </row>
    <row r="76" spans="1:7" x14ac:dyDescent="0.25">
      <c r="A76" s="1" t="s">
        <v>676</v>
      </c>
      <c r="B76" s="24" t="s">
        <v>677</v>
      </c>
      <c r="C76" s="90">
        <v>23</v>
      </c>
      <c r="D76" s="52">
        <v>1</v>
      </c>
      <c r="E76" s="88">
        <f>SUM(Table6[[#This Row],[Weight]]*Table6[[#This Row],[QTY]])</f>
        <v>23</v>
      </c>
      <c r="F76" s="80">
        <f>$J$2/1000*Table6[[#This Row],[Weight]]*Table6[[#This Row],[QTY]]</f>
        <v>2.99</v>
      </c>
      <c r="G76" s="82">
        <v>4.027777777777778E-2</v>
      </c>
    </row>
    <row r="77" spans="1:7" x14ac:dyDescent="0.25">
      <c r="A77" s="1" t="s">
        <v>678</v>
      </c>
      <c r="B77" s="24" t="s">
        <v>472</v>
      </c>
      <c r="C77" s="90"/>
      <c r="D77" s="52">
        <v>1</v>
      </c>
      <c r="E77" s="88">
        <f>SUM(Table6[[#This Row],[Weight]]*Table6[[#This Row],[QTY]])</f>
        <v>0</v>
      </c>
      <c r="F77" s="80">
        <f>$J$2/1000*Table6[[#This Row],[Weight]]*Table6[[#This Row],[QTY]]</f>
        <v>0</v>
      </c>
      <c r="G77" s="82"/>
    </row>
    <row r="78" spans="1:7" x14ac:dyDescent="0.25">
      <c r="A78" s="1" t="s">
        <v>678</v>
      </c>
      <c r="B78" s="24" t="s">
        <v>474</v>
      </c>
      <c r="C78" s="90"/>
      <c r="D78" s="52">
        <v>1</v>
      </c>
      <c r="E78" s="88">
        <f>SUM(Table6[[#This Row],[Weight]]*Table6[[#This Row],[QTY]])</f>
        <v>0</v>
      </c>
      <c r="F78" s="80">
        <f>$J$2/1000*Table6[[#This Row],[Weight]]*Table6[[#This Row],[QTY]]</f>
        <v>0</v>
      </c>
      <c r="G78" s="82"/>
    </row>
    <row r="79" spans="1:7" x14ac:dyDescent="0.25">
      <c r="A79" s="1" t="s">
        <v>678</v>
      </c>
      <c r="B79" s="24" t="s">
        <v>475</v>
      </c>
      <c r="C79" s="90"/>
      <c r="D79" s="52">
        <v>1</v>
      </c>
      <c r="E79" s="88">
        <f>SUM(Table6[[#This Row],[Weight]]*Table6[[#This Row],[QTY]])</f>
        <v>0</v>
      </c>
      <c r="F79" s="80">
        <f>$J$2/1000*Table6[[#This Row],[Weight]]*Table6[[#This Row],[QTY]]</f>
        <v>0</v>
      </c>
      <c r="G79" s="82"/>
    </row>
    <row r="80" spans="1:7" x14ac:dyDescent="0.25">
      <c r="A80" s="1" t="s">
        <v>678</v>
      </c>
      <c r="B80" s="24" t="s">
        <v>476</v>
      </c>
      <c r="C80" s="90"/>
      <c r="D80" s="52">
        <v>2</v>
      </c>
      <c r="E80" s="88">
        <f>SUM(Table6[[#This Row],[Weight]]*Table6[[#This Row],[QTY]])</f>
        <v>0</v>
      </c>
      <c r="F80" s="80">
        <f>$J$2/1000*Table6[[#This Row],[Weight]]*Table6[[#This Row],[QTY]]</f>
        <v>0</v>
      </c>
      <c r="G80" s="82"/>
    </row>
    <row r="81" spans="1:8" x14ac:dyDescent="0.25">
      <c r="A81" s="1" t="s">
        <v>678</v>
      </c>
      <c r="B81" s="24" t="s">
        <v>477</v>
      </c>
      <c r="C81" s="90"/>
      <c r="D81" s="52">
        <v>1</v>
      </c>
      <c r="E81" s="88">
        <f>SUM(Table6[[#This Row],[Weight]]*Table6[[#This Row],[QTY]])</f>
        <v>0</v>
      </c>
      <c r="F81" s="80">
        <f>$J$2/1000*Table6[[#This Row],[Weight]]*Table6[[#This Row],[QTY]]</f>
        <v>0</v>
      </c>
      <c r="G81" s="82"/>
    </row>
    <row r="82" spans="1:8" x14ac:dyDescent="0.25">
      <c r="A82" s="1" t="s">
        <v>678</v>
      </c>
      <c r="B82" s="24" t="s">
        <v>478</v>
      </c>
      <c r="C82" s="90"/>
      <c r="D82" s="52">
        <v>1</v>
      </c>
      <c r="E82" s="88">
        <f>SUM(Table6[[#This Row],[Weight]]*Table6[[#This Row],[QTY]])</f>
        <v>0</v>
      </c>
      <c r="F82" s="80">
        <f>$J$2/1000*Table6[[#This Row],[Weight]]*Table6[[#This Row],[QTY]]</f>
        <v>0</v>
      </c>
      <c r="G82" s="82"/>
    </row>
    <row r="83" spans="1:8" x14ac:dyDescent="0.25">
      <c r="A83" s="1" t="s">
        <v>678</v>
      </c>
      <c r="B83" s="24" t="s">
        <v>479</v>
      </c>
      <c r="C83" s="90"/>
      <c r="D83" s="52">
        <v>1</v>
      </c>
      <c r="E83" s="88">
        <f>SUM(Table6[[#This Row],[Weight]]*Table6[[#This Row],[QTY]])</f>
        <v>0</v>
      </c>
      <c r="F83" s="80">
        <f>$J$2/1000*Table6[[#This Row],[Weight]]*Table6[[#This Row],[QTY]]</f>
        <v>0</v>
      </c>
      <c r="G83" s="82"/>
    </row>
    <row r="84" spans="1:8" x14ac:dyDescent="0.25">
      <c r="A84" s="1" t="s">
        <v>678</v>
      </c>
      <c r="B84" s="24" t="s">
        <v>480</v>
      </c>
      <c r="C84" s="90"/>
      <c r="D84" s="52">
        <v>1</v>
      </c>
      <c r="E84" s="88">
        <f>SUM(Table6[[#This Row],[Weight]]*Table6[[#This Row],[QTY]])</f>
        <v>0</v>
      </c>
      <c r="F84" s="80">
        <f>$J$2/1000*Table6[[#This Row],[Weight]]*Table6[[#This Row],[QTY]]</f>
        <v>0</v>
      </c>
      <c r="G84" s="82"/>
    </row>
    <row r="85" spans="1:8" x14ac:dyDescent="0.25">
      <c r="A85" s="1" t="s">
        <v>678</v>
      </c>
      <c r="B85" s="24" t="s">
        <v>481</v>
      </c>
      <c r="C85" s="90"/>
      <c r="D85" s="52">
        <v>1</v>
      </c>
      <c r="E85" s="88">
        <f>SUM(Table6[[#This Row],[Weight]]*Table6[[#This Row],[QTY]])</f>
        <v>0</v>
      </c>
      <c r="F85" s="80">
        <f>$J$2/1000*Table6[[#This Row],[Weight]]*Table6[[#This Row],[QTY]]</f>
        <v>0</v>
      </c>
      <c r="G85" s="82"/>
    </row>
    <row r="86" spans="1:8" x14ac:dyDescent="0.25">
      <c r="A86" s="1" t="s">
        <v>678</v>
      </c>
      <c r="B86" s="24" t="s">
        <v>482</v>
      </c>
      <c r="C86" s="90"/>
      <c r="D86" s="52">
        <v>1</v>
      </c>
      <c r="E86" s="88">
        <f>SUM(Table6[[#This Row],[Weight]]*Table6[[#This Row],[QTY]])</f>
        <v>0</v>
      </c>
      <c r="F86" s="80">
        <f>$J$2/1000*Table6[[#This Row],[Weight]]*Table6[[#This Row],[QTY]]</f>
        <v>0</v>
      </c>
      <c r="G86" s="82"/>
    </row>
    <row r="87" spans="1:8" x14ac:dyDescent="0.25">
      <c r="A87" s="1" t="s">
        <v>678</v>
      </c>
      <c r="B87" s="24" t="s">
        <v>483</v>
      </c>
      <c r="C87" s="90"/>
      <c r="D87" s="52">
        <v>1</v>
      </c>
      <c r="E87" s="88">
        <f>SUM(Table6[[#This Row],[Weight]]*Table6[[#This Row],[QTY]])</f>
        <v>0</v>
      </c>
      <c r="F87" s="80">
        <f>$J$2/1000*Table6[[#This Row],[Weight]]*Table6[[#This Row],[QTY]]</f>
        <v>0</v>
      </c>
      <c r="G87" s="82"/>
    </row>
    <row r="88" spans="1:8" x14ac:dyDescent="0.25">
      <c r="A88" s="1" t="s">
        <v>678</v>
      </c>
      <c r="B88" s="24" t="s">
        <v>484</v>
      </c>
      <c r="C88" s="90"/>
      <c r="D88" s="52">
        <v>3</v>
      </c>
      <c r="E88" s="88">
        <f>SUM(Table6[[#This Row],[Weight]]*Table6[[#This Row],[QTY]])</f>
        <v>0</v>
      </c>
      <c r="F88" s="80">
        <f>$J$2/1000*Table6[[#This Row],[Weight]]*Table6[[#This Row],[QTY]]</f>
        <v>0</v>
      </c>
      <c r="G88" s="82"/>
    </row>
    <row r="89" spans="1:8" x14ac:dyDescent="0.25">
      <c r="A89" s="1" t="s">
        <v>678</v>
      </c>
      <c r="B89" s="24" t="s">
        <v>485</v>
      </c>
      <c r="C89" s="90"/>
      <c r="D89" s="52">
        <v>1</v>
      </c>
      <c r="E89" s="88">
        <f>SUM(Table6[[#This Row],[Weight]]*Table6[[#This Row],[QTY]])</f>
        <v>0</v>
      </c>
      <c r="F89" s="80">
        <f>$J$2/1000*Table6[[#This Row],[Weight]]*Table6[[#This Row],[QTY]]</f>
        <v>0</v>
      </c>
      <c r="G89" s="82"/>
    </row>
    <row r="90" spans="1:8" x14ac:dyDescent="0.25">
      <c r="A90" s="1" t="s">
        <v>678</v>
      </c>
      <c r="B90" s="24" t="s">
        <v>486</v>
      </c>
      <c r="C90" s="90"/>
      <c r="D90" s="52">
        <v>1</v>
      </c>
      <c r="E90" s="88">
        <f>SUM(Table6[[#This Row],[Weight]]*Table6[[#This Row],[QTY]])</f>
        <v>0</v>
      </c>
      <c r="F90" s="80">
        <f>$J$2/1000*Table6[[#This Row],[Weight]]*Table6[[#This Row],[QTY]]</f>
        <v>0</v>
      </c>
      <c r="G90" s="82"/>
    </row>
    <row r="91" spans="1:8" x14ac:dyDescent="0.25">
      <c r="A91" s="1" t="s">
        <v>678</v>
      </c>
      <c r="B91" s="24" t="s">
        <v>487</v>
      </c>
      <c r="C91" s="90"/>
      <c r="D91" s="52">
        <v>1</v>
      </c>
      <c r="E91" s="88">
        <f>SUM(Table6[[#This Row],[Weight]]*Table6[[#This Row],[QTY]])</f>
        <v>0</v>
      </c>
      <c r="F91" s="80">
        <f>$J$2/1000*Table6[[#This Row],[Weight]]*Table6[[#This Row],[QTY]]</f>
        <v>0</v>
      </c>
      <c r="G91" s="82"/>
    </row>
    <row r="92" spans="1:8" x14ac:dyDescent="0.25">
      <c r="A92" s="1"/>
      <c r="B92" s="1"/>
      <c r="D92" s="1">
        <f>SUBTOTAL(109,Table6[QTY])</f>
        <v>123</v>
      </c>
      <c r="E92" s="83" t="str">
        <f>SUBTOTAL(109,Table6[weight Tot])&amp;"g"</f>
        <v>852g</v>
      </c>
      <c r="F92" s="80">
        <f>SUBTOTAL(109,Table6[Cost/part])</f>
        <v>110.76</v>
      </c>
      <c r="G92" s="89">
        <f>SUBTOTAL(109,Table6[Time/item])</f>
        <v>1.5020833333333334</v>
      </c>
    </row>
    <row r="93" spans="1:8" x14ac:dyDescent="0.25">
      <c r="A93" s="248" t="s">
        <v>671</v>
      </c>
      <c r="B93" s="1" t="s">
        <v>679</v>
      </c>
      <c r="C93">
        <v>46</v>
      </c>
      <c r="D93">
        <v>1</v>
      </c>
      <c r="H93" t="s">
        <v>680</v>
      </c>
    </row>
    <row r="94" spans="1:8" x14ac:dyDescent="0.25">
      <c r="A94" s="105" t="s">
        <v>671</v>
      </c>
      <c r="B94" t="s">
        <v>681</v>
      </c>
      <c r="C94">
        <v>20</v>
      </c>
      <c r="D94">
        <v>1</v>
      </c>
      <c r="H94" t="s">
        <v>680</v>
      </c>
    </row>
    <row r="95" spans="1:8" x14ac:dyDescent="0.25">
      <c r="A95" s="105" t="s">
        <v>671</v>
      </c>
      <c r="B95" t="s">
        <v>682</v>
      </c>
      <c r="H95" t="s">
        <v>680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683</v>
      </c>
      <c r="B1" t="s">
        <v>684</v>
      </c>
      <c r="C1" t="s">
        <v>361</v>
      </c>
      <c r="E1" t="s">
        <v>685</v>
      </c>
    </row>
    <row r="2" spans="1:5" x14ac:dyDescent="0.25">
      <c r="A2" s="1" t="s">
        <v>686</v>
      </c>
      <c r="B2" s="1" t="s">
        <v>687</v>
      </c>
      <c r="C2" s="1" t="s">
        <v>688</v>
      </c>
    </row>
    <row r="3" spans="1:5" x14ac:dyDescent="0.25">
      <c r="A3" s="41" t="s">
        <v>689</v>
      </c>
      <c r="B3" t="s">
        <v>690</v>
      </c>
      <c r="C3" s="78" t="s">
        <v>691</v>
      </c>
    </row>
    <row r="4" spans="1:5" ht="15" customHeight="1" x14ac:dyDescent="0.25">
      <c r="A4" s="25" t="s">
        <v>692</v>
      </c>
      <c r="B4" t="s">
        <v>693</v>
      </c>
      <c r="C4" s="4" t="s">
        <v>694</v>
      </c>
    </row>
    <row r="5" spans="1:5" x14ac:dyDescent="0.25">
      <c r="A5" s="25" t="s">
        <v>695</v>
      </c>
      <c r="B5" t="s">
        <v>696</v>
      </c>
      <c r="C5" t="s">
        <v>697</v>
      </c>
    </row>
    <row r="6" spans="1:5" ht="12" customHeight="1" x14ac:dyDescent="0.25">
      <c r="A6" s="117" t="s">
        <v>698</v>
      </c>
      <c r="B6" s="116" t="s">
        <v>699</v>
      </c>
      <c r="C6" s="118" t="s">
        <v>700</v>
      </c>
      <c r="E6" t="s">
        <v>701</v>
      </c>
    </row>
    <row r="7" spans="1:5" x14ac:dyDescent="0.25">
      <c r="A7" s="25" t="s">
        <v>702</v>
      </c>
      <c r="B7" t="s">
        <v>703</v>
      </c>
      <c r="C7" s="1" t="s">
        <v>704</v>
      </c>
    </row>
    <row r="8" spans="1:5" x14ac:dyDescent="0.25">
      <c r="A8" s="25" t="s">
        <v>705</v>
      </c>
      <c r="B8" t="s">
        <v>706</v>
      </c>
      <c r="C8" s="1" t="s">
        <v>707</v>
      </c>
    </row>
    <row r="9" spans="1:5" x14ac:dyDescent="0.25">
      <c r="A9" s="99" t="s">
        <v>708</v>
      </c>
      <c r="B9" t="s">
        <v>709</v>
      </c>
      <c r="C9" s="1" t="s">
        <v>710</v>
      </c>
    </row>
    <row r="10" spans="1:5" x14ac:dyDescent="0.25">
      <c r="A10" s="25" t="s">
        <v>711</v>
      </c>
      <c r="B10" t="s">
        <v>712</v>
      </c>
      <c r="C10" t="s">
        <v>713</v>
      </c>
    </row>
    <row r="11" spans="1:5" x14ac:dyDescent="0.25">
      <c r="A11" s="25" t="s">
        <v>714</v>
      </c>
      <c r="B11" t="s">
        <v>715</v>
      </c>
      <c r="C11" t="s">
        <v>716</v>
      </c>
    </row>
    <row r="12" spans="1:5" x14ac:dyDescent="0.25">
      <c r="A12" s="25" t="s">
        <v>717</v>
      </c>
      <c r="B12" t="s">
        <v>718</v>
      </c>
      <c r="C12" t="s">
        <v>719</v>
      </c>
    </row>
    <row r="13" spans="1:5" x14ac:dyDescent="0.25">
      <c r="A13" s="25"/>
      <c r="B13" s="25"/>
    </row>
    <row r="14" spans="1:5" x14ac:dyDescent="0.25">
      <c r="A14" s="25"/>
      <c r="B14" s="25"/>
    </row>
    <row r="15" spans="1:5" x14ac:dyDescent="0.25">
      <c r="A15" s="64" t="s">
        <v>647</v>
      </c>
      <c r="B15" t="s">
        <v>720</v>
      </c>
      <c r="C15" t="s">
        <v>361</v>
      </c>
    </row>
    <row r="16" spans="1:5" x14ac:dyDescent="0.25">
      <c r="A16" s="25" t="s">
        <v>721</v>
      </c>
      <c r="B16" t="s">
        <v>722</v>
      </c>
      <c r="C16" t="s">
        <v>723</v>
      </c>
    </row>
    <row r="17" spans="1:5" x14ac:dyDescent="0.25">
      <c r="A17" s="25" t="s">
        <v>724</v>
      </c>
      <c r="C17" s="4" t="s">
        <v>725</v>
      </c>
    </row>
    <row r="18" spans="1:5" x14ac:dyDescent="0.25">
      <c r="A18" s="25" t="s">
        <v>726</v>
      </c>
      <c r="C18" t="s">
        <v>727</v>
      </c>
    </row>
    <row r="19" spans="1:5" x14ac:dyDescent="0.25">
      <c r="A19" s="25" t="s">
        <v>728</v>
      </c>
      <c r="C19" t="s">
        <v>729</v>
      </c>
    </row>
    <row r="20" spans="1:5" x14ac:dyDescent="0.25">
      <c r="A20" s="25" t="s">
        <v>730</v>
      </c>
      <c r="C20" t="s">
        <v>731</v>
      </c>
    </row>
    <row r="21" spans="1:5" x14ac:dyDescent="0.25">
      <c r="A21" s="25" t="s">
        <v>732</v>
      </c>
      <c r="C21" t="s">
        <v>733</v>
      </c>
    </row>
    <row r="22" spans="1:5" x14ac:dyDescent="0.25">
      <c r="A22" s="25" t="s">
        <v>734</v>
      </c>
      <c r="C22" t="s">
        <v>735</v>
      </c>
      <c r="E22" s="104" t="s">
        <v>736</v>
      </c>
    </row>
    <row r="23" spans="1:5" x14ac:dyDescent="0.25">
      <c r="A23" s="25" t="s">
        <v>737</v>
      </c>
      <c r="B23" t="s">
        <v>738</v>
      </c>
      <c r="C23" t="s">
        <v>739</v>
      </c>
    </row>
    <row r="24" spans="1:5" x14ac:dyDescent="0.25">
      <c r="A24" s="25" t="s">
        <v>740</v>
      </c>
      <c r="C24" t="s">
        <v>741</v>
      </c>
    </row>
    <row r="25" spans="1:5" x14ac:dyDescent="0.25">
      <c r="A25" s="25" t="s">
        <v>742</v>
      </c>
      <c r="C25" t="s">
        <v>743</v>
      </c>
    </row>
    <row r="26" spans="1:5" x14ac:dyDescent="0.25">
      <c r="A26" s="25" t="s">
        <v>744</v>
      </c>
      <c r="C26" t="s">
        <v>745</v>
      </c>
    </row>
    <row r="27" spans="1:5" x14ac:dyDescent="0.25">
      <c r="A27" s="25" t="s">
        <v>746</v>
      </c>
      <c r="B27" t="s">
        <v>747</v>
      </c>
      <c r="C27" t="s">
        <v>748</v>
      </c>
    </row>
    <row r="28" spans="1:5" x14ac:dyDescent="0.25">
      <c r="A28" s="25" t="s">
        <v>749</v>
      </c>
      <c r="B28" t="s">
        <v>750</v>
      </c>
      <c r="C28" t="s">
        <v>751</v>
      </c>
    </row>
    <row r="29" spans="1:5" x14ac:dyDescent="0.25">
      <c r="A29" s="25" t="s">
        <v>752</v>
      </c>
      <c r="C29" t="s">
        <v>753</v>
      </c>
    </row>
    <row r="30" spans="1:5" x14ac:dyDescent="0.25">
      <c r="A30" s="25" t="s">
        <v>754</v>
      </c>
      <c r="C30" t="s">
        <v>755</v>
      </c>
    </row>
    <row r="31" spans="1:5" x14ac:dyDescent="0.25">
      <c r="A31" s="25"/>
    </row>
    <row r="32" spans="1:5" x14ac:dyDescent="0.25">
      <c r="B32" s="25"/>
    </row>
    <row r="33" spans="1:4" x14ac:dyDescent="0.25">
      <c r="A33" s="47" t="s">
        <v>756</v>
      </c>
      <c r="B33" t="s">
        <v>361</v>
      </c>
    </row>
    <row r="34" spans="1:4" x14ac:dyDescent="0.25">
      <c r="A34" t="s">
        <v>757</v>
      </c>
      <c r="B34" t="s">
        <v>758</v>
      </c>
    </row>
    <row r="35" spans="1:4" x14ac:dyDescent="0.25">
      <c r="A35" t="s">
        <v>759</v>
      </c>
      <c r="B35" t="s">
        <v>758</v>
      </c>
    </row>
    <row r="36" spans="1:4" x14ac:dyDescent="0.25">
      <c r="A36" t="s">
        <v>760</v>
      </c>
      <c r="B36" t="s">
        <v>758</v>
      </c>
    </row>
    <row r="37" spans="1:4" x14ac:dyDescent="0.25">
      <c r="A37" t="s">
        <v>761</v>
      </c>
      <c r="B37" t="s">
        <v>758</v>
      </c>
    </row>
    <row r="39" spans="1:4" x14ac:dyDescent="0.25">
      <c r="B39" t="s">
        <v>762</v>
      </c>
      <c r="D39" t="s">
        <v>763</v>
      </c>
    </row>
    <row r="40" spans="1:4" x14ac:dyDescent="0.25">
      <c r="B40" t="s">
        <v>764</v>
      </c>
      <c r="D40" t="s">
        <v>765</v>
      </c>
    </row>
    <row r="42" spans="1:4" x14ac:dyDescent="0.25">
      <c r="A42" s="47" t="s">
        <v>766</v>
      </c>
      <c r="B42" t="s">
        <v>361</v>
      </c>
    </row>
    <row r="43" spans="1:4" x14ac:dyDescent="0.25">
      <c r="A43" t="s">
        <v>767</v>
      </c>
      <c r="B43" t="s">
        <v>758</v>
      </c>
    </row>
    <row r="44" spans="1:4" x14ac:dyDescent="0.25">
      <c r="A44" t="s">
        <v>768</v>
      </c>
      <c r="B44" t="s">
        <v>758</v>
      </c>
    </row>
    <row r="45" spans="1:4" x14ac:dyDescent="0.25">
      <c r="A45" t="s">
        <v>769</v>
      </c>
      <c r="B45" t="s">
        <v>770</v>
      </c>
    </row>
    <row r="46" spans="1:4" x14ac:dyDescent="0.25">
      <c r="A46" t="s">
        <v>771</v>
      </c>
      <c r="B46" t="s">
        <v>758</v>
      </c>
    </row>
    <row r="47" spans="1:4" x14ac:dyDescent="0.25">
      <c r="A47" t="s">
        <v>772</v>
      </c>
      <c r="B47" t="s">
        <v>758</v>
      </c>
    </row>
    <row r="48" spans="1:4" x14ac:dyDescent="0.25">
      <c r="A48" t="s">
        <v>773</v>
      </c>
      <c r="B48" t="s">
        <v>758</v>
      </c>
    </row>
    <row r="49" spans="1:2" x14ac:dyDescent="0.25">
      <c r="A49" t="s">
        <v>774</v>
      </c>
      <c r="B49" t="s">
        <v>758</v>
      </c>
    </row>
    <row r="50" spans="1:2" x14ac:dyDescent="0.25">
      <c r="A50" t="s">
        <v>775</v>
      </c>
      <c r="B50" t="s">
        <v>758</v>
      </c>
    </row>
    <row r="51" spans="1:2" x14ac:dyDescent="0.25">
      <c r="A51" t="s">
        <v>776</v>
      </c>
      <c r="B51" t="s">
        <v>758</v>
      </c>
    </row>
    <row r="52" spans="1:2" x14ac:dyDescent="0.25">
      <c r="A52" t="s">
        <v>777</v>
      </c>
      <c r="B52" t="s">
        <v>758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 x14ac:dyDescent="0.25"/>
  <cols>
    <col min="1" max="1" width="17" style="258" customWidth="1"/>
    <col min="2" max="2" width="9.140625" style="253" bestFit="1" customWidth="1"/>
    <col min="3" max="3" width="8.42578125" style="253" bestFit="1" customWidth="1"/>
    <col min="4" max="4" width="5.140625" style="253" customWidth="1"/>
    <col min="5" max="5" width="7" style="253" bestFit="1" customWidth="1"/>
    <col min="6" max="6" width="6" style="253" bestFit="1" customWidth="1"/>
    <col min="7" max="7" width="9" style="253" bestFit="1" customWidth="1"/>
    <col min="8" max="9" width="6.7109375" style="253" bestFit="1" customWidth="1"/>
    <col min="10" max="10" width="4.5703125" style="253" bestFit="1" customWidth="1"/>
    <col min="11" max="11" width="6.5703125" style="253" bestFit="1" customWidth="1"/>
    <col min="12" max="12" width="8.85546875" style="253" bestFit="1" customWidth="1"/>
    <col min="13" max="16384" width="12.5703125" style="253"/>
  </cols>
  <sheetData>
    <row r="1" spans="1:12" ht="15" customHeight="1" x14ac:dyDescent="0.25">
      <c r="A1" s="261" t="s">
        <v>778</v>
      </c>
    </row>
    <row r="2" spans="1:12" ht="15" customHeight="1" x14ac:dyDescent="0.25">
      <c r="A2" s="262" t="s">
        <v>779</v>
      </c>
    </row>
    <row r="3" spans="1:12" s="257" customFormat="1" ht="15" customHeight="1" thickBot="1" x14ac:dyDescent="0.3">
      <c r="A3" s="254"/>
      <c r="B3" s="263"/>
      <c r="C3" s="263"/>
      <c r="D3" s="255" t="s">
        <v>780</v>
      </c>
      <c r="E3" s="255" t="s">
        <v>780</v>
      </c>
      <c r="F3" s="255" t="s">
        <v>780</v>
      </c>
      <c r="G3" s="255" t="s">
        <v>780</v>
      </c>
      <c r="H3" s="255" t="s">
        <v>780</v>
      </c>
      <c r="I3" s="255" t="s">
        <v>781</v>
      </c>
      <c r="J3" s="255"/>
      <c r="K3" s="255"/>
      <c r="L3" s="256" t="s">
        <v>782</v>
      </c>
    </row>
    <row r="4" spans="1:12" s="257" customFormat="1" ht="46.5" customHeight="1" thickBot="1" x14ac:dyDescent="0.3">
      <c r="A4" s="264" t="s">
        <v>783</v>
      </c>
      <c r="B4" s="264" t="s">
        <v>784</v>
      </c>
      <c r="C4" s="264" t="s">
        <v>785</v>
      </c>
      <c r="D4" s="264" t="s">
        <v>786</v>
      </c>
      <c r="E4" s="264" t="s">
        <v>787</v>
      </c>
      <c r="F4" s="264" t="s">
        <v>788</v>
      </c>
      <c r="G4" s="264" t="s">
        <v>789</v>
      </c>
      <c r="H4" s="264" t="s">
        <v>790</v>
      </c>
      <c r="I4" s="264" t="s">
        <v>791</v>
      </c>
      <c r="J4" s="264" t="s">
        <v>792</v>
      </c>
      <c r="K4" s="264" t="s">
        <v>1193</v>
      </c>
      <c r="L4" s="264" t="s">
        <v>793</v>
      </c>
    </row>
    <row r="5" spans="1:12" s="257" customFormat="1" ht="15.75" customHeight="1" x14ac:dyDescent="0.25">
      <c r="A5" s="265" t="s">
        <v>767</v>
      </c>
      <c r="B5" s="266" t="s">
        <v>794</v>
      </c>
      <c r="C5" s="267" t="s">
        <v>795</v>
      </c>
      <c r="D5" s="267">
        <v>105</v>
      </c>
      <c r="E5" s="267">
        <v>225</v>
      </c>
      <c r="F5" s="267">
        <v>110</v>
      </c>
      <c r="G5" s="267">
        <v>60</v>
      </c>
      <c r="H5" s="267">
        <v>75</v>
      </c>
      <c r="I5" s="259">
        <v>4</v>
      </c>
      <c r="J5" s="267">
        <v>95</v>
      </c>
      <c r="K5" s="267">
        <v>100</v>
      </c>
      <c r="L5" s="267">
        <v>2300</v>
      </c>
    </row>
    <row r="6" spans="1:12" s="257" customFormat="1" ht="15.75" customHeight="1" x14ac:dyDescent="0.25">
      <c r="A6" s="265" t="s">
        <v>796</v>
      </c>
      <c r="B6" s="266" t="s">
        <v>794</v>
      </c>
      <c r="C6" s="267" t="s">
        <v>795</v>
      </c>
      <c r="D6" s="267">
        <v>105</v>
      </c>
      <c r="E6" s="267">
        <v>245</v>
      </c>
      <c r="F6" s="267">
        <v>110</v>
      </c>
      <c r="G6" s="267">
        <v>60</v>
      </c>
      <c r="H6" s="267">
        <v>80</v>
      </c>
      <c r="I6" s="259">
        <v>3</v>
      </c>
      <c r="J6" s="267">
        <v>95</v>
      </c>
      <c r="K6" s="267">
        <v>100</v>
      </c>
      <c r="L6" s="267">
        <v>2000</v>
      </c>
    </row>
    <row r="7" spans="1:12" s="257" customFormat="1" ht="15.75" customHeight="1" x14ac:dyDescent="0.25">
      <c r="A7" s="265" t="s">
        <v>797</v>
      </c>
      <c r="B7" s="266" t="s">
        <v>798</v>
      </c>
      <c r="C7" s="267" t="s">
        <v>799</v>
      </c>
      <c r="D7" s="267">
        <v>90</v>
      </c>
      <c r="E7" s="267">
        <v>250</v>
      </c>
      <c r="F7" s="267">
        <v>80</v>
      </c>
      <c r="G7" s="267">
        <v>20</v>
      </c>
      <c r="H7" s="267">
        <v>60</v>
      </c>
      <c r="I7" s="259">
        <v>3</v>
      </c>
      <c r="J7" s="267">
        <v>70</v>
      </c>
      <c r="K7" s="267">
        <v>75</v>
      </c>
      <c r="L7" s="267">
        <v>1900</v>
      </c>
    </row>
    <row r="8" spans="1:12" s="257" customFormat="1" ht="15.75" customHeight="1" x14ac:dyDescent="0.25">
      <c r="A8" s="265" t="s">
        <v>800</v>
      </c>
      <c r="B8" s="266" t="s">
        <v>798</v>
      </c>
      <c r="C8" s="267">
        <v>0</v>
      </c>
      <c r="D8" s="267">
        <v>100</v>
      </c>
      <c r="E8" s="267">
        <v>225</v>
      </c>
      <c r="F8" s="267">
        <v>100</v>
      </c>
      <c r="G8" s="267">
        <v>50</v>
      </c>
      <c r="H8" s="267" t="s">
        <v>801</v>
      </c>
      <c r="I8" s="259" t="s">
        <v>801</v>
      </c>
      <c r="J8" s="267">
        <v>80</v>
      </c>
      <c r="K8" s="267">
        <v>80</v>
      </c>
      <c r="L8" s="267">
        <v>1600</v>
      </c>
    </row>
    <row r="9" spans="1:12" s="257" customFormat="1" ht="15.75" customHeight="1" x14ac:dyDescent="0.25">
      <c r="A9" s="268" t="s">
        <v>802</v>
      </c>
      <c r="B9" s="266" t="s">
        <v>803</v>
      </c>
      <c r="C9" s="267" t="s">
        <v>795</v>
      </c>
      <c r="D9" s="267">
        <v>105</v>
      </c>
      <c r="E9" s="267">
        <v>265</v>
      </c>
      <c r="F9" s="267">
        <v>110</v>
      </c>
      <c r="G9" s="267">
        <v>70</v>
      </c>
      <c r="H9" s="267">
        <v>90</v>
      </c>
      <c r="I9" s="259">
        <v>4</v>
      </c>
      <c r="J9" s="267">
        <v>140</v>
      </c>
      <c r="K9" s="267">
        <v>180</v>
      </c>
      <c r="L9" s="267">
        <v>2050</v>
      </c>
    </row>
    <row r="10" spans="1:12" s="257" customFormat="1" ht="17.25" customHeight="1" x14ac:dyDescent="0.25">
      <c r="A10" s="268" t="s">
        <v>804</v>
      </c>
      <c r="B10" s="266" t="s">
        <v>803</v>
      </c>
      <c r="C10" s="267" t="s">
        <v>795</v>
      </c>
      <c r="D10" s="267">
        <v>60</v>
      </c>
      <c r="E10" s="269">
        <v>260</v>
      </c>
      <c r="F10" s="267">
        <v>90</v>
      </c>
      <c r="G10" s="267">
        <v>60</v>
      </c>
      <c r="H10" s="267">
        <v>80</v>
      </c>
      <c r="I10" s="259">
        <v>10</v>
      </c>
      <c r="J10" s="267">
        <v>110</v>
      </c>
      <c r="K10" s="267">
        <v>180</v>
      </c>
      <c r="L10" s="267">
        <v>6500</v>
      </c>
    </row>
    <row r="11" spans="1:12" s="257" customFormat="1" ht="15.75" customHeight="1" x14ac:dyDescent="0.25">
      <c r="A11" s="268" t="s">
        <v>805</v>
      </c>
      <c r="B11" s="266" t="s">
        <v>803</v>
      </c>
      <c r="C11" s="267" t="s">
        <v>795</v>
      </c>
      <c r="D11" s="267">
        <v>60</v>
      </c>
      <c r="E11" s="267">
        <v>260</v>
      </c>
      <c r="F11" s="267">
        <v>80</v>
      </c>
      <c r="G11" s="267">
        <v>55</v>
      </c>
      <c r="H11" s="267">
        <v>80</v>
      </c>
      <c r="I11" s="259">
        <v>8</v>
      </c>
      <c r="J11" s="267">
        <v>135</v>
      </c>
      <c r="K11" s="267">
        <v>180</v>
      </c>
      <c r="L11" s="267">
        <v>3000</v>
      </c>
    </row>
    <row r="12" spans="1:12" s="257" customFormat="1" ht="15.75" customHeight="1" x14ac:dyDescent="0.25">
      <c r="A12" s="268" t="s">
        <v>806</v>
      </c>
      <c r="B12" s="266" t="s">
        <v>803</v>
      </c>
      <c r="C12" s="267" t="s">
        <v>795</v>
      </c>
      <c r="D12" s="267">
        <v>60</v>
      </c>
      <c r="E12" s="267">
        <v>260</v>
      </c>
      <c r="F12" s="267">
        <v>90</v>
      </c>
      <c r="G12" s="267">
        <v>50</v>
      </c>
      <c r="H12" s="267">
        <v>80</v>
      </c>
      <c r="I12" s="259">
        <v>6</v>
      </c>
      <c r="J12" s="267">
        <v>135</v>
      </c>
      <c r="K12" s="267">
        <v>180</v>
      </c>
      <c r="L12" s="267">
        <v>2900</v>
      </c>
    </row>
    <row r="13" spans="1:12" s="257" customFormat="1" ht="15.75" customHeight="1" x14ac:dyDescent="0.25">
      <c r="A13" s="268" t="s">
        <v>807</v>
      </c>
      <c r="B13" s="266" t="s">
        <v>803</v>
      </c>
      <c r="C13" s="267" t="s">
        <v>795</v>
      </c>
      <c r="D13" s="267">
        <v>70</v>
      </c>
      <c r="E13" s="267">
        <v>260</v>
      </c>
      <c r="F13" s="267">
        <v>90</v>
      </c>
      <c r="G13" s="267">
        <v>60</v>
      </c>
      <c r="H13" s="267">
        <v>80</v>
      </c>
      <c r="I13" s="259">
        <v>10</v>
      </c>
      <c r="J13" s="267">
        <v>140</v>
      </c>
      <c r="K13" s="267">
        <v>180</v>
      </c>
      <c r="L13" s="267">
        <v>4800</v>
      </c>
    </row>
    <row r="14" spans="1:12" s="257" customFormat="1" ht="15.75" customHeight="1" x14ac:dyDescent="0.25">
      <c r="A14" s="268" t="s">
        <v>808</v>
      </c>
      <c r="B14" s="266" t="s">
        <v>798</v>
      </c>
      <c r="C14" s="267">
        <v>0</v>
      </c>
      <c r="D14" s="267">
        <v>147</v>
      </c>
      <c r="E14" s="267">
        <v>285</v>
      </c>
      <c r="F14" s="267">
        <v>115</v>
      </c>
      <c r="G14" s="267">
        <v>60</v>
      </c>
      <c r="H14" s="267">
        <v>120</v>
      </c>
      <c r="I14" s="259">
        <v>4</v>
      </c>
      <c r="J14" s="267">
        <v>135</v>
      </c>
      <c r="K14" s="267">
        <v>135</v>
      </c>
      <c r="L14" s="267">
        <v>2200</v>
      </c>
    </row>
    <row r="15" spans="1:12" s="257" customFormat="1" ht="15.75" customHeight="1" x14ac:dyDescent="0.25">
      <c r="A15" s="265" t="s">
        <v>809</v>
      </c>
      <c r="B15" s="266"/>
      <c r="C15" s="267" t="s">
        <v>795</v>
      </c>
      <c r="D15" s="267">
        <v>137</v>
      </c>
      <c r="E15" s="267">
        <v>275</v>
      </c>
      <c r="F15" s="267">
        <v>110</v>
      </c>
      <c r="G15" s="267">
        <v>80</v>
      </c>
      <c r="H15" s="267">
        <v>110</v>
      </c>
      <c r="I15" s="259">
        <v>4</v>
      </c>
      <c r="J15" s="267">
        <v>126</v>
      </c>
      <c r="K15" s="267">
        <v>128</v>
      </c>
      <c r="L15" s="267">
        <v>2370</v>
      </c>
    </row>
    <row r="16" spans="1:12" s="257" customFormat="1" ht="15.75" customHeight="1" x14ac:dyDescent="0.25">
      <c r="A16" s="265" t="s">
        <v>810</v>
      </c>
      <c r="B16" s="266"/>
      <c r="C16" s="267" t="s">
        <v>795</v>
      </c>
      <c r="D16" s="267">
        <v>126</v>
      </c>
      <c r="E16" s="267">
        <v>265</v>
      </c>
      <c r="F16" s="267">
        <v>110</v>
      </c>
      <c r="G16" s="267">
        <v>90</v>
      </c>
      <c r="H16" s="267">
        <v>110</v>
      </c>
      <c r="I16" s="259">
        <v>4</v>
      </c>
      <c r="J16" s="267">
        <v>126</v>
      </c>
      <c r="K16" s="267">
        <v>128</v>
      </c>
      <c r="L16" s="267">
        <v>2370</v>
      </c>
    </row>
    <row r="17" spans="1:12" s="257" customFormat="1" ht="15.75" customHeight="1" x14ac:dyDescent="0.25">
      <c r="A17" s="268" t="s">
        <v>811</v>
      </c>
      <c r="B17" s="266" t="s">
        <v>798</v>
      </c>
      <c r="C17" s="267" t="s">
        <v>795</v>
      </c>
      <c r="D17" s="267">
        <v>145</v>
      </c>
      <c r="E17" s="267">
        <v>260</v>
      </c>
      <c r="F17" s="267">
        <v>90</v>
      </c>
      <c r="G17" s="269">
        <v>60</v>
      </c>
      <c r="H17" s="267">
        <v>80</v>
      </c>
      <c r="I17" s="259">
        <v>8</v>
      </c>
      <c r="J17" s="267">
        <v>112</v>
      </c>
      <c r="K17" s="267">
        <v>114</v>
      </c>
      <c r="L17" s="267">
        <v>2300</v>
      </c>
    </row>
    <row r="18" spans="1:12" s="257" customFormat="1" ht="15.75" customHeight="1" x14ac:dyDescent="0.25">
      <c r="A18" s="268" t="s">
        <v>812</v>
      </c>
      <c r="B18" s="266" t="s">
        <v>798</v>
      </c>
      <c r="C18" s="267" t="s">
        <v>795</v>
      </c>
      <c r="D18" s="267">
        <v>113</v>
      </c>
      <c r="E18" s="267">
        <v>285</v>
      </c>
      <c r="F18" s="267">
        <v>110</v>
      </c>
      <c r="G18" s="267">
        <v>60</v>
      </c>
      <c r="H18" s="267">
        <v>80</v>
      </c>
      <c r="I18" s="259">
        <v>5</v>
      </c>
      <c r="J18" s="267">
        <v>114</v>
      </c>
      <c r="K18" s="267">
        <v>130</v>
      </c>
      <c r="L18" s="267">
        <v>4200</v>
      </c>
    </row>
    <row r="19" spans="1:12" s="257" customFormat="1" ht="15.75" customHeight="1" x14ac:dyDescent="0.25">
      <c r="A19" s="268" t="s">
        <v>813</v>
      </c>
      <c r="B19" s="266"/>
      <c r="C19" s="267" t="s">
        <v>795</v>
      </c>
      <c r="D19" s="267">
        <v>158</v>
      </c>
      <c r="E19" s="267">
        <v>280</v>
      </c>
      <c r="F19" s="267">
        <v>100</v>
      </c>
      <c r="G19" s="267">
        <v>90</v>
      </c>
      <c r="H19" s="267">
        <v>80</v>
      </c>
      <c r="I19" s="259">
        <v>6</v>
      </c>
      <c r="J19" s="267">
        <v>185</v>
      </c>
      <c r="K19" s="267">
        <v>185</v>
      </c>
      <c r="L19" s="267">
        <v>9800</v>
      </c>
    </row>
    <row r="20" spans="1:12" s="257" customFormat="1" ht="15.75" customHeight="1" x14ac:dyDescent="0.25">
      <c r="A20" s="268" t="s">
        <v>814</v>
      </c>
      <c r="B20" s="266"/>
      <c r="C20" s="267" t="s">
        <v>795</v>
      </c>
      <c r="D20" s="267">
        <v>143</v>
      </c>
      <c r="E20" s="267">
        <v>280</v>
      </c>
      <c r="F20" s="267">
        <v>110</v>
      </c>
      <c r="G20" s="267">
        <v>100</v>
      </c>
      <c r="H20" s="267">
        <v>80</v>
      </c>
      <c r="I20" s="259">
        <v>5</v>
      </c>
      <c r="J20" s="267">
        <v>135</v>
      </c>
      <c r="K20" s="267">
        <v>140</v>
      </c>
      <c r="L20" s="267">
        <v>6000</v>
      </c>
    </row>
    <row r="21" spans="1:12" s="257" customFormat="1" ht="15.75" customHeight="1" x14ac:dyDescent="0.25">
      <c r="A21" s="268" t="s">
        <v>656</v>
      </c>
      <c r="B21" s="266"/>
      <c r="C21" s="267" t="s">
        <v>795</v>
      </c>
      <c r="D21" s="267">
        <v>140</v>
      </c>
      <c r="E21" s="267">
        <v>260</v>
      </c>
      <c r="F21" s="267">
        <v>100</v>
      </c>
      <c r="G21" s="267">
        <v>100</v>
      </c>
      <c r="H21" s="267">
        <v>80</v>
      </c>
      <c r="I21" s="259">
        <v>5</v>
      </c>
      <c r="J21" s="267">
        <v>110</v>
      </c>
      <c r="K21" s="267">
        <v>110</v>
      </c>
      <c r="L21" s="267">
        <v>6200</v>
      </c>
    </row>
    <row r="22" spans="1:12" s="257" customFormat="1" ht="15.75" customHeight="1" x14ac:dyDescent="0.25">
      <c r="A22" s="268" t="s">
        <v>815</v>
      </c>
      <c r="B22" s="266" t="s">
        <v>798</v>
      </c>
      <c r="C22" s="267" t="s">
        <v>795</v>
      </c>
      <c r="D22" s="267">
        <v>113</v>
      </c>
      <c r="E22" s="267">
        <v>250</v>
      </c>
      <c r="F22" s="267">
        <v>90</v>
      </c>
      <c r="G22" s="267">
        <v>70</v>
      </c>
      <c r="H22" s="267">
        <v>75</v>
      </c>
      <c r="I22" s="259">
        <v>12</v>
      </c>
      <c r="J22" s="267">
        <v>114</v>
      </c>
      <c r="K22" s="267">
        <v>116</v>
      </c>
      <c r="L22" s="267">
        <v>2040</v>
      </c>
    </row>
    <row r="23" spans="1:12" s="257" customFormat="1" ht="15.75" customHeight="1" x14ac:dyDescent="0.25">
      <c r="A23" s="265" t="s">
        <v>816</v>
      </c>
      <c r="B23" s="266" t="s">
        <v>817</v>
      </c>
      <c r="C23" s="267" t="s">
        <v>795</v>
      </c>
      <c r="D23" s="267">
        <v>143</v>
      </c>
      <c r="E23" s="267">
        <v>390</v>
      </c>
      <c r="F23" s="267">
        <v>135</v>
      </c>
      <c r="G23" s="267">
        <v>100</v>
      </c>
      <c r="H23" s="267">
        <v>120</v>
      </c>
      <c r="I23" s="259">
        <v>4</v>
      </c>
      <c r="J23" s="267">
        <v>140</v>
      </c>
      <c r="K23" s="267">
        <v>280</v>
      </c>
      <c r="L23" s="267">
        <v>3700</v>
      </c>
    </row>
    <row r="24" spans="1:12" s="257" customFormat="1" ht="15.75" customHeight="1" x14ac:dyDescent="0.25">
      <c r="A24" s="265" t="s">
        <v>818</v>
      </c>
      <c r="B24" s="266" t="s">
        <v>817</v>
      </c>
      <c r="C24" s="267" t="s">
        <v>795</v>
      </c>
      <c r="D24" s="267">
        <v>165</v>
      </c>
      <c r="E24" s="267">
        <v>370</v>
      </c>
      <c r="F24" s="267">
        <v>130</v>
      </c>
      <c r="G24" s="267">
        <v>150</v>
      </c>
      <c r="H24" s="267">
        <v>120</v>
      </c>
      <c r="I24" s="259">
        <v>4</v>
      </c>
      <c r="J24" s="267">
        <v>182</v>
      </c>
      <c r="K24" s="267">
        <v>300</v>
      </c>
      <c r="L24" s="267">
        <v>2900</v>
      </c>
    </row>
    <row r="25" spans="1:12" s="257" customFormat="1" ht="15.75" customHeight="1" x14ac:dyDescent="0.25">
      <c r="A25" s="268" t="s">
        <v>819</v>
      </c>
      <c r="B25" s="266" t="s">
        <v>817</v>
      </c>
      <c r="C25" s="267" t="s">
        <v>795</v>
      </c>
      <c r="D25" s="267">
        <v>165</v>
      </c>
      <c r="E25" s="267">
        <v>380</v>
      </c>
      <c r="F25" s="267">
        <v>120</v>
      </c>
      <c r="G25" s="267">
        <v>140</v>
      </c>
      <c r="H25" s="267">
        <v>120</v>
      </c>
      <c r="I25" s="259">
        <v>6</v>
      </c>
      <c r="J25" s="267">
        <v>180</v>
      </c>
      <c r="K25" s="267">
        <v>300</v>
      </c>
      <c r="L25" s="267">
        <v>9850</v>
      </c>
    </row>
    <row r="26" spans="1:12" s="257" customFormat="1" ht="15.75" customHeight="1" x14ac:dyDescent="0.25">
      <c r="A26" s="268" t="s">
        <v>820</v>
      </c>
      <c r="B26" s="266" t="s">
        <v>798</v>
      </c>
      <c r="C26" s="267" t="s">
        <v>795</v>
      </c>
      <c r="D26" s="267">
        <v>70</v>
      </c>
      <c r="E26" s="267">
        <v>260</v>
      </c>
      <c r="F26" s="267">
        <v>70</v>
      </c>
      <c r="G26" s="267">
        <v>55</v>
      </c>
      <c r="H26" s="267">
        <v>80</v>
      </c>
      <c r="I26" s="259">
        <v>10</v>
      </c>
      <c r="J26" s="267">
        <v>112</v>
      </c>
      <c r="K26" s="267">
        <v>225</v>
      </c>
      <c r="L26" s="267">
        <v>6500</v>
      </c>
    </row>
    <row r="27" spans="1:12" s="257" customFormat="1" ht="15.75" customHeight="1" x14ac:dyDescent="0.25">
      <c r="A27" s="265" t="s">
        <v>773</v>
      </c>
      <c r="B27" s="266" t="s">
        <v>798</v>
      </c>
      <c r="C27" s="267" t="s">
        <v>799</v>
      </c>
      <c r="D27" s="267">
        <v>80</v>
      </c>
      <c r="E27" s="267">
        <v>245</v>
      </c>
      <c r="F27" s="267">
        <v>70</v>
      </c>
      <c r="G27" s="267">
        <v>35</v>
      </c>
      <c r="H27" s="267">
        <v>65</v>
      </c>
      <c r="I27" s="259">
        <v>3</v>
      </c>
      <c r="J27" s="267">
        <v>70</v>
      </c>
      <c r="K27" s="267">
        <v>70</v>
      </c>
      <c r="L27" s="267">
        <v>1600</v>
      </c>
    </row>
    <row r="28" spans="1:12" s="257" customFormat="1" ht="15.75" customHeight="1" x14ac:dyDescent="0.25">
      <c r="A28" s="265" t="s">
        <v>774</v>
      </c>
      <c r="B28" s="266" t="s">
        <v>798</v>
      </c>
      <c r="C28" s="267" t="s">
        <v>821</v>
      </c>
      <c r="D28" s="267">
        <v>85</v>
      </c>
      <c r="E28" s="267">
        <v>210</v>
      </c>
      <c r="F28" s="267">
        <v>23</v>
      </c>
      <c r="G28" s="267">
        <v>25</v>
      </c>
      <c r="H28" s="267">
        <v>65</v>
      </c>
      <c r="I28" s="259">
        <v>3</v>
      </c>
      <c r="J28" s="267">
        <v>60</v>
      </c>
      <c r="K28" s="267">
        <v>100</v>
      </c>
      <c r="L28" s="267">
        <v>3500</v>
      </c>
    </row>
    <row r="29" spans="1:12" s="257" customFormat="1" ht="15.75" customHeight="1" x14ac:dyDescent="0.25">
      <c r="A29" s="268" t="s">
        <v>658</v>
      </c>
      <c r="B29" s="266" t="s">
        <v>798</v>
      </c>
      <c r="C29" s="267" t="s">
        <v>795</v>
      </c>
      <c r="D29" s="267">
        <v>90</v>
      </c>
      <c r="E29" s="267">
        <v>300</v>
      </c>
      <c r="F29" s="267">
        <v>90</v>
      </c>
      <c r="G29" s="267">
        <v>60</v>
      </c>
      <c r="H29" s="267">
        <v>100</v>
      </c>
      <c r="I29" s="259">
        <v>8</v>
      </c>
      <c r="J29" s="267">
        <v>227</v>
      </c>
      <c r="K29" s="267">
        <v>250</v>
      </c>
      <c r="L29" s="267">
        <v>9800</v>
      </c>
    </row>
    <row r="30" spans="1:12" s="257" customFormat="1" ht="15.75" customHeight="1" x14ac:dyDescent="0.25">
      <c r="A30" s="265" t="s">
        <v>822</v>
      </c>
      <c r="B30" s="266" t="s">
        <v>798</v>
      </c>
      <c r="C30" s="267">
        <v>0</v>
      </c>
      <c r="D30" s="267">
        <v>283</v>
      </c>
      <c r="E30" s="267">
        <v>340</v>
      </c>
      <c r="F30" s="267">
        <v>120</v>
      </c>
      <c r="G30" s="267">
        <v>70</v>
      </c>
      <c r="H30" s="267">
        <v>110</v>
      </c>
      <c r="I30" s="259">
        <v>4</v>
      </c>
      <c r="J30" s="267">
        <v>90</v>
      </c>
      <c r="K30" s="267">
        <v>250</v>
      </c>
      <c r="L30" s="267">
        <v>2540</v>
      </c>
    </row>
    <row r="31" spans="1:12" s="257" customFormat="1" ht="15.75" customHeight="1" x14ac:dyDescent="0.25">
      <c r="A31" s="268" t="s">
        <v>657</v>
      </c>
      <c r="B31" s="266" t="s">
        <v>798</v>
      </c>
      <c r="C31" s="267">
        <v>0</v>
      </c>
      <c r="D31" s="267">
        <v>100</v>
      </c>
      <c r="E31" s="267">
        <v>320</v>
      </c>
      <c r="F31" s="267">
        <v>110</v>
      </c>
      <c r="G31" s="267">
        <v>80</v>
      </c>
      <c r="H31" s="267">
        <v>100</v>
      </c>
      <c r="I31" s="259">
        <v>10</v>
      </c>
      <c r="J31" s="267">
        <v>264</v>
      </c>
      <c r="K31" s="267">
        <v>280</v>
      </c>
      <c r="L31" s="267">
        <v>7160</v>
      </c>
    </row>
    <row r="32" spans="1:12" s="257" customFormat="1" ht="15.75" customHeight="1" x14ac:dyDescent="0.25">
      <c r="A32" s="265" t="s">
        <v>823</v>
      </c>
      <c r="B32" s="266" t="s">
        <v>824</v>
      </c>
      <c r="C32" s="267">
        <v>0</v>
      </c>
      <c r="D32" s="267">
        <v>230</v>
      </c>
      <c r="E32" s="267">
        <v>400</v>
      </c>
      <c r="F32" s="267">
        <v>140</v>
      </c>
      <c r="G32" s="267">
        <v>100</v>
      </c>
      <c r="H32" s="267">
        <v>120</v>
      </c>
      <c r="I32" s="259">
        <v>4</v>
      </c>
      <c r="J32" s="267">
        <v>190</v>
      </c>
      <c r="K32" s="267">
        <v>210</v>
      </c>
      <c r="L32" s="267">
        <v>2215</v>
      </c>
    </row>
    <row r="33" spans="1:12" s="257" customFormat="1" ht="15.75" customHeight="1" x14ac:dyDescent="0.25">
      <c r="A33" s="265" t="s">
        <v>825</v>
      </c>
      <c r="B33" s="266" t="s">
        <v>826</v>
      </c>
      <c r="C33" s="267">
        <v>0</v>
      </c>
      <c r="D33" s="267">
        <v>187</v>
      </c>
      <c r="E33" s="267">
        <v>365</v>
      </c>
      <c r="F33" s="267">
        <v>130</v>
      </c>
      <c r="G33" s="267">
        <v>130</v>
      </c>
      <c r="H33" s="267">
        <v>120</v>
      </c>
      <c r="I33" s="259">
        <v>4</v>
      </c>
      <c r="J33" s="267">
        <v>172</v>
      </c>
      <c r="K33" s="267">
        <v>180</v>
      </c>
      <c r="L33" s="267">
        <v>2050</v>
      </c>
    </row>
    <row r="34" spans="1:12" s="257" customFormat="1" ht="15.75" customHeight="1" x14ac:dyDescent="0.25">
      <c r="A34" s="265" t="s">
        <v>827</v>
      </c>
      <c r="B34" s="266"/>
      <c r="C34" s="267" t="s">
        <v>795</v>
      </c>
      <c r="D34" s="267">
        <v>170</v>
      </c>
      <c r="E34" s="267">
        <v>265</v>
      </c>
      <c r="F34" s="267">
        <v>105</v>
      </c>
      <c r="G34" s="267">
        <v>100</v>
      </c>
      <c r="H34" s="267" t="s">
        <v>801</v>
      </c>
      <c r="I34" s="259" t="s">
        <v>801</v>
      </c>
      <c r="J34" s="267">
        <v>158</v>
      </c>
      <c r="K34" s="267">
        <v>160</v>
      </c>
      <c r="L34" s="267">
        <v>2100</v>
      </c>
    </row>
    <row r="35" spans="1:12" s="257" customFormat="1" ht="15.75" customHeight="1" x14ac:dyDescent="0.25">
      <c r="A35" s="265" t="s">
        <v>828</v>
      </c>
      <c r="B35" s="266"/>
      <c r="C35" s="267" t="s">
        <v>799</v>
      </c>
      <c r="D35" s="267">
        <v>80</v>
      </c>
      <c r="E35" s="267">
        <v>235</v>
      </c>
      <c r="F35" s="267">
        <v>70</v>
      </c>
      <c r="G35" s="267">
        <v>35</v>
      </c>
      <c r="H35" s="267">
        <v>65</v>
      </c>
      <c r="I35" s="259">
        <v>4</v>
      </c>
      <c r="J35" s="267">
        <v>120</v>
      </c>
      <c r="K35" s="267">
        <v>120</v>
      </c>
      <c r="L35" s="267">
        <v>100</v>
      </c>
    </row>
    <row r="36" spans="1:12" s="257" customFormat="1" ht="15.75" customHeight="1" x14ac:dyDescent="0.25">
      <c r="A36" s="268" t="s">
        <v>829</v>
      </c>
      <c r="B36" s="266" t="s">
        <v>824</v>
      </c>
      <c r="C36" s="267">
        <v>0</v>
      </c>
      <c r="D36" s="267">
        <v>186</v>
      </c>
      <c r="E36" s="267">
        <v>375</v>
      </c>
      <c r="F36" s="267">
        <v>135</v>
      </c>
      <c r="G36" s="267">
        <v>110</v>
      </c>
      <c r="H36" s="267">
        <v>120</v>
      </c>
      <c r="I36" s="259">
        <v>4</v>
      </c>
      <c r="J36" s="267">
        <v>208</v>
      </c>
      <c r="K36" s="267">
        <v>210</v>
      </c>
      <c r="L36" s="267">
        <v>3000</v>
      </c>
    </row>
    <row r="37" spans="1:12" s="257" customFormat="1" ht="15.75" customHeight="1" x14ac:dyDescent="0.25">
      <c r="A37" s="268" t="s">
        <v>830</v>
      </c>
      <c r="B37" s="266"/>
      <c r="C37" s="267">
        <v>0</v>
      </c>
      <c r="D37" s="267">
        <v>180</v>
      </c>
      <c r="E37" s="267">
        <v>360</v>
      </c>
      <c r="F37" s="267">
        <v>130</v>
      </c>
      <c r="G37" s="267">
        <v>170</v>
      </c>
      <c r="H37" s="267">
        <v>110</v>
      </c>
      <c r="I37" s="259">
        <v>5</v>
      </c>
      <c r="J37" s="267">
        <v>177</v>
      </c>
      <c r="K37" s="267">
        <v>180</v>
      </c>
      <c r="L37" s="267">
        <v>2200</v>
      </c>
    </row>
    <row r="38" spans="1:12" s="257" customFormat="1" ht="15.75" customHeight="1" thickBot="1" x14ac:dyDescent="0.3">
      <c r="A38" s="252" t="s">
        <v>831</v>
      </c>
      <c r="B38" s="293"/>
      <c r="C38" s="293"/>
      <c r="D38" s="294"/>
      <c r="E38" s="294"/>
      <c r="F38" s="294"/>
      <c r="G38" s="294"/>
      <c r="H38" s="294"/>
      <c r="I38" s="294"/>
      <c r="J38" s="294"/>
    </row>
    <row r="39" spans="1:12" ht="15.75" customHeight="1" x14ac:dyDescent="0.25">
      <c r="A39" s="277" t="s">
        <v>832</v>
      </c>
      <c r="B39" s="295"/>
      <c r="C39" s="295"/>
      <c r="D39" s="296"/>
      <c r="E39" s="296"/>
      <c r="F39" s="296"/>
      <c r="G39" s="296"/>
      <c r="H39" s="296"/>
      <c r="I39" s="296"/>
      <c r="J39" s="296"/>
      <c r="K39" s="296"/>
      <c r="L39" s="278"/>
    </row>
    <row r="40" spans="1:12" ht="15.75" customHeight="1" x14ac:dyDescent="0.25">
      <c r="A40" s="279" t="s">
        <v>833</v>
      </c>
      <c r="B40" s="270"/>
      <c r="C40" s="270"/>
      <c r="D40" s="270"/>
      <c r="E40" s="270"/>
      <c r="F40" s="270"/>
      <c r="G40" s="270"/>
      <c r="H40" s="270"/>
      <c r="I40" s="270"/>
      <c r="J40" s="270"/>
      <c r="K40" s="270"/>
      <c r="L40" s="280"/>
    </row>
    <row r="41" spans="1:12" ht="15.75" customHeight="1" x14ac:dyDescent="0.25">
      <c r="A41" s="281" t="s">
        <v>1194</v>
      </c>
      <c r="L41" s="282"/>
    </row>
    <row r="42" spans="1:12" ht="15.75" customHeight="1" x14ac:dyDescent="0.25">
      <c r="A42" s="283" t="s">
        <v>1195</v>
      </c>
      <c r="B42" s="271"/>
      <c r="C42" s="271"/>
      <c r="D42" s="271"/>
      <c r="E42" s="271"/>
      <c r="F42" s="271"/>
      <c r="G42" s="271"/>
      <c r="H42" s="271"/>
      <c r="I42" s="271"/>
      <c r="J42" s="271"/>
      <c r="K42" s="271"/>
      <c r="L42" s="284"/>
    </row>
    <row r="43" spans="1:12" ht="15.75" customHeight="1" x14ac:dyDescent="0.25">
      <c r="A43" s="279" t="s">
        <v>834</v>
      </c>
      <c r="B43" s="270"/>
      <c r="C43" s="270"/>
      <c r="D43" s="270"/>
      <c r="E43" s="270"/>
      <c r="F43" s="270"/>
      <c r="G43" s="270"/>
      <c r="H43" s="270"/>
      <c r="I43" s="270"/>
      <c r="J43" s="270"/>
      <c r="K43" s="270"/>
      <c r="L43" s="280"/>
    </row>
    <row r="44" spans="1:12" ht="15.75" customHeight="1" x14ac:dyDescent="0.25">
      <c r="A44" s="283" t="s">
        <v>1192</v>
      </c>
      <c r="B44" s="271"/>
      <c r="C44" s="271"/>
      <c r="D44" s="271"/>
      <c r="E44" s="271"/>
      <c r="F44" s="271"/>
      <c r="G44" s="271"/>
      <c r="H44" s="271"/>
      <c r="I44" s="271"/>
      <c r="J44" s="271"/>
      <c r="K44" s="271"/>
      <c r="L44" s="284"/>
    </row>
    <row r="45" spans="1:12" ht="15.75" customHeight="1" x14ac:dyDescent="0.25">
      <c r="A45" s="279" t="s">
        <v>835</v>
      </c>
      <c r="B45" s="270"/>
      <c r="C45" s="270"/>
      <c r="D45" s="270"/>
      <c r="E45" s="270"/>
      <c r="F45" s="270"/>
      <c r="G45" s="270"/>
      <c r="H45" s="270"/>
      <c r="I45" s="270"/>
      <c r="J45" s="270"/>
      <c r="K45" s="270"/>
      <c r="L45" s="280"/>
    </row>
    <row r="46" spans="1:12" ht="15.75" customHeight="1" x14ac:dyDescent="0.25">
      <c r="A46" s="283" t="s">
        <v>836</v>
      </c>
      <c r="B46" s="272"/>
      <c r="C46" s="272"/>
      <c r="D46" s="272"/>
      <c r="E46" s="273"/>
      <c r="F46" s="273"/>
      <c r="G46" s="273"/>
      <c r="H46" s="272"/>
      <c r="I46" s="272"/>
      <c r="J46" s="272"/>
      <c r="K46" s="271"/>
      <c r="L46" s="284"/>
    </row>
    <row r="47" spans="1:12" ht="15.75" customHeight="1" x14ac:dyDescent="0.25">
      <c r="A47" s="279" t="s">
        <v>1186</v>
      </c>
      <c r="B47" s="270"/>
      <c r="C47" s="270"/>
      <c r="D47" s="270"/>
      <c r="E47" s="274"/>
      <c r="F47" s="274"/>
      <c r="G47" s="274"/>
      <c r="H47" s="274"/>
      <c r="I47" s="274"/>
      <c r="J47" s="274"/>
      <c r="K47" s="275"/>
      <c r="L47" s="285"/>
    </row>
    <row r="48" spans="1:12" ht="15.75" customHeight="1" x14ac:dyDescent="0.25">
      <c r="A48" s="281" t="s">
        <v>1188</v>
      </c>
      <c r="E48" s="260"/>
      <c r="F48" s="260"/>
      <c r="G48" s="260"/>
      <c r="H48" s="260"/>
      <c r="I48" s="260"/>
      <c r="J48" s="260"/>
      <c r="K48" s="259"/>
      <c r="L48" s="286"/>
    </row>
    <row r="49" spans="1:12" ht="15.75" customHeight="1" x14ac:dyDescent="0.25">
      <c r="A49" s="283" t="s">
        <v>1189</v>
      </c>
      <c r="B49" s="271"/>
      <c r="C49" s="271"/>
      <c r="D49" s="271"/>
      <c r="E49" s="276"/>
      <c r="F49" s="276"/>
      <c r="G49" s="276"/>
      <c r="H49" s="276"/>
      <c r="I49" s="276"/>
      <c r="J49" s="276"/>
      <c r="K49" s="273"/>
      <c r="L49" s="287"/>
    </row>
    <row r="50" spans="1:12" ht="15.75" customHeight="1" x14ac:dyDescent="0.25">
      <c r="A50" s="279" t="s">
        <v>1187</v>
      </c>
      <c r="B50" s="270"/>
      <c r="C50" s="270"/>
      <c r="D50" s="270"/>
      <c r="E50" s="274"/>
      <c r="F50" s="274"/>
      <c r="G50" s="274"/>
      <c r="H50" s="274"/>
      <c r="I50" s="274"/>
      <c r="J50" s="274"/>
      <c r="K50" s="275"/>
      <c r="L50" s="285"/>
    </row>
    <row r="51" spans="1:12" ht="15.75" customHeight="1" x14ac:dyDescent="0.25">
      <c r="A51" s="281" t="s">
        <v>1190</v>
      </c>
      <c r="E51" s="260"/>
      <c r="F51" s="260"/>
      <c r="G51" s="260"/>
      <c r="H51" s="260"/>
      <c r="I51" s="260"/>
      <c r="J51" s="260"/>
      <c r="K51" s="259"/>
      <c r="L51" s="286"/>
    </row>
    <row r="52" spans="1:12" ht="15.75" customHeight="1" thickBot="1" x14ac:dyDescent="0.3">
      <c r="A52" s="288" t="s">
        <v>1191</v>
      </c>
      <c r="B52" s="289"/>
      <c r="C52" s="289"/>
      <c r="D52" s="289"/>
      <c r="E52" s="290"/>
      <c r="F52" s="290"/>
      <c r="G52" s="290"/>
      <c r="H52" s="290"/>
      <c r="I52" s="290"/>
      <c r="J52" s="290"/>
      <c r="K52" s="291"/>
      <c r="L52" s="292"/>
    </row>
    <row r="53" spans="1:12" ht="15.75" customHeight="1" x14ac:dyDescent="0.25">
      <c r="E53" s="260"/>
      <c r="F53" s="260"/>
      <c r="G53" s="260"/>
      <c r="H53" s="260"/>
      <c r="I53" s="260"/>
      <c r="J53" s="260"/>
      <c r="K53" s="259"/>
      <c r="L53" s="259"/>
    </row>
    <row r="54" spans="1:12" ht="15.75" customHeight="1" x14ac:dyDescent="0.25">
      <c r="E54" s="260"/>
      <c r="F54" s="260"/>
      <c r="G54" s="260"/>
      <c r="H54" s="260"/>
      <c r="I54" s="260"/>
      <c r="J54" s="260"/>
      <c r="K54" s="259"/>
      <c r="L54" s="259"/>
    </row>
    <row r="55" spans="1:12" ht="15.75" customHeight="1" x14ac:dyDescent="0.25">
      <c r="E55" s="260"/>
      <c r="F55" s="260"/>
      <c r="G55" s="260"/>
      <c r="H55" s="260"/>
      <c r="I55" s="260"/>
      <c r="J55" s="260"/>
      <c r="K55" s="259"/>
      <c r="L55" s="259"/>
    </row>
    <row r="56" spans="1:12" ht="15.75" customHeight="1" x14ac:dyDescent="0.25">
      <c r="E56" s="260"/>
      <c r="F56" s="260"/>
      <c r="G56" s="260"/>
      <c r="H56" s="260"/>
      <c r="I56" s="260"/>
      <c r="J56" s="260"/>
      <c r="K56" s="259"/>
      <c r="L56" s="259"/>
    </row>
    <row r="57" spans="1:12" ht="15.75" customHeight="1" x14ac:dyDescent="0.25">
      <c r="E57" s="260"/>
      <c r="F57" s="260"/>
      <c r="G57" s="260"/>
      <c r="H57" s="260"/>
      <c r="I57" s="260"/>
      <c r="J57" s="260"/>
      <c r="K57" s="259"/>
      <c r="L57" s="259"/>
    </row>
    <row r="58" spans="1:12" ht="15.75" customHeight="1" x14ac:dyDescent="0.25">
      <c r="E58" s="260"/>
      <c r="F58" s="260"/>
      <c r="G58" s="260"/>
      <c r="H58" s="260"/>
      <c r="I58" s="260"/>
      <c r="J58" s="260"/>
      <c r="K58" s="259"/>
      <c r="L58" s="259"/>
    </row>
    <row r="59" spans="1:12" ht="15.75" customHeight="1" x14ac:dyDescent="0.25">
      <c r="E59" s="260"/>
      <c r="F59" s="260"/>
      <c r="G59" s="260"/>
      <c r="H59" s="260"/>
      <c r="I59" s="260"/>
      <c r="J59" s="260"/>
      <c r="K59" s="259"/>
      <c r="L59" s="259"/>
    </row>
    <row r="60" spans="1:12" ht="15.75" customHeight="1" x14ac:dyDescent="0.25">
      <c r="E60" s="260"/>
      <c r="F60" s="260"/>
      <c r="G60" s="260"/>
      <c r="H60" s="260"/>
      <c r="I60" s="260"/>
      <c r="J60" s="260"/>
      <c r="K60" s="259"/>
      <c r="L60" s="259"/>
    </row>
    <row r="61" spans="1:12" ht="15.75" customHeight="1" x14ac:dyDescent="0.25">
      <c r="E61" s="260"/>
      <c r="F61" s="260"/>
      <c r="G61" s="260"/>
      <c r="H61" s="260"/>
      <c r="I61" s="260"/>
      <c r="J61" s="260"/>
      <c r="K61" s="259"/>
      <c r="L61" s="259"/>
    </row>
    <row r="62" spans="1:12" ht="15.75" customHeight="1" x14ac:dyDescent="0.25">
      <c r="E62" s="260"/>
      <c r="F62" s="260"/>
      <c r="G62" s="260"/>
      <c r="H62" s="260"/>
      <c r="I62" s="260"/>
      <c r="J62" s="260"/>
      <c r="K62" s="259"/>
      <c r="L62" s="259"/>
    </row>
    <row r="63" spans="1:12" ht="15.75" customHeight="1" x14ac:dyDescent="0.25">
      <c r="E63" s="260"/>
      <c r="F63" s="260"/>
      <c r="G63" s="260"/>
      <c r="H63" s="260"/>
      <c r="I63" s="260"/>
      <c r="J63" s="260"/>
      <c r="K63" s="259"/>
      <c r="L63" s="259"/>
    </row>
    <row r="64" spans="1:12" ht="15.75" customHeight="1" x14ac:dyDescent="0.25">
      <c r="E64" s="260"/>
      <c r="F64" s="260"/>
      <c r="G64" s="260"/>
      <c r="H64" s="260"/>
      <c r="I64" s="260"/>
      <c r="J64" s="260"/>
      <c r="K64" s="259"/>
      <c r="L64" s="259"/>
    </row>
    <row r="65" spans="5:12" ht="15.75" customHeight="1" x14ac:dyDescent="0.25">
      <c r="E65" s="260"/>
      <c r="F65" s="260"/>
      <c r="G65" s="260"/>
      <c r="H65" s="260"/>
      <c r="I65" s="260"/>
      <c r="J65" s="260"/>
      <c r="K65" s="259"/>
      <c r="L65" s="259"/>
    </row>
    <row r="66" spans="5:12" ht="15.75" customHeight="1" x14ac:dyDescent="0.25">
      <c r="E66" s="260"/>
      <c r="F66" s="260"/>
      <c r="G66" s="260"/>
      <c r="H66" s="260"/>
      <c r="I66" s="260"/>
      <c r="J66" s="260"/>
      <c r="K66" s="259"/>
      <c r="L66" s="259"/>
    </row>
    <row r="67" spans="5:12" ht="15.75" customHeight="1" x14ac:dyDescent="0.25">
      <c r="E67" s="260"/>
      <c r="F67" s="260"/>
      <c r="G67" s="260"/>
      <c r="H67" s="260"/>
      <c r="I67" s="260"/>
      <c r="J67" s="260"/>
      <c r="K67" s="259"/>
      <c r="L67" s="259"/>
    </row>
    <row r="68" spans="5:12" ht="15.75" customHeight="1" x14ac:dyDescent="0.25">
      <c r="E68" s="260"/>
      <c r="F68" s="260"/>
      <c r="G68" s="260"/>
      <c r="H68" s="260"/>
      <c r="I68" s="260"/>
      <c r="J68" s="260"/>
      <c r="K68" s="259"/>
      <c r="L68" s="259"/>
    </row>
    <row r="69" spans="5:12" ht="15.75" customHeight="1" x14ac:dyDescent="0.25">
      <c r="E69" s="260"/>
      <c r="F69" s="260"/>
      <c r="G69" s="260"/>
      <c r="H69" s="260"/>
      <c r="I69" s="260"/>
      <c r="J69" s="260"/>
      <c r="K69" s="259"/>
      <c r="L69" s="259"/>
    </row>
    <row r="70" spans="5:12" ht="15.75" customHeight="1" x14ac:dyDescent="0.25">
      <c r="E70" s="260"/>
      <c r="F70" s="260"/>
      <c r="G70" s="260"/>
      <c r="H70" s="260"/>
      <c r="I70" s="260"/>
      <c r="J70" s="260"/>
      <c r="K70" s="259"/>
      <c r="L70" s="259"/>
    </row>
    <row r="71" spans="5:12" ht="15.75" customHeight="1" x14ac:dyDescent="0.25">
      <c r="E71" s="260"/>
      <c r="F71" s="260"/>
      <c r="G71" s="260"/>
      <c r="H71" s="260"/>
      <c r="I71" s="260"/>
      <c r="J71" s="260"/>
      <c r="K71" s="259"/>
      <c r="L71" s="259"/>
    </row>
    <row r="72" spans="5:12" ht="15.75" customHeight="1" x14ac:dyDescent="0.25">
      <c r="E72" s="260"/>
      <c r="F72" s="260"/>
      <c r="G72" s="260"/>
      <c r="H72" s="260"/>
      <c r="I72" s="260"/>
      <c r="J72" s="260"/>
      <c r="K72" s="259"/>
      <c r="L72" s="259"/>
    </row>
    <row r="73" spans="5:12" ht="15.75" customHeight="1" x14ac:dyDescent="0.25">
      <c r="E73" s="260"/>
      <c r="F73" s="260"/>
      <c r="G73" s="260"/>
      <c r="H73" s="260"/>
      <c r="I73" s="260"/>
      <c r="J73" s="260"/>
      <c r="K73" s="259"/>
      <c r="L73" s="259"/>
    </row>
    <row r="74" spans="5:12" ht="15.75" customHeight="1" x14ac:dyDescent="0.25">
      <c r="E74" s="260"/>
      <c r="F74" s="260"/>
      <c r="G74" s="260"/>
      <c r="H74" s="260"/>
      <c r="I74" s="260"/>
      <c r="J74" s="260"/>
      <c r="K74" s="259"/>
      <c r="L74" s="259"/>
    </row>
    <row r="75" spans="5:12" ht="15.75" customHeight="1" x14ac:dyDescent="0.25">
      <c r="E75" s="260"/>
      <c r="F75" s="260"/>
      <c r="G75" s="260"/>
      <c r="H75" s="260"/>
      <c r="I75" s="260"/>
      <c r="J75" s="260"/>
      <c r="K75" s="259"/>
      <c r="L75" s="259"/>
    </row>
    <row r="76" spans="5:12" ht="15.75" customHeight="1" x14ac:dyDescent="0.25">
      <c r="E76" s="260"/>
      <c r="F76" s="260"/>
      <c r="G76" s="260"/>
      <c r="H76" s="260"/>
      <c r="I76" s="260"/>
      <c r="J76" s="260"/>
      <c r="K76" s="259"/>
      <c r="L76" s="259"/>
    </row>
    <row r="77" spans="5:12" ht="15.75" customHeight="1" x14ac:dyDescent="0.25">
      <c r="E77" s="260"/>
      <c r="F77" s="260"/>
      <c r="G77" s="260"/>
      <c r="H77" s="260"/>
      <c r="I77" s="260"/>
      <c r="J77" s="260"/>
      <c r="K77" s="259"/>
      <c r="L77" s="259"/>
    </row>
    <row r="78" spans="5:12" ht="15.75" customHeight="1" x14ac:dyDescent="0.25">
      <c r="E78" s="260"/>
      <c r="F78" s="260"/>
      <c r="G78" s="260"/>
      <c r="H78" s="260"/>
      <c r="I78" s="260"/>
      <c r="J78" s="260"/>
      <c r="K78" s="259"/>
      <c r="L78" s="259"/>
    </row>
    <row r="79" spans="5:12" ht="15.75" customHeight="1" x14ac:dyDescent="0.25">
      <c r="E79" s="260"/>
      <c r="F79" s="260"/>
      <c r="G79" s="260"/>
      <c r="H79" s="260"/>
      <c r="I79" s="260"/>
      <c r="J79" s="260"/>
      <c r="K79" s="259"/>
      <c r="L79" s="259"/>
    </row>
    <row r="80" spans="5:12" ht="15.75" customHeight="1" x14ac:dyDescent="0.25">
      <c r="E80" s="260"/>
      <c r="F80" s="260"/>
      <c r="G80" s="260"/>
      <c r="H80" s="260"/>
      <c r="I80" s="260"/>
      <c r="J80" s="260"/>
      <c r="K80" s="259"/>
      <c r="L80" s="259"/>
    </row>
    <row r="81" spans="5:12" ht="15.75" customHeight="1" x14ac:dyDescent="0.25">
      <c r="E81" s="260"/>
      <c r="F81" s="260"/>
      <c r="G81" s="260"/>
      <c r="H81" s="260"/>
      <c r="I81" s="260"/>
      <c r="J81" s="260"/>
      <c r="K81" s="259"/>
      <c r="L81" s="259"/>
    </row>
    <row r="82" spans="5:12" ht="15.75" customHeight="1" x14ac:dyDescent="0.25">
      <c r="E82" s="260"/>
      <c r="F82" s="260"/>
      <c r="G82" s="260"/>
      <c r="H82" s="260"/>
      <c r="I82" s="260"/>
      <c r="J82" s="260"/>
      <c r="K82" s="259"/>
      <c r="L82" s="259"/>
    </row>
    <row r="83" spans="5:12" ht="15.75" customHeight="1" x14ac:dyDescent="0.25">
      <c r="E83" s="260"/>
      <c r="F83" s="260"/>
      <c r="G83" s="260"/>
      <c r="H83" s="260"/>
      <c r="I83" s="260"/>
      <c r="J83" s="260"/>
      <c r="K83" s="259"/>
      <c r="L83" s="259"/>
    </row>
    <row r="84" spans="5:12" ht="15.75" customHeight="1" x14ac:dyDescent="0.25">
      <c r="E84" s="260"/>
      <c r="F84" s="260"/>
      <c r="G84" s="260"/>
      <c r="H84" s="260"/>
      <c r="I84" s="260"/>
      <c r="J84" s="260"/>
      <c r="K84" s="259"/>
      <c r="L84" s="259"/>
    </row>
    <row r="85" spans="5:12" ht="15.75" customHeight="1" x14ac:dyDescent="0.25">
      <c r="E85" s="260"/>
      <c r="F85" s="260"/>
      <c r="G85" s="260"/>
      <c r="H85" s="260"/>
      <c r="I85" s="260"/>
      <c r="J85" s="260"/>
      <c r="K85" s="259"/>
      <c r="L85" s="259"/>
    </row>
    <row r="86" spans="5:12" ht="15.75" customHeight="1" x14ac:dyDescent="0.25">
      <c r="E86" s="260"/>
      <c r="F86" s="260"/>
      <c r="G86" s="260"/>
      <c r="H86" s="260"/>
      <c r="I86" s="260"/>
      <c r="J86" s="260"/>
      <c r="K86" s="259"/>
      <c r="L86" s="259"/>
    </row>
    <row r="87" spans="5:12" ht="15.75" customHeight="1" x14ac:dyDescent="0.25">
      <c r="E87" s="260"/>
      <c r="F87" s="260"/>
      <c r="G87" s="260"/>
      <c r="H87" s="260"/>
      <c r="I87" s="260"/>
      <c r="J87" s="260"/>
      <c r="K87" s="259"/>
      <c r="L87" s="259"/>
    </row>
    <row r="88" spans="5:12" ht="15.75" customHeight="1" x14ac:dyDescent="0.25">
      <c r="E88" s="260"/>
      <c r="F88" s="260"/>
      <c r="G88" s="260"/>
      <c r="H88" s="260"/>
      <c r="I88" s="260"/>
      <c r="J88" s="260"/>
      <c r="K88" s="259"/>
      <c r="L88" s="259"/>
    </row>
    <row r="89" spans="5:12" ht="15.75" customHeight="1" x14ac:dyDescent="0.25">
      <c r="E89" s="260"/>
      <c r="F89" s="260"/>
      <c r="G89" s="260"/>
      <c r="H89" s="260"/>
      <c r="I89" s="260"/>
      <c r="J89" s="260"/>
      <c r="K89" s="259"/>
      <c r="L89" s="259"/>
    </row>
    <row r="90" spans="5:12" ht="15.75" customHeight="1" x14ac:dyDescent="0.25">
      <c r="E90" s="260"/>
      <c r="F90" s="260"/>
      <c r="G90" s="260"/>
      <c r="H90" s="260"/>
      <c r="I90" s="260"/>
      <c r="J90" s="260"/>
      <c r="K90" s="259"/>
      <c r="L90" s="259"/>
    </row>
    <row r="91" spans="5:12" ht="15.75" customHeight="1" x14ac:dyDescent="0.25">
      <c r="E91" s="260"/>
      <c r="F91" s="260"/>
      <c r="G91" s="260"/>
      <c r="H91" s="260"/>
      <c r="I91" s="260"/>
      <c r="J91" s="260"/>
      <c r="K91" s="259"/>
      <c r="L91" s="259"/>
    </row>
    <row r="92" spans="5:12" ht="15.75" customHeight="1" x14ac:dyDescent="0.25">
      <c r="E92" s="260"/>
      <c r="F92" s="260"/>
      <c r="G92" s="260"/>
      <c r="H92" s="260"/>
      <c r="I92" s="260"/>
      <c r="J92" s="260"/>
      <c r="K92" s="259"/>
      <c r="L92" s="259"/>
    </row>
    <row r="93" spans="5:12" ht="15.75" customHeight="1" x14ac:dyDescent="0.25">
      <c r="E93" s="260"/>
      <c r="F93" s="260"/>
      <c r="G93" s="260"/>
      <c r="H93" s="260"/>
      <c r="I93" s="260"/>
      <c r="J93" s="260"/>
      <c r="K93" s="259"/>
      <c r="L93" s="259"/>
    </row>
    <row r="94" spans="5:12" ht="15.75" customHeight="1" x14ac:dyDescent="0.25">
      <c r="E94" s="260"/>
      <c r="F94" s="260"/>
      <c r="G94" s="260"/>
      <c r="H94" s="260"/>
      <c r="I94" s="260"/>
      <c r="J94" s="260"/>
      <c r="K94" s="259"/>
      <c r="L94" s="259"/>
    </row>
    <row r="95" spans="5:12" ht="15.75" customHeight="1" x14ac:dyDescent="0.25">
      <c r="E95" s="260"/>
      <c r="F95" s="260"/>
      <c r="G95" s="260"/>
      <c r="H95" s="260"/>
      <c r="I95" s="260"/>
      <c r="J95" s="260"/>
      <c r="K95" s="259"/>
      <c r="L95" s="259"/>
    </row>
    <row r="96" spans="5:12" ht="15.75" customHeight="1" x14ac:dyDescent="0.25">
      <c r="E96" s="260"/>
      <c r="F96" s="260"/>
      <c r="G96" s="260"/>
      <c r="H96" s="260"/>
      <c r="I96" s="260"/>
      <c r="J96" s="260"/>
      <c r="K96" s="259"/>
      <c r="L96" s="259"/>
    </row>
    <row r="97" spans="5:12" ht="15.75" customHeight="1" x14ac:dyDescent="0.25">
      <c r="E97" s="260"/>
      <c r="F97" s="260"/>
      <c r="G97" s="260"/>
      <c r="H97" s="260"/>
      <c r="I97" s="260"/>
      <c r="J97" s="260"/>
      <c r="K97" s="259"/>
      <c r="L97" s="259"/>
    </row>
    <row r="98" spans="5:12" ht="15.75" customHeight="1" x14ac:dyDescent="0.25">
      <c r="E98" s="260"/>
      <c r="F98" s="260"/>
      <c r="G98" s="260"/>
      <c r="H98" s="260"/>
      <c r="I98" s="260"/>
      <c r="J98" s="260"/>
      <c r="K98" s="259"/>
      <c r="L98" s="259"/>
    </row>
    <row r="99" spans="5:12" ht="15.75" customHeight="1" x14ac:dyDescent="0.25">
      <c r="E99" s="260"/>
      <c r="F99" s="260"/>
      <c r="G99" s="260"/>
      <c r="H99" s="260"/>
      <c r="I99" s="260"/>
      <c r="J99" s="260"/>
      <c r="K99" s="259"/>
      <c r="L99" s="259"/>
    </row>
    <row r="100" spans="5:12" ht="15.75" customHeight="1" x14ac:dyDescent="0.25">
      <c r="E100" s="260"/>
      <c r="F100" s="260"/>
      <c r="G100" s="260"/>
      <c r="H100" s="260"/>
      <c r="I100" s="260"/>
      <c r="J100" s="260"/>
      <c r="K100" s="259"/>
      <c r="L100" s="259"/>
    </row>
    <row r="101" spans="5:12" ht="15.75" customHeight="1" x14ac:dyDescent="0.25">
      <c r="E101" s="260"/>
      <c r="F101" s="260"/>
      <c r="G101" s="260"/>
      <c r="H101" s="260"/>
      <c r="I101" s="260"/>
      <c r="J101" s="260"/>
      <c r="K101" s="259"/>
      <c r="L101" s="259"/>
    </row>
    <row r="102" spans="5:12" ht="15.75" customHeight="1" x14ac:dyDescent="0.25">
      <c r="E102" s="260"/>
      <c r="F102" s="260"/>
      <c r="G102" s="260"/>
      <c r="H102" s="260"/>
      <c r="I102" s="260"/>
      <c r="J102" s="260"/>
      <c r="K102" s="259"/>
      <c r="L102" s="259"/>
    </row>
    <row r="103" spans="5:12" ht="15.75" customHeight="1" x14ac:dyDescent="0.25">
      <c r="E103" s="260"/>
      <c r="F103" s="260"/>
      <c r="G103" s="260"/>
      <c r="H103" s="260"/>
      <c r="I103" s="260"/>
      <c r="J103" s="260"/>
      <c r="K103" s="259"/>
      <c r="L103" s="259"/>
    </row>
    <row r="104" spans="5:12" ht="15.75" customHeight="1" x14ac:dyDescent="0.25">
      <c r="E104" s="260"/>
      <c r="F104" s="260"/>
      <c r="G104" s="260"/>
      <c r="H104" s="260"/>
      <c r="I104" s="260"/>
      <c r="J104" s="260"/>
      <c r="K104" s="259"/>
      <c r="L104" s="259"/>
    </row>
    <row r="105" spans="5:12" ht="15.75" customHeight="1" x14ac:dyDescent="0.25">
      <c r="E105" s="260"/>
      <c r="F105" s="260"/>
      <c r="G105" s="260"/>
      <c r="H105" s="260"/>
      <c r="I105" s="260"/>
      <c r="J105" s="260"/>
      <c r="K105" s="259"/>
      <c r="L105" s="259"/>
    </row>
    <row r="106" spans="5:12" ht="15.75" customHeight="1" x14ac:dyDescent="0.25">
      <c r="E106" s="260"/>
      <c r="F106" s="260"/>
      <c r="G106" s="260"/>
      <c r="H106" s="260"/>
      <c r="I106" s="260"/>
      <c r="J106" s="260"/>
      <c r="K106" s="259"/>
      <c r="L106" s="259"/>
    </row>
    <row r="107" spans="5:12" ht="15.75" customHeight="1" x14ac:dyDescent="0.25">
      <c r="E107" s="260"/>
      <c r="F107" s="260"/>
      <c r="G107" s="260"/>
      <c r="H107" s="260"/>
      <c r="I107" s="260"/>
      <c r="J107" s="260"/>
      <c r="K107" s="259"/>
      <c r="L107" s="259"/>
    </row>
    <row r="108" spans="5:12" ht="15.75" customHeight="1" x14ac:dyDescent="0.25">
      <c r="E108" s="260"/>
      <c r="F108" s="260"/>
      <c r="G108" s="260"/>
      <c r="H108" s="260"/>
      <c r="I108" s="260"/>
      <c r="J108" s="260"/>
      <c r="K108" s="259"/>
      <c r="L108" s="259"/>
    </row>
    <row r="109" spans="5:12" ht="15.75" customHeight="1" x14ac:dyDescent="0.25">
      <c r="E109" s="260"/>
      <c r="F109" s="260"/>
      <c r="G109" s="260"/>
      <c r="H109" s="260"/>
      <c r="I109" s="260"/>
      <c r="J109" s="260"/>
      <c r="K109" s="259"/>
      <c r="L109" s="259"/>
    </row>
    <row r="110" spans="5:12" ht="15.75" customHeight="1" x14ac:dyDescent="0.25">
      <c r="E110" s="260"/>
      <c r="F110" s="260"/>
      <c r="G110" s="260"/>
      <c r="H110" s="260"/>
      <c r="I110" s="260"/>
      <c r="J110" s="260"/>
      <c r="K110" s="259"/>
      <c r="L110" s="259"/>
    </row>
    <row r="111" spans="5:12" ht="15.75" customHeight="1" x14ac:dyDescent="0.25">
      <c r="E111" s="260"/>
      <c r="F111" s="260"/>
      <c r="G111" s="260"/>
      <c r="H111" s="260"/>
      <c r="I111" s="260"/>
      <c r="J111" s="260"/>
      <c r="K111" s="259"/>
      <c r="L111" s="259"/>
    </row>
    <row r="112" spans="5:12" ht="15.75" customHeight="1" x14ac:dyDescent="0.25">
      <c r="E112" s="260"/>
      <c r="F112" s="260"/>
      <c r="G112" s="260"/>
      <c r="H112" s="260"/>
      <c r="I112" s="260"/>
      <c r="J112" s="260"/>
      <c r="K112" s="259"/>
      <c r="L112" s="259"/>
    </row>
    <row r="113" spans="5:12" ht="15.75" customHeight="1" x14ac:dyDescent="0.25">
      <c r="E113" s="260"/>
      <c r="F113" s="260"/>
      <c r="G113" s="260"/>
      <c r="H113" s="260"/>
      <c r="I113" s="260"/>
      <c r="J113" s="260"/>
      <c r="K113" s="259"/>
      <c r="L113" s="259"/>
    </row>
    <row r="114" spans="5:12" ht="15.75" customHeight="1" x14ac:dyDescent="0.25">
      <c r="E114" s="260"/>
      <c r="F114" s="260"/>
      <c r="G114" s="260"/>
      <c r="H114" s="260"/>
      <c r="I114" s="260"/>
      <c r="J114" s="260"/>
      <c r="K114" s="259"/>
      <c r="L114" s="259"/>
    </row>
    <row r="115" spans="5:12" ht="15.75" customHeight="1" x14ac:dyDescent="0.25">
      <c r="E115" s="260"/>
      <c r="F115" s="260"/>
      <c r="G115" s="260"/>
      <c r="H115" s="260"/>
      <c r="I115" s="260"/>
      <c r="J115" s="260"/>
      <c r="K115" s="259"/>
      <c r="L115" s="259"/>
    </row>
    <row r="116" spans="5:12" ht="15.75" customHeight="1" x14ac:dyDescent="0.25">
      <c r="E116" s="260"/>
      <c r="F116" s="260"/>
      <c r="G116" s="260"/>
      <c r="H116" s="260"/>
      <c r="I116" s="260"/>
      <c r="J116" s="260"/>
      <c r="K116" s="259"/>
      <c r="L116" s="259"/>
    </row>
    <row r="117" spans="5:12" ht="15.75" customHeight="1" x14ac:dyDescent="0.25">
      <c r="E117" s="260"/>
      <c r="F117" s="260"/>
      <c r="G117" s="260"/>
      <c r="H117" s="260"/>
      <c r="I117" s="260"/>
      <c r="J117" s="260"/>
      <c r="K117" s="259"/>
      <c r="L117" s="259"/>
    </row>
    <row r="118" spans="5:12" ht="15.75" customHeight="1" x14ac:dyDescent="0.25">
      <c r="E118" s="260"/>
      <c r="F118" s="260"/>
      <c r="G118" s="260"/>
      <c r="H118" s="260"/>
      <c r="I118" s="260"/>
      <c r="J118" s="260"/>
      <c r="K118" s="259"/>
      <c r="L118" s="259"/>
    </row>
    <row r="119" spans="5:12" ht="15.75" customHeight="1" x14ac:dyDescent="0.25">
      <c r="E119" s="260"/>
      <c r="F119" s="260"/>
      <c r="G119" s="260"/>
      <c r="H119" s="260"/>
      <c r="I119" s="260"/>
      <c r="J119" s="260"/>
      <c r="K119" s="259"/>
      <c r="L119" s="259"/>
    </row>
    <row r="120" spans="5:12" ht="15.75" customHeight="1" x14ac:dyDescent="0.25">
      <c r="E120" s="260"/>
      <c r="F120" s="260"/>
      <c r="G120" s="260"/>
      <c r="H120" s="260"/>
      <c r="I120" s="260"/>
      <c r="J120" s="260"/>
      <c r="K120" s="259"/>
      <c r="L120" s="259"/>
    </row>
    <row r="121" spans="5:12" ht="15.75" customHeight="1" x14ac:dyDescent="0.25">
      <c r="E121" s="260"/>
      <c r="F121" s="260"/>
      <c r="G121" s="260"/>
      <c r="H121" s="260"/>
      <c r="I121" s="260"/>
      <c r="J121" s="260"/>
      <c r="K121" s="259"/>
      <c r="L121" s="259"/>
    </row>
    <row r="122" spans="5:12" ht="15.75" customHeight="1" x14ac:dyDescent="0.25">
      <c r="E122" s="260"/>
      <c r="F122" s="260"/>
      <c r="G122" s="260"/>
      <c r="H122" s="260"/>
      <c r="I122" s="260"/>
      <c r="J122" s="260"/>
      <c r="K122" s="259"/>
      <c r="L122" s="259"/>
    </row>
    <row r="123" spans="5:12" ht="15.75" customHeight="1" x14ac:dyDescent="0.25">
      <c r="E123" s="260"/>
      <c r="F123" s="260"/>
      <c r="G123" s="260"/>
      <c r="H123" s="260"/>
      <c r="I123" s="260"/>
      <c r="J123" s="260"/>
      <c r="K123" s="259"/>
      <c r="L123" s="259"/>
    </row>
    <row r="124" spans="5:12" ht="15.75" customHeight="1" x14ac:dyDescent="0.25">
      <c r="E124" s="260"/>
      <c r="F124" s="260"/>
      <c r="G124" s="260"/>
      <c r="H124" s="260"/>
      <c r="I124" s="260"/>
      <c r="J124" s="260"/>
      <c r="K124" s="259"/>
      <c r="L124" s="259"/>
    </row>
    <row r="125" spans="5:12" ht="15.75" customHeight="1" x14ac:dyDescent="0.25">
      <c r="E125" s="260"/>
      <c r="F125" s="260"/>
      <c r="G125" s="260"/>
      <c r="H125" s="260"/>
      <c r="I125" s="260"/>
      <c r="J125" s="260"/>
      <c r="K125" s="259"/>
      <c r="L125" s="259"/>
    </row>
    <row r="126" spans="5:12" ht="15.75" customHeight="1" x14ac:dyDescent="0.25">
      <c r="E126" s="260"/>
      <c r="F126" s="260"/>
      <c r="G126" s="260"/>
      <c r="H126" s="260"/>
      <c r="I126" s="260"/>
      <c r="J126" s="260"/>
      <c r="K126" s="259"/>
      <c r="L126" s="259"/>
    </row>
    <row r="127" spans="5:12" ht="15.75" customHeight="1" x14ac:dyDescent="0.25">
      <c r="E127" s="260"/>
      <c r="F127" s="260"/>
      <c r="G127" s="260"/>
      <c r="H127" s="260"/>
      <c r="I127" s="260"/>
      <c r="J127" s="260"/>
      <c r="K127" s="259"/>
      <c r="L127" s="259"/>
    </row>
    <row r="128" spans="5:12" ht="15.75" customHeight="1" x14ac:dyDescent="0.25">
      <c r="E128" s="260"/>
      <c r="F128" s="260"/>
      <c r="G128" s="260"/>
      <c r="H128" s="260"/>
      <c r="I128" s="260"/>
      <c r="J128" s="260"/>
      <c r="K128" s="259"/>
      <c r="L128" s="259"/>
    </row>
    <row r="129" spans="5:12" ht="15.75" customHeight="1" x14ac:dyDescent="0.25">
      <c r="E129" s="260"/>
      <c r="F129" s="260"/>
      <c r="G129" s="260"/>
      <c r="H129" s="260"/>
      <c r="I129" s="260"/>
      <c r="J129" s="260"/>
      <c r="K129" s="259"/>
      <c r="L129" s="259"/>
    </row>
    <row r="130" spans="5:12" ht="15.75" customHeight="1" x14ac:dyDescent="0.25">
      <c r="E130" s="260"/>
      <c r="F130" s="260"/>
      <c r="G130" s="260"/>
      <c r="H130" s="260"/>
      <c r="I130" s="260"/>
      <c r="J130" s="260"/>
      <c r="K130" s="259"/>
      <c r="L130" s="259"/>
    </row>
    <row r="131" spans="5:12" ht="15.75" customHeight="1" x14ac:dyDescent="0.25">
      <c r="E131" s="260"/>
      <c r="F131" s="260"/>
      <c r="G131" s="260"/>
      <c r="H131" s="260"/>
      <c r="I131" s="260"/>
      <c r="J131" s="260"/>
      <c r="K131" s="259"/>
      <c r="L131" s="259"/>
    </row>
    <row r="132" spans="5:12" ht="15.75" customHeight="1" x14ac:dyDescent="0.25">
      <c r="E132" s="260"/>
      <c r="F132" s="260"/>
      <c r="G132" s="260"/>
      <c r="H132" s="260"/>
      <c r="I132" s="260"/>
      <c r="J132" s="260"/>
      <c r="K132" s="259"/>
      <c r="L132" s="259"/>
    </row>
    <row r="133" spans="5:12" ht="15.75" customHeight="1" x14ac:dyDescent="0.25">
      <c r="E133" s="260"/>
      <c r="F133" s="260"/>
      <c r="G133" s="260"/>
      <c r="H133" s="260"/>
      <c r="I133" s="260"/>
      <c r="J133" s="260"/>
      <c r="K133" s="259"/>
      <c r="L133" s="259"/>
    </row>
    <row r="134" spans="5:12" ht="15.75" customHeight="1" x14ac:dyDescent="0.25">
      <c r="E134" s="260"/>
      <c r="F134" s="260"/>
      <c r="G134" s="260"/>
      <c r="H134" s="260"/>
      <c r="I134" s="260"/>
      <c r="J134" s="260"/>
      <c r="K134" s="259"/>
      <c r="L134" s="259"/>
    </row>
    <row r="135" spans="5:12" ht="15.75" customHeight="1" x14ac:dyDescent="0.25">
      <c r="E135" s="260"/>
      <c r="F135" s="260"/>
      <c r="G135" s="260"/>
      <c r="H135" s="260"/>
      <c r="I135" s="260"/>
      <c r="J135" s="260"/>
      <c r="K135" s="259"/>
      <c r="L135" s="259"/>
    </row>
    <row r="136" spans="5:12" ht="15.75" customHeight="1" x14ac:dyDescent="0.25">
      <c r="E136" s="260"/>
      <c r="F136" s="260"/>
      <c r="G136" s="260"/>
      <c r="H136" s="260"/>
      <c r="I136" s="260"/>
      <c r="J136" s="260"/>
      <c r="K136" s="259"/>
      <c r="L136" s="259"/>
    </row>
    <row r="137" spans="5:12" ht="15.75" customHeight="1" x14ac:dyDescent="0.25">
      <c r="E137" s="260"/>
      <c r="F137" s="260"/>
      <c r="G137" s="260"/>
      <c r="H137" s="260"/>
      <c r="I137" s="260"/>
      <c r="J137" s="260"/>
      <c r="K137" s="259"/>
      <c r="L137" s="259"/>
    </row>
    <row r="138" spans="5:12" ht="15.75" customHeight="1" x14ac:dyDescent="0.25">
      <c r="E138" s="260"/>
      <c r="F138" s="260"/>
      <c r="G138" s="260"/>
      <c r="H138" s="260"/>
      <c r="I138" s="260"/>
      <c r="J138" s="260"/>
      <c r="K138" s="259"/>
      <c r="L138" s="259"/>
    </row>
    <row r="139" spans="5:12" ht="15.75" customHeight="1" x14ac:dyDescent="0.25">
      <c r="E139" s="260"/>
      <c r="F139" s="260"/>
      <c r="G139" s="260"/>
      <c r="H139" s="260"/>
      <c r="I139" s="260"/>
      <c r="J139" s="260"/>
      <c r="K139" s="259"/>
      <c r="L139" s="259"/>
    </row>
    <row r="140" spans="5:12" ht="15.75" customHeight="1" x14ac:dyDescent="0.25">
      <c r="E140" s="260"/>
      <c r="F140" s="260"/>
      <c r="G140" s="260"/>
      <c r="H140" s="260"/>
      <c r="I140" s="260"/>
      <c r="J140" s="260"/>
      <c r="K140" s="259"/>
      <c r="L140" s="259"/>
    </row>
    <row r="141" spans="5:12" ht="15.75" customHeight="1" x14ac:dyDescent="0.25">
      <c r="E141" s="260"/>
      <c r="F141" s="260"/>
      <c r="G141" s="260"/>
      <c r="H141" s="260"/>
      <c r="I141" s="260"/>
      <c r="J141" s="260"/>
      <c r="K141" s="259"/>
      <c r="L141" s="259"/>
    </row>
    <row r="142" spans="5:12" ht="15.75" customHeight="1" x14ac:dyDescent="0.25">
      <c r="E142" s="260"/>
      <c r="F142" s="260"/>
      <c r="G142" s="260"/>
      <c r="H142" s="260"/>
      <c r="I142" s="260"/>
      <c r="J142" s="260"/>
      <c r="K142" s="259"/>
      <c r="L142" s="259"/>
    </row>
    <row r="143" spans="5:12" ht="15.75" customHeight="1" x14ac:dyDescent="0.25">
      <c r="E143" s="260"/>
      <c r="F143" s="260"/>
      <c r="G143" s="260"/>
      <c r="H143" s="260"/>
      <c r="I143" s="260"/>
      <c r="J143" s="260"/>
      <c r="K143" s="259"/>
      <c r="L143" s="259"/>
    </row>
    <row r="144" spans="5:12" ht="15.75" customHeight="1" x14ac:dyDescent="0.25">
      <c r="E144" s="260"/>
      <c r="F144" s="260"/>
      <c r="G144" s="260"/>
      <c r="H144" s="260"/>
      <c r="I144" s="260"/>
      <c r="J144" s="260"/>
      <c r="K144" s="259"/>
      <c r="L144" s="259"/>
    </row>
    <row r="145" spans="5:12" ht="15.75" customHeight="1" x14ac:dyDescent="0.25">
      <c r="E145" s="260"/>
      <c r="F145" s="260"/>
      <c r="G145" s="260"/>
      <c r="H145" s="260"/>
      <c r="I145" s="260"/>
      <c r="J145" s="260"/>
      <c r="K145" s="259"/>
      <c r="L145" s="259"/>
    </row>
    <row r="146" spans="5:12" ht="15.75" customHeight="1" x14ac:dyDescent="0.25">
      <c r="E146" s="260"/>
      <c r="F146" s="260"/>
      <c r="G146" s="260"/>
      <c r="H146" s="260"/>
      <c r="I146" s="260"/>
      <c r="J146" s="260"/>
      <c r="K146" s="259"/>
      <c r="L146" s="259"/>
    </row>
    <row r="147" spans="5:12" ht="15.75" customHeight="1" x14ac:dyDescent="0.25">
      <c r="E147" s="260"/>
      <c r="F147" s="260"/>
      <c r="G147" s="260"/>
      <c r="H147" s="260"/>
      <c r="I147" s="260"/>
      <c r="J147" s="260"/>
      <c r="K147" s="259"/>
      <c r="L147" s="259"/>
    </row>
    <row r="148" spans="5:12" ht="15.75" customHeight="1" x14ac:dyDescent="0.25">
      <c r="E148" s="260"/>
      <c r="F148" s="260"/>
      <c r="G148" s="260"/>
      <c r="H148" s="260"/>
      <c r="I148" s="260"/>
      <c r="J148" s="260"/>
      <c r="K148" s="259"/>
      <c r="L148" s="259"/>
    </row>
    <row r="149" spans="5:12" ht="15.75" customHeight="1" x14ac:dyDescent="0.25">
      <c r="E149" s="260"/>
      <c r="F149" s="260"/>
      <c r="G149" s="260"/>
      <c r="H149" s="260"/>
      <c r="I149" s="260"/>
      <c r="J149" s="260"/>
      <c r="K149" s="259"/>
      <c r="L149" s="259"/>
    </row>
    <row r="150" spans="5:12" ht="15.75" customHeight="1" x14ac:dyDescent="0.25">
      <c r="E150" s="260"/>
      <c r="F150" s="260"/>
      <c r="G150" s="260"/>
      <c r="H150" s="260"/>
      <c r="I150" s="260"/>
      <c r="J150" s="260"/>
      <c r="K150" s="259"/>
      <c r="L150" s="259"/>
    </row>
    <row r="151" spans="5:12" ht="15.75" customHeight="1" x14ac:dyDescent="0.25">
      <c r="E151" s="260"/>
      <c r="F151" s="260"/>
      <c r="G151" s="260"/>
      <c r="H151" s="260"/>
      <c r="I151" s="260"/>
      <c r="J151" s="260"/>
      <c r="K151" s="259"/>
      <c r="L151" s="259"/>
    </row>
    <row r="152" spans="5:12" ht="15.75" customHeight="1" x14ac:dyDescent="0.25">
      <c r="E152" s="260"/>
      <c r="F152" s="260"/>
      <c r="G152" s="260"/>
      <c r="H152" s="260"/>
      <c r="I152" s="260"/>
      <c r="J152" s="260"/>
      <c r="K152" s="259"/>
      <c r="L152" s="259"/>
    </row>
    <row r="153" spans="5:12" ht="15.75" customHeight="1" x14ac:dyDescent="0.25">
      <c r="E153" s="260"/>
      <c r="F153" s="260"/>
      <c r="G153" s="260"/>
      <c r="H153" s="260"/>
      <c r="I153" s="260"/>
      <c r="J153" s="260"/>
      <c r="K153" s="259"/>
      <c r="L153" s="259"/>
    </row>
    <row r="154" spans="5:12" ht="15.75" customHeight="1" x14ac:dyDescent="0.25">
      <c r="E154" s="260"/>
      <c r="F154" s="260"/>
      <c r="G154" s="260"/>
      <c r="H154" s="260"/>
      <c r="I154" s="260"/>
      <c r="J154" s="260"/>
      <c r="K154" s="259"/>
      <c r="L154" s="259"/>
    </row>
    <row r="155" spans="5:12" ht="15.75" customHeight="1" x14ac:dyDescent="0.25">
      <c r="E155" s="260"/>
      <c r="F155" s="260"/>
      <c r="G155" s="260"/>
      <c r="H155" s="260"/>
      <c r="I155" s="260"/>
      <c r="J155" s="260"/>
      <c r="K155" s="259"/>
      <c r="L155" s="259"/>
    </row>
    <row r="156" spans="5:12" ht="15.75" customHeight="1" x14ac:dyDescent="0.25">
      <c r="E156" s="260"/>
      <c r="F156" s="260"/>
      <c r="G156" s="260"/>
      <c r="H156" s="260"/>
      <c r="I156" s="260"/>
      <c r="J156" s="260"/>
      <c r="K156" s="259"/>
      <c r="L156" s="259"/>
    </row>
    <row r="157" spans="5:12" ht="15.75" customHeight="1" x14ac:dyDescent="0.25">
      <c r="E157" s="260"/>
      <c r="F157" s="260"/>
      <c r="G157" s="260"/>
      <c r="H157" s="260"/>
      <c r="I157" s="260"/>
      <c r="J157" s="260"/>
      <c r="K157" s="259"/>
      <c r="L157" s="259"/>
    </row>
    <row r="158" spans="5:12" ht="15.75" customHeight="1" x14ac:dyDescent="0.25">
      <c r="E158" s="260"/>
      <c r="F158" s="260"/>
      <c r="G158" s="260"/>
      <c r="H158" s="260"/>
      <c r="I158" s="260"/>
      <c r="J158" s="260"/>
      <c r="K158" s="259"/>
      <c r="L158" s="259"/>
    </row>
    <row r="159" spans="5:12" ht="15.75" customHeight="1" x14ac:dyDescent="0.25">
      <c r="E159" s="260"/>
      <c r="F159" s="260"/>
      <c r="G159" s="260"/>
      <c r="H159" s="260"/>
      <c r="I159" s="260"/>
      <c r="J159" s="260"/>
      <c r="K159" s="259"/>
      <c r="L159" s="259"/>
    </row>
    <row r="160" spans="5:12" ht="15.75" customHeight="1" x14ac:dyDescent="0.25">
      <c r="E160" s="260"/>
      <c r="F160" s="260"/>
      <c r="G160" s="260"/>
      <c r="H160" s="260"/>
      <c r="I160" s="260"/>
      <c r="J160" s="260"/>
      <c r="K160" s="259"/>
      <c r="L160" s="259"/>
    </row>
    <row r="161" spans="5:12" ht="15.75" customHeight="1" x14ac:dyDescent="0.25">
      <c r="E161" s="260"/>
      <c r="F161" s="260"/>
      <c r="G161" s="260"/>
      <c r="H161" s="260"/>
      <c r="I161" s="260"/>
      <c r="J161" s="260"/>
      <c r="K161" s="259"/>
      <c r="L161" s="259"/>
    </row>
    <row r="162" spans="5:12" ht="15.75" customHeight="1" x14ac:dyDescent="0.25">
      <c r="E162" s="260"/>
      <c r="F162" s="260"/>
      <c r="G162" s="260"/>
      <c r="H162" s="260"/>
      <c r="I162" s="260"/>
      <c r="J162" s="260"/>
      <c r="K162" s="259"/>
      <c r="L162" s="259"/>
    </row>
    <row r="163" spans="5:12" ht="15.75" customHeight="1" x14ac:dyDescent="0.25">
      <c r="E163" s="260"/>
      <c r="F163" s="260"/>
      <c r="G163" s="260"/>
      <c r="H163" s="260"/>
      <c r="I163" s="260"/>
      <c r="J163" s="260"/>
      <c r="K163" s="259"/>
      <c r="L163" s="259"/>
    </row>
    <row r="164" spans="5:12" ht="15.75" customHeight="1" x14ac:dyDescent="0.25">
      <c r="E164" s="260"/>
      <c r="F164" s="260"/>
      <c r="G164" s="260"/>
      <c r="H164" s="260"/>
      <c r="I164" s="260"/>
      <c r="J164" s="260"/>
      <c r="K164" s="259"/>
      <c r="L164" s="259"/>
    </row>
    <row r="165" spans="5:12" ht="15.75" customHeight="1" x14ac:dyDescent="0.25">
      <c r="E165" s="260"/>
      <c r="F165" s="260"/>
      <c r="G165" s="260"/>
      <c r="H165" s="260"/>
      <c r="I165" s="260"/>
      <c r="J165" s="260"/>
      <c r="K165" s="259"/>
      <c r="L165" s="259"/>
    </row>
    <row r="166" spans="5:12" ht="15.75" customHeight="1" x14ac:dyDescent="0.25">
      <c r="E166" s="260"/>
      <c r="F166" s="260"/>
      <c r="G166" s="260"/>
      <c r="H166" s="260"/>
      <c r="I166" s="260"/>
      <c r="J166" s="260"/>
      <c r="K166" s="259"/>
      <c r="L166" s="259"/>
    </row>
    <row r="167" spans="5:12" ht="15.75" customHeight="1" x14ac:dyDescent="0.25">
      <c r="E167" s="260"/>
      <c r="F167" s="260"/>
      <c r="G167" s="260"/>
      <c r="H167" s="260"/>
      <c r="I167" s="260"/>
      <c r="J167" s="260"/>
      <c r="K167" s="259"/>
      <c r="L167" s="259"/>
    </row>
    <row r="168" spans="5:12" ht="15.75" customHeight="1" x14ac:dyDescent="0.25">
      <c r="E168" s="260"/>
      <c r="F168" s="260"/>
      <c r="G168" s="260"/>
      <c r="H168" s="260"/>
      <c r="I168" s="260"/>
      <c r="J168" s="260"/>
      <c r="K168" s="259"/>
      <c r="L168" s="259"/>
    </row>
    <row r="169" spans="5:12" ht="15.75" customHeight="1" x14ac:dyDescent="0.25">
      <c r="E169" s="260"/>
      <c r="F169" s="260"/>
      <c r="G169" s="260"/>
      <c r="H169" s="260"/>
      <c r="I169" s="260"/>
      <c r="J169" s="260"/>
      <c r="K169" s="259"/>
      <c r="L169" s="259"/>
    </row>
    <row r="170" spans="5:12" ht="15.75" customHeight="1" x14ac:dyDescent="0.25">
      <c r="E170" s="260"/>
      <c r="F170" s="260"/>
      <c r="G170" s="260"/>
      <c r="H170" s="260"/>
      <c r="I170" s="260"/>
      <c r="J170" s="260"/>
      <c r="K170" s="259"/>
      <c r="L170" s="259"/>
    </row>
    <row r="171" spans="5:12" ht="15.75" customHeight="1" x14ac:dyDescent="0.25">
      <c r="E171" s="260"/>
      <c r="F171" s="260"/>
      <c r="G171" s="260"/>
      <c r="H171" s="260"/>
      <c r="I171" s="260"/>
      <c r="J171" s="260"/>
      <c r="K171" s="259"/>
      <c r="L171" s="259"/>
    </row>
    <row r="172" spans="5:12" ht="15.75" customHeight="1" x14ac:dyDescent="0.25">
      <c r="E172" s="260"/>
      <c r="F172" s="260"/>
      <c r="G172" s="260"/>
      <c r="H172" s="260"/>
      <c r="I172" s="260"/>
      <c r="J172" s="260"/>
      <c r="K172" s="259"/>
      <c r="L172" s="259"/>
    </row>
    <row r="173" spans="5:12" ht="15.75" customHeight="1" x14ac:dyDescent="0.25">
      <c r="E173" s="260"/>
      <c r="F173" s="260"/>
      <c r="G173" s="260"/>
      <c r="H173" s="260"/>
      <c r="I173" s="260"/>
      <c r="J173" s="260"/>
      <c r="K173" s="259"/>
      <c r="L173" s="259"/>
    </row>
    <row r="174" spans="5:12" ht="15.75" customHeight="1" x14ac:dyDescent="0.25">
      <c r="E174" s="260"/>
      <c r="F174" s="260"/>
      <c r="G174" s="260"/>
      <c r="H174" s="260"/>
      <c r="I174" s="260"/>
      <c r="J174" s="260"/>
      <c r="K174" s="259"/>
      <c r="L174" s="259"/>
    </row>
    <row r="175" spans="5:12" ht="15.75" customHeight="1" x14ac:dyDescent="0.25">
      <c r="E175" s="260"/>
      <c r="F175" s="260"/>
      <c r="G175" s="260"/>
      <c r="H175" s="260"/>
      <c r="I175" s="260"/>
      <c r="J175" s="260"/>
      <c r="K175" s="259"/>
      <c r="L175" s="259"/>
    </row>
    <row r="176" spans="5:12" ht="15.75" customHeight="1" x14ac:dyDescent="0.25">
      <c r="E176" s="260"/>
      <c r="F176" s="260"/>
      <c r="G176" s="260"/>
      <c r="H176" s="260"/>
      <c r="I176" s="260"/>
      <c r="J176" s="260"/>
      <c r="K176" s="259"/>
      <c r="L176" s="259"/>
    </row>
    <row r="177" spans="5:12" ht="15.75" customHeight="1" x14ac:dyDescent="0.25">
      <c r="E177" s="260"/>
      <c r="F177" s="260"/>
      <c r="G177" s="260"/>
      <c r="H177" s="260"/>
      <c r="I177" s="260"/>
      <c r="J177" s="260"/>
      <c r="K177" s="259"/>
      <c r="L177" s="259"/>
    </row>
    <row r="178" spans="5:12" ht="15.75" customHeight="1" x14ac:dyDescent="0.25">
      <c r="E178" s="260"/>
      <c r="F178" s="260"/>
      <c r="G178" s="260"/>
      <c r="H178" s="260"/>
      <c r="I178" s="260"/>
      <c r="J178" s="260"/>
      <c r="K178" s="259"/>
      <c r="L178" s="259"/>
    </row>
    <row r="179" spans="5:12" ht="15.75" customHeight="1" x14ac:dyDescent="0.25">
      <c r="E179" s="260"/>
      <c r="F179" s="260"/>
      <c r="G179" s="260"/>
      <c r="H179" s="260"/>
      <c r="I179" s="260"/>
      <c r="J179" s="260"/>
      <c r="K179" s="259"/>
      <c r="L179" s="259"/>
    </row>
    <row r="180" spans="5:12" ht="15.75" customHeight="1" x14ac:dyDescent="0.25">
      <c r="E180" s="260"/>
      <c r="F180" s="260"/>
      <c r="G180" s="260"/>
      <c r="H180" s="260"/>
      <c r="I180" s="260"/>
      <c r="J180" s="260"/>
      <c r="K180" s="259"/>
      <c r="L180" s="259"/>
    </row>
    <row r="181" spans="5:12" ht="15.75" customHeight="1" x14ac:dyDescent="0.25">
      <c r="E181" s="260"/>
      <c r="F181" s="260"/>
      <c r="G181" s="260"/>
      <c r="H181" s="260"/>
      <c r="I181" s="260"/>
      <c r="J181" s="260"/>
      <c r="K181" s="259"/>
      <c r="L181" s="259"/>
    </row>
    <row r="182" spans="5:12" ht="15.75" customHeight="1" x14ac:dyDescent="0.25">
      <c r="E182" s="260"/>
      <c r="F182" s="260"/>
      <c r="G182" s="260"/>
      <c r="H182" s="260"/>
      <c r="I182" s="260"/>
      <c r="J182" s="260"/>
      <c r="K182" s="259"/>
      <c r="L182" s="259"/>
    </row>
    <row r="183" spans="5:12" ht="15.75" customHeight="1" x14ac:dyDescent="0.25">
      <c r="E183" s="260"/>
      <c r="F183" s="260"/>
      <c r="G183" s="260"/>
      <c r="H183" s="260"/>
      <c r="I183" s="260"/>
      <c r="J183" s="260"/>
      <c r="K183" s="259"/>
      <c r="L183" s="259"/>
    </row>
    <row r="184" spans="5:12" ht="15.75" customHeight="1" x14ac:dyDescent="0.25">
      <c r="E184" s="260"/>
      <c r="F184" s="260"/>
      <c r="G184" s="260"/>
      <c r="H184" s="260"/>
      <c r="I184" s="260"/>
      <c r="J184" s="260"/>
      <c r="K184" s="259"/>
      <c r="L184" s="259"/>
    </row>
    <row r="185" spans="5:12" ht="15.75" customHeight="1" x14ac:dyDescent="0.25">
      <c r="E185" s="260"/>
      <c r="F185" s="260"/>
      <c r="G185" s="260"/>
      <c r="H185" s="260"/>
      <c r="I185" s="260"/>
      <c r="J185" s="260"/>
      <c r="K185" s="259"/>
      <c r="L185" s="259"/>
    </row>
    <row r="186" spans="5:12" ht="15.75" customHeight="1" x14ac:dyDescent="0.25">
      <c r="E186" s="260"/>
      <c r="F186" s="260"/>
      <c r="G186" s="260"/>
      <c r="H186" s="260"/>
      <c r="I186" s="260"/>
      <c r="J186" s="260"/>
      <c r="K186" s="259"/>
      <c r="L186" s="259"/>
    </row>
    <row r="187" spans="5:12" ht="15.75" customHeight="1" x14ac:dyDescent="0.25">
      <c r="E187" s="260"/>
      <c r="F187" s="260"/>
      <c r="G187" s="260"/>
      <c r="H187" s="260"/>
      <c r="I187" s="260"/>
      <c r="J187" s="260"/>
      <c r="K187" s="259"/>
      <c r="L187" s="259"/>
    </row>
    <row r="188" spans="5:12" ht="15.75" customHeight="1" x14ac:dyDescent="0.25">
      <c r="E188" s="260"/>
      <c r="F188" s="260"/>
      <c r="G188" s="260"/>
      <c r="H188" s="260"/>
      <c r="I188" s="260"/>
      <c r="J188" s="260"/>
      <c r="K188" s="259"/>
      <c r="L188" s="259"/>
    </row>
    <row r="189" spans="5:12" ht="15.75" customHeight="1" x14ac:dyDescent="0.25">
      <c r="E189" s="260"/>
      <c r="F189" s="260"/>
      <c r="G189" s="260"/>
      <c r="H189" s="260"/>
      <c r="I189" s="260"/>
      <c r="J189" s="260"/>
      <c r="K189" s="259"/>
      <c r="L189" s="259"/>
    </row>
    <row r="190" spans="5:12" ht="15.75" customHeight="1" x14ac:dyDescent="0.25">
      <c r="E190" s="260"/>
      <c r="F190" s="260"/>
      <c r="G190" s="260"/>
      <c r="H190" s="260"/>
      <c r="I190" s="260"/>
      <c r="J190" s="260"/>
      <c r="K190" s="259"/>
      <c r="L190" s="259"/>
    </row>
    <row r="191" spans="5:12" ht="15.75" customHeight="1" x14ac:dyDescent="0.25">
      <c r="E191" s="260"/>
      <c r="F191" s="260"/>
      <c r="G191" s="260"/>
      <c r="H191" s="260"/>
      <c r="I191" s="260"/>
      <c r="J191" s="260"/>
      <c r="K191" s="259"/>
      <c r="L191" s="259"/>
    </row>
    <row r="192" spans="5:12" ht="15.75" customHeight="1" x14ac:dyDescent="0.25">
      <c r="E192" s="260"/>
      <c r="F192" s="260"/>
      <c r="G192" s="260"/>
      <c r="H192" s="260"/>
      <c r="I192" s="260"/>
      <c r="J192" s="260"/>
      <c r="K192" s="259"/>
      <c r="L192" s="259"/>
    </row>
    <row r="193" spans="5:12" ht="15.75" customHeight="1" x14ac:dyDescent="0.25">
      <c r="E193" s="260"/>
      <c r="F193" s="260"/>
      <c r="G193" s="260"/>
      <c r="H193" s="260"/>
      <c r="I193" s="260"/>
      <c r="J193" s="260"/>
      <c r="K193" s="259"/>
      <c r="L193" s="259"/>
    </row>
    <row r="194" spans="5:12" ht="15.75" customHeight="1" x14ac:dyDescent="0.25">
      <c r="E194" s="260"/>
      <c r="F194" s="260"/>
      <c r="G194" s="260"/>
      <c r="H194" s="260"/>
      <c r="I194" s="260"/>
      <c r="J194" s="260"/>
      <c r="K194" s="259"/>
      <c r="L194" s="259"/>
    </row>
    <row r="195" spans="5:12" ht="15.75" customHeight="1" x14ac:dyDescent="0.25">
      <c r="E195" s="260"/>
      <c r="F195" s="260"/>
      <c r="G195" s="260"/>
      <c r="H195" s="260"/>
      <c r="I195" s="260"/>
      <c r="J195" s="260"/>
      <c r="K195" s="259"/>
      <c r="L195" s="259"/>
    </row>
    <row r="196" spans="5:12" ht="15.75" customHeight="1" x14ac:dyDescent="0.25">
      <c r="E196" s="260"/>
      <c r="F196" s="260"/>
      <c r="G196" s="260"/>
      <c r="H196" s="260"/>
      <c r="I196" s="260"/>
      <c r="J196" s="260"/>
      <c r="K196" s="259"/>
      <c r="L196" s="259"/>
    </row>
    <row r="197" spans="5:12" ht="15.75" customHeight="1" x14ac:dyDescent="0.25">
      <c r="E197" s="260"/>
      <c r="F197" s="260"/>
      <c r="G197" s="260"/>
      <c r="H197" s="260"/>
      <c r="I197" s="260"/>
      <c r="J197" s="260"/>
      <c r="K197" s="259"/>
      <c r="L197" s="259"/>
    </row>
    <row r="198" spans="5:12" ht="15.75" customHeight="1" x14ac:dyDescent="0.25">
      <c r="E198" s="260"/>
      <c r="F198" s="260"/>
      <c r="G198" s="260"/>
      <c r="H198" s="260"/>
      <c r="I198" s="260"/>
      <c r="J198" s="260"/>
      <c r="K198" s="259"/>
      <c r="L198" s="259"/>
    </row>
    <row r="199" spans="5:12" ht="15.75" customHeight="1" x14ac:dyDescent="0.25">
      <c r="E199" s="260"/>
      <c r="F199" s="260"/>
      <c r="G199" s="260"/>
      <c r="H199" s="260"/>
      <c r="I199" s="260"/>
      <c r="J199" s="260"/>
      <c r="K199" s="259"/>
      <c r="L199" s="259"/>
    </row>
    <row r="200" spans="5:12" ht="15.75" customHeight="1" x14ac:dyDescent="0.25">
      <c r="E200" s="260"/>
      <c r="F200" s="260"/>
      <c r="G200" s="260"/>
      <c r="H200" s="260"/>
      <c r="I200" s="260"/>
      <c r="J200" s="260"/>
      <c r="K200" s="259"/>
      <c r="L200" s="259"/>
    </row>
    <row r="201" spans="5:12" ht="15.75" customHeight="1" x14ac:dyDescent="0.25">
      <c r="E201" s="260"/>
      <c r="F201" s="260"/>
      <c r="G201" s="260"/>
      <c r="H201" s="260"/>
      <c r="I201" s="260"/>
      <c r="J201" s="260"/>
      <c r="K201" s="259"/>
      <c r="L201" s="259"/>
    </row>
    <row r="202" spans="5:12" ht="15.75" customHeight="1" x14ac:dyDescent="0.25">
      <c r="E202" s="260"/>
      <c r="F202" s="260"/>
      <c r="G202" s="260"/>
      <c r="H202" s="260"/>
      <c r="I202" s="260"/>
      <c r="J202" s="260"/>
      <c r="K202" s="259"/>
      <c r="L202" s="259"/>
    </row>
    <row r="203" spans="5:12" ht="15.75" customHeight="1" x14ac:dyDescent="0.25">
      <c r="E203" s="260"/>
      <c r="F203" s="260"/>
      <c r="G203" s="260"/>
      <c r="H203" s="260"/>
      <c r="I203" s="260"/>
      <c r="J203" s="260"/>
      <c r="K203" s="259"/>
      <c r="L203" s="259"/>
    </row>
    <row r="204" spans="5:12" ht="15.75" customHeight="1" x14ac:dyDescent="0.25">
      <c r="E204" s="260"/>
      <c r="F204" s="260"/>
      <c r="G204" s="260"/>
      <c r="H204" s="260"/>
      <c r="I204" s="260"/>
      <c r="J204" s="260"/>
      <c r="K204" s="259"/>
      <c r="L204" s="259"/>
    </row>
    <row r="205" spans="5:12" ht="15.75" customHeight="1" x14ac:dyDescent="0.25">
      <c r="E205" s="260"/>
      <c r="F205" s="260"/>
      <c r="G205" s="260"/>
      <c r="H205" s="260"/>
      <c r="I205" s="260"/>
      <c r="J205" s="260"/>
      <c r="K205" s="259"/>
      <c r="L205" s="259"/>
    </row>
    <row r="206" spans="5:12" ht="15.75" customHeight="1" x14ac:dyDescent="0.25">
      <c r="E206" s="260"/>
      <c r="F206" s="260"/>
      <c r="G206" s="260"/>
      <c r="H206" s="260"/>
      <c r="I206" s="260"/>
      <c r="J206" s="260"/>
      <c r="K206" s="259"/>
      <c r="L206" s="259"/>
    </row>
    <row r="207" spans="5:12" ht="15.75" customHeight="1" x14ac:dyDescent="0.25">
      <c r="E207" s="260"/>
      <c r="F207" s="260"/>
      <c r="G207" s="260"/>
      <c r="H207" s="260"/>
      <c r="I207" s="260"/>
      <c r="J207" s="260"/>
      <c r="K207" s="259"/>
      <c r="L207" s="259"/>
    </row>
    <row r="208" spans="5:12" ht="15.75" customHeight="1" x14ac:dyDescent="0.25">
      <c r="E208" s="260"/>
      <c r="F208" s="260"/>
      <c r="G208" s="260"/>
      <c r="H208" s="260"/>
      <c r="I208" s="260"/>
      <c r="J208" s="260"/>
      <c r="K208" s="259"/>
      <c r="L208" s="259"/>
    </row>
    <row r="209" spans="5:12" ht="15.75" customHeight="1" x14ac:dyDescent="0.25">
      <c r="E209" s="260"/>
      <c r="F209" s="260"/>
      <c r="G209" s="260"/>
      <c r="H209" s="260"/>
      <c r="I209" s="260"/>
      <c r="J209" s="260"/>
      <c r="K209" s="259"/>
      <c r="L209" s="259"/>
    </row>
    <row r="210" spans="5:12" ht="15.75" customHeight="1" x14ac:dyDescent="0.25">
      <c r="E210" s="260"/>
      <c r="F210" s="260"/>
      <c r="G210" s="260"/>
      <c r="H210" s="260"/>
      <c r="I210" s="260"/>
      <c r="J210" s="260"/>
      <c r="K210" s="259"/>
      <c r="L210" s="259"/>
    </row>
    <row r="211" spans="5:12" ht="15.75" customHeight="1" x14ac:dyDescent="0.25">
      <c r="E211" s="260"/>
      <c r="F211" s="260"/>
      <c r="G211" s="260"/>
      <c r="H211" s="260"/>
      <c r="I211" s="260"/>
      <c r="J211" s="260"/>
      <c r="K211" s="259"/>
      <c r="L211" s="259"/>
    </row>
    <row r="212" spans="5:12" ht="15.75" customHeight="1" x14ac:dyDescent="0.25">
      <c r="E212" s="260"/>
      <c r="F212" s="260"/>
      <c r="G212" s="260"/>
      <c r="H212" s="260"/>
      <c r="I212" s="260"/>
      <c r="J212" s="260"/>
      <c r="K212" s="259"/>
      <c r="L212" s="259"/>
    </row>
    <row r="213" spans="5:12" ht="15.75" customHeight="1" x14ac:dyDescent="0.25">
      <c r="E213" s="260"/>
      <c r="F213" s="260"/>
      <c r="G213" s="260"/>
      <c r="H213" s="260"/>
      <c r="I213" s="260"/>
      <c r="J213" s="260"/>
      <c r="K213" s="259"/>
      <c r="L213" s="259"/>
    </row>
    <row r="214" spans="5:12" ht="15.75" customHeight="1" x14ac:dyDescent="0.25">
      <c r="E214" s="260"/>
      <c r="F214" s="260"/>
      <c r="G214" s="260"/>
      <c r="H214" s="260"/>
      <c r="I214" s="260"/>
      <c r="J214" s="260"/>
      <c r="K214" s="259"/>
      <c r="L214" s="259"/>
    </row>
    <row r="215" spans="5:12" ht="15.75" customHeight="1" x14ac:dyDescent="0.25">
      <c r="E215" s="260"/>
      <c r="F215" s="260"/>
      <c r="G215" s="260"/>
      <c r="H215" s="260"/>
      <c r="I215" s="260"/>
      <c r="J215" s="260"/>
      <c r="K215" s="259"/>
      <c r="L215" s="259"/>
    </row>
    <row r="216" spans="5:12" ht="15.75" customHeight="1" x14ac:dyDescent="0.25">
      <c r="E216" s="260"/>
      <c r="F216" s="260"/>
      <c r="G216" s="260"/>
      <c r="H216" s="260"/>
      <c r="I216" s="260"/>
      <c r="J216" s="260"/>
      <c r="K216" s="259"/>
      <c r="L216" s="259"/>
    </row>
    <row r="217" spans="5:12" ht="15.75" customHeight="1" x14ac:dyDescent="0.25">
      <c r="E217" s="260"/>
      <c r="F217" s="260"/>
      <c r="G217" s="260"/>
      <c r="H217" s="260"/>
      <c r="I217" s="260"/>
      <c r="J217" s="260"/>
      <c r="K217" s="259"/>
      <c r="L217" s="259"/>
    </row>
    <row r="218" spans="5:12" ht="15.75" customHeight="1" x14ac:dyDescent="0.25">
      <c r="E218" s="260"/>
      <c r="F218" s="260"/>
      <c r="G218" s="260"/>
      <c r="H218" s="260"/>
      <c r="I218" s="260"/>
      <c r="J218" s="260"/>
      <c r="K218" s="259"/>
      <c r="L218" s="259"/>
    </row>
    <row r="219" spans="5:12" ht="15.75" customHeight="1" x14ac:dyDescent="0.25">
      <c r="E219" s="260"/>
      <c r="F219" s="260"/>
      <c r="G219" s="260"/>
      <c r="H219" s="260"/>
      <c r="I219" s="260"/>
      <c r="J219" s="260"/>
      <c r="K219" s="259"/>
      <c r="L219" s="259"/>
    </row>
    <row r="220" spans="5:12" ht="15.75" customHeight="1" x14ac:dyDescent="0.25">
      <c r="E220" s="260"/>
      <c r="F220" s="260"/>
      <c r="G220" s="260"/>
      <c r="H220" s="260"/>
      <c r="I220" s="260"/>
      <c r="J220" s="260"/>
      <c r="K220" s="259"/>
      <c r="L220" s="259"/>
    </row>
    <row r="221" spans="5:12" ht="15.75" customHeight="1" x14ac:dyDescent="0.25">
      <c r="E221" s="260"/>
      <c r="F221" s="260"/>
      <c r="G221" s="260"/>
      <c r="H221" s="260"/>
      <c r="I221" s="260"/>
      <c r="J221" s="260"/>
      <c r="K221" s="259"/>
      <c r="L221" s="259"/>
    </row>
    <row r="222" spans="5:12" ht="15.75" customHeight="1" x14ac:dyDescent="0.25">
      <c r="E222" s="260"/>
      <c r="F222" s="260"/>
      <c r="G222" s="260"/>
      <c r="H222" s="260"/>
      <c r="I222" s="260"/>
      <c r="J222" s="260"/>
      <c r="K222" s="259"/>
      <c r="L222" s="259"/>
    </row>
    <row r="223" spans="5:12" ht="15.75" customHeight="1" x14ac:dyDescent="0.25">
      <c r="E223" s="260"/>
      <c r="F223" s="260"/>
      <c r="G223" s="260"/>
      <c r="H223" s="260"/>
      <c r="I223" s="260"/>
      <c r="J223" s="260"/>
      <c r="K223" s="259"/>
      <c r="L223" s="259"/>
    </row>
    <row r="224" spans="5:12" ht="15.75" customHeight="1" x14ac:dyDescent="0.25">
      <c r="E224" s="260"/>
      <c r="F224" s="260"/>
      <c r="G224" s="260"/>
      <c r="H224" s="260"/>
      <c r="I224" s="260"/>
      <c r="J224" s="260"/>
      <c r="K224" s="259"/>
      <c r="L224" s="259"/>
    </row>
    <row r="225" spans="5:12" ht="15.75" customHeight="1" x14ac:dyDescent="0.25">
      <c r="E225" s="260"/>
      <c r="F225" s="260"/>
      <c r="G225" s="260"/>
      <c r="H225" s="260"/>
      <c r="I225" s="260"/>
      <c r="J225" s="260"/>
      <c r="K225" s="259"/>
      <c r="L225" s="259"/>
    </row>
    <row r="226" spans="5:12" ht="15.75" customHeight="1" x14ac:dyDescent="0.25">
      <c r="E226" s="260"/>
      <c r="F226" s="260"/>
      <c r="G226" s="260"/>
      <c r="H226" s="260"/>
      <c r="I226" s="260"/>
      <c r="J226" s="260"/>
      <c r="K226" s="259"/>
      <c r="L226" s="259"/>
    </row>
    <row r="227" spans="5:12" ht="15.75" customHeight="1" x14ac:dyDescent="0.25">
      <c r="E227" s="260"/>
      <c r="F227" s="260"/>
      <c r="G227" s="260"/>
      <c r="H227" s="260"/>
      <c r="I227" s="260"/>
      <c r="J227" s="260"/>
      <c r="K227" s="259"/>
      <c r="L227" s="259"/>
    </row>
    <row r="228" spans="5:12" ht="15.75" customHeight="1" x14ac:dyDescent="0.25">
      <c r="E228" s="260"/>
      <c r="F228" s="260"/>
      <c r="G228" s="260"/>
      <c r="H228" s="260"/>
      <c r="I228" s="260"/>
      <c r="J228" s="260"/>
      <c r="K228" s="259"/>
      <c r="L228" s="259"/>
    </row>
    <row r="229" spans="5:12" ht="15.75" customHeight="1" x14ac:dyDescent="0.25">
      <c r="E229" s="260"/>
      <c r="F229" s="260"/>
      <c r="G229" s="260"/>
      <c r="H229" s="260"/>
      <c r="I229" s="260"/>
      <c r="J229" s="260"/>
      <c r="K229" s="259"/>
      <c r="L229" s="259"/>
    </row>
    <row r="230" spans="5:12" ht="15.75" customHeight="1" x14ac:dyDescent="0.25">
      <c r="E230" s="260"/>
      <c r="F230" s="260"/>
      <c r="G230" s="260"/>
      <c r="H230" s="260"/>
      <c r="I230" s="260"/>
      <c r="J230" s="260"/>
      <c r="K230" s="259"/>
      <c r="L230" s="259"/>
    </row>
    <row r="231" spans="5:12" ht="15.75" customHeight="1" x14ac:dyDescent="0.25">
      <c r="E231" s="260"/>
      <c r="F231" s="260"/>
      <c r="G231" s="260"/>
      <c r="H231" s="260"/>
      <c r="I231" s="260"/>
      <c r="J231" s="260"/>
      <c r="K231" s="259"/>
      <c r="L231" s="259"/>
    </row>
    <row r="232" spans="5:12" ht="15.75" customHeight="1" x14ac:dyDescent="0.25">
      <c r="E232" s="260"/>
      <c r="F232" s="260"/>
      <c r="G232" s="260"/>
      <c r="H232" s="260"/>
      <c r="I232" s="260"/>
      <c r="J232" s="260"/>
      <c r="K232" s="259"/>
      <c r="L232" s="259"/>
    </row>
    <row r="233" spans="5:12" ht="15.75" customHeight="1" x14ac:dyDescent="0.25">
      <c r="E233" s="260"/>
      <c r="F233" s="260"/>
      <c r="G233" s="260"/>
      <c r="H233" s="260"/>
      <c r="I233" s="260"/>
      <c r="J233" s="260"/>
      <c r="K233" s="259"/>
      <c r="L233" s="259"/>
    </row>
    <row r="234" spans="5:12" ht="15.75" customHeight="1" x14ac:dyDescent="0.25">
      <c r="E234" s="260"/>
      <c r="F234" s="260"/>
      <c r="G234" s="260"/>
      <c r="H234" s="260"/>
      <c r="I234" s="260"/>
      <c r="J234" s="260"/>
      <c r="K234" s="259"/>
      <c r="L234" s="259"/>
    </row>
    <row r="235" spans="5:12" ht="15.75" customHeight="1" x14ac:dyDescent="0.25">
      <c r="E235" s="260"/>
      <c r="F235" s="260"/>
      <c r="G235" s="260"/>
      <c r="H235" s="260"/>
      <c r="I235" s="260"/>
      <c r="J235" s="260"/>
      <c r="K235" s="259"/>
      <c r="L235" s="259"/>
    </row>
    <row r="236" spans="5:12" ht="15.75" customHeight="1" x14ac:dyDescent="0.25">
      <c r="E236" s="260"/>
      <c r="F236" s="260"/>
      <c r="G236" s="260"/>
      <c r="H236" s="260"/>
      <c r="I236" s="260"/>
      <c r="J236" s="260"/>
      <c r="K236" s="259"/>
      <c r="L236" s="259"/>
    </row>
    <row r="237" spans="5:12" ht="15.75" customHeight="1" x14ac:dyDescent="0.25">
      <c r="E237" s="260"/>
      <c r="F237" s="260"/>
      <c r="G237" s="260"/>
      <c r="H237" s="260"/>
      <c r="I237" s="260"/>
      <c r="J237" s="260"/>
      <c r="K237" s="259"/>
      <c r="L237" s="259"/>
    </row>
    <row r="238" spans="5:12" ht="15.75" customHeight="1" x14ac:dyDescent="0.25">
      <c r="E238" s="260"/>
      <c r="F238" s="260"/>
      <c r="G238" s="260"/>
      <c r="H238" s="260"/>
      <c r="I238" s="260"/>
      <c r="J238" s="260"/>
      <c r="K238" s="259"/>
      <c r="L238" s="259"/>
    </row>
    <row r="239" spans="5:12" ht="15.75" customHeight="1" x14ac:dyDescent="0.25">
      <c r="E239" s="260"/>
      <c r="F239" s="260"/>
      <c r="G239" s="260"/>
      <c r="H239" s="260"/>
      <c r="I239" s="260"/>
      <c r="J239" s="260"/>
      <c r="K239" s="259"/>
      <c r="L239" s="259"/>
    </row>
    <row r="240" spans="5:12" ht="15.75" customHeight="1" x14ac:dyDescent="0.25">
      <c r="E240" s="260"/>
      <c r="F240" s="260"/>
      <c r="G240" s="260"/>
      <c r="H240" s="260"/>
      <c r="I240" s="260"/>
      <c r="J240" s="260"/>
      <c r="K240" s="259"/>
      <c r="L240" s="259"/>
    </row>
    <row r="241" spans="5:12" ht="15.75" customHeight="1" x14ac:dyDescent="0.25">
      <c r="E241" s="260"/>
      <c r="F241" s="260"/>
      <c r="G241" s="260"/>
      <c r="H241" s="260"/>
      <c r="I241" s="260"/>
      <c r="J241" s="260"/>
      <c r="K241" s="259"/>
      <c r="L241" s="259"/>
    </row>
    <row r="242" spans="5:12" ht="15.75" customHeight="1" x14ac:dyDescent="0.25">
      <c r="E242" s="260"/>
      <c r="F242" s="260"/>
      <c r="G242" s="260"/>
      <c r="H242" s="260"/>
      <c r="I242" s="260"/>
      <c r="J242" s="260"/>
      <c r="K242" s="259"/>
      <c r="L242" s="259"/>
    </row>
    <row r="243" spans="5:12" ht="15.75" customHeight="1" x14ac:dyDescent="0.25">
      <c r="E243" s="260"/>
      <c r="F243" s="260"/>
      <c r="G243" s="260"/>
      <c r="H243" s="260"/>
      <c r="I243" s="260"/>
      <c r="J243" s="260"/>
      <c r="K243" s="259"/>
      <c r="L243" s="259"/>
    </row>
    <row r="244" spans="5:12" ht="15.75" customHeight="1" x14ac:dyDescent="0.25">
      <c r="E244" s="260"/>
      <c r="F244" s="260"/>
      <c r="G244" s="260"/>
      <c r="H244" s="260"/>
      <c r="I244" s="260"/>
      <c r="J244" s="260"/>
      <c r="K244" s="259"/>
      <c r="L244" s="259"/>
    </row>
    <row r="245" spans="5:12" ht="15.75" customHeight="1" x14ac:dyDescent="0.25">
      <c r="E245" s="260"/>
      <c r="F245" s="260"/>
      <c r="G245" s="260"/>
      <c r="H245" s="260"/>
      <c r="I245" s="260"/>
      <c r="J245" s="260"/>
      <c r="K245" s="259"/>
      <c r="L245" s="259"/>
    </row>
    <row r="246" spans="5:12" ht="15.75" customHeight="1" x14ac:dyDescent="0.25">
      <c r="E246" s="260"/>
      <c r="F246" s="260"/>
      <c r="G246" s="260"/>
      <c r="H246" s="260"/>
      <c r="I246" s="260"/>
      <c r="J246" s="260"/>
      <c r="K246" s="259"/>
      <c r="L246" s="259"/>
    </row>
    <row r="247" spans="5:12" ht="15.75" customHeight="1" x14ac:dyDescent="0.25">
      <c r="E247" s="260"/>
      <c r="F247" s="260"/>
      <c r="G247" s="260"/>
      <c r="H247" s="260"/>
      <c r="I247" s="260"/>
      <c r="J247" s="260"/>
      <c r="K247" s="259"/>
      <c r="L247" s="259"/>
    </row>
    <row r="248" spans="5:12" ht="15.75" customHeight="1" x14ac:dyDescent="0.25">
      <c r="E248" s="260"/>
      <c r="F248" s="260"/>
      <c r="G248" s="260"/>
      <c r="H248" s="260"/>
      <c r="I248" s="260"/>
      <c r="J248" s="260"/>
      <c r="K248" s="259"/>
      <c r="L248" s="259"/>
    </row>
    <row r="249" spans="5:12" ht="15.75" customHeight="1" x14ac:dyDescent="0.25">
      <c r="E249" s="260"/>
      <c r="F249" s="260"/>
      <c r="G249" s="260"/>
      <c r="H249" s="260"/>
      <c r="I249" s="260"/>
      <c r="J249" s="260"/>
      <c r="K249" s="259"/>
      <c r="L249" s="259"/>
    </row>
    <row r="250" spans="5:12" ht="15.75" customHeight="1" x14ac:dyDescent="0.25">
      <c r="E250" s="260"/>
      <c r="F250" s="260"/>
      <c r="G250" s="260"/>
      <c r="H250" s="260"/>
      <c r="I250" s="260"/>
      <c r="J250" s="260"/>
      <c r="K250" s="259"/>
      <c r="L250" s="259"/>
    </row>
    <row r="251" spans="5:12" ht="15.75" customHeight="1" x14ac:dyDescent="0.25">
      <c r="E251" s="260"/>
      <c r="F251" s="260"/>
      <c r="G251" s="260"/>
      <c r="H251" s="260"/>
      <c r="I251" s="260"/>
      <c r="J251" s="260"/>
      <c r="K251" s="259"/>
      <c r="L251" s="259"/>
    </row>
    <row r="252" spans="5:12" ht="15.75" customHeight="1" x14ac:dyDescent="0.25">
      <c r="E252" s="260"/>
      <c r="F252" s="260"/>
      <c r="G252" s="260"/>
      <c r="H252" s="260"/>
      <c r="I252" s="260"/>
      <c r="J252" s="260"/>
      <c r="K252" s="259"/>
      <c r="L252" s="259"/>
    </row>
    <row r="253" spans="5:12" ht="15.75" customHeight="1" x14ac:dyDescent="0.25">
      <c r="E253" s="260"/>
      <c r="F253" s="260"/>
      <c r="G253" s="260"/>
      <c r="H253" s="260"/>
      <c r="I253" s="260"/>
      <c r="J253" s="260"/>
      <c r="K253" s="259"/>
      <c r="L253" s="259"/>
    </row>
    <row r="254" spans="5:12" ht="15.75" customHeight="1" x14ac:dyDescent="0.25">
      <c r="E254" s="260"/>
      <c r="F254" s="260"/>
      <c r="G254" s="260"/>
      <c r="H254" s="260"/>
      <c r="I254" s="260"/>
      <c r="J254" s="260"/>
      <c r="K254" s="259"/>
      <c r="L254" s="259"/>
    </row>
    <row r="255" spans="5:12" ht="15.75" customHeight="1" x14ac:dyDescent="0.25">
      <c r="E255" s="260"/>
      <c r="F255" s="260"/>
      <c r="G255" s="260"/>
      <c r="H255" s="260"/>
      <c r="I255" s="260"/>
      <c r="J255" s="260"/>
      <c r="K255" s="259"/>
      <c r="L255" s="259"/>
    </row>
    <row r="256" spans="5:12" ht="15.75" customHeight="1" x14ac:dyDescent="0.25">
      <c r="E256" s="260"/>
      <c r="F256" s="260"/>
      <c r="G256" s="260"/>
      <c r="H256" s="260"/>
      <c r="I256" s="260"/>
      <c r="J256" s="260"/>
      <c r="K256" s="259"/>
      <c r="L256" s="259"/>
    </row>
    <row r="257" spans="5:12" ht="15.75" customHeight="1" x14ac:dyDescent="0.25">
      <c r="E257" s="260"/>
      <c r="F257" s="260"/>
      <c r="G257" s="260"/>
      <c r="H257" s="260"/>
      <c r="I257" s="260"/>
      <c r="J257" s="260"/>
      <c r="K257" s="259"/>
      <c r="L257" s="259"/>
    </row>
    <row r="258" spans="5:12" ht="15.75" customHeight="1" x14ac:dyDescent="0.25">
      <c r="E258" s="260"/>
      <c r="F258" s="260"/>
      <c r="G258" s="260"/>
      <c r="H258" s="260"/>
      <c r="I258" s="260"/>
      <c r="J258" s="260"/>
      <c r="K258" s="259"/>
      <c r="L258" s="259"/>
    </row>
    <row r="259" spans="5:12" ht="15.75" customHeight="1" x14ac:dyDescent="0.25">
      <c r="E259" s="260"/>
      <c r="F259" s="260"/>
      <c r="G259" s="260"/>
      <c r="H259" s="260"/>
      <c r="I259" s="260"/>
      <c r="J259" s="260"/>
      <c r="K259" s="259"/>
      <c r="L259" s="259"/>
    </row>
    <row r="260" spans="5:12" ht="15.75" customHeight="1" x14ac:dyDescent="0.25">
      <c r="E260" s="260"/>
      <c r="F260" s="260"/>
      <c r="G260" s="260"/>
      <c r="H260" s="260"/>
      <c r="I260" s="260"/>
      <c r="J260" s="260"/>
      <c r="K260" s="259"/>
      <c r="L260" s="259"/>
    </row>
    <row r="261" spans="5:12" ht="15.75" customHeight="1" x14ac:dyDescent="0.25">
      <c r="E261" s="260"/>
      <c r="F261" s="260"/>
      <c r="G261" s="260"/>
      <c r="H261" s="260"/>
      <c r="I261" s="260"/>
      <c r="J261" s="260"/>
      <c r="K261" s="259"/>
      <c r="L261" s="259"/>
    </row>
    <row r="262" spans="5:12" ht="15.75" customHeight="1" x14ac:dyDescent="0.25">
      <c r="E262" s="260"/>
      <c r="F262" s="260"/>
      <c r="G262" s="260"/>
      <c r="H262" s="260"/>
      <c r="I262" s="260"/>
      <c r="J262" s="260"/>
      <c r="K262" s="259"/>
      <c r="L262" s="259"/>
    </row>
    <row r="263" spans="5:12" ht="15.75" customHeight="1" x14ac:dyDescent="0.25">
      <c r="E263" s="260"/>
      <c r="F263" s="260"/>
      <c r="G263" s="260"/>
      <c r="H263" s="260"/>
      <c r="I263" s="260"/>
      <c r="J263" s="260"/>
      <c r="K263" s="259"/>
      <c r="L263" s="259"/>
    </row>
    <row r="264" spans="5:12" ht="15.75" customHeight="1" x14ac:dyDescent="0.25">
      <c r="E264" s="260"/>
      <c r="F264" s="260"/>
      <c r="G264" s="260"/>
      <c r="H264" s="260"/>
      <c r="I264" s="260"/>
      <c r="J264" s="260"/>
      <c r="K264" s="259"/>
      <c r="L264" s="259"/>
    </row>
    <row r="265" spans="5:12" ht="15.75" customHeight="1" x14ac:dyDescent="0.25">
      <c r="E265" s="260"/>
      <c r="F265" s="260"/>
      <c r="G265" s="260"/>
      <c r="H265" s="260"/>
      <c r="I265" s="260"/>
      <c r="J265" s="260"/>
      <c r="K265" s="259"/>
      <c r="L265" s="259"/>
    </row>
    <row r="266" spans="5:12" ht="15.75" customHeight="1" x14ac:dyDescent="0.25">
      <c r="E266" s="260"/>
      <c r="F266" s="260"/>
      <c r="G266" s="260"/>
      <c r="H266" s="260"/>
      <c r="I266" s="260"/>
      <c r="J266" s="260"/>
      <c r="K266" s="259"/>
      <c r="L266" s="259"/>
    </row>
    <row r="267" spans="5:12" ht="15.75" customHeight="1" x14ac:dyDescent="0.25">
      <c r="E267" s="260"/>
      <c r="F267" s="260"/>
      <c r="G267" s="260"/>
      <c r="H267" s="260"/>
      <c r="I267" s="260"/>
      <c r="J267" s="260"/>
      <c r="K267" s="259"/>
      <c r="L267" s="259"/>
    </row>
    <row r="268" spans="5:12" ht="15.75" customHeight="1" x14ac:dyDescent="0.25">
      <c r="E268" s="260"/>
      <c r="F268" s="260"/>
      <c r="G268" s="260"/>
      <c r="H268" s="260"/>
      <c r="I268" s="260"/>
      <c r="J268" s="260"/>
      <c r="K268" s="259"/>
      <c r="L268" s="259"/>
    </row>
    <row r="269" spans="5:12" ht="15.75" customHeight="1" x14ac:dyDescent="0.25">
      <c r="E269" s="260"/>
      <c r="F269" s="260"/>
      <c r="G269" s="260"/>
      <c r="H269" s="260"/>
      <c r="I269" s="260"/>
      <c r="J269" s="260"/>
      <c r="K269" s="259"/>
      <c r="L269" s="259"/>
    </row>
    <row r="270" spans="5:12" ht="15.75" customHeight="1" x14ac:dyDescent="0.25">
      <c r="E270" s="260"/>
      <c r="F270" s="260"/>
      <c r="G270" s="260"/>
      <c r="H270" s="260"/>
      <c r="I270" s="260"/>
      <c r="J270" s="260"/>
      <c r="K270" s="259"/>
      <c r="L270" s="259"/>
    </row>
    <row r="271" spans="5:12" ht="15.75" customHeight="1" x14ac:dyDescent="0.25">
      <c r="E271" s="260"/>
      <c r="F271" s="260"/>
      <c r="G271" s="260"/>
      <c r="H271" s="260"/>
      <c r="I271" s="260"/>
      <c r="J271" s="260"/>
      <c r="K271" s="259"/>
      <c r="L271" s="259"/>
    </row>
    <row r="272" spans="5:12" ht="15.75" customHeight="1" x14ac:dyDescent="0.25">
      <c r="E272" s="260"/>
      <c r="F272" s="260"/>
      <c r="G272" s="260"/>
      <c r="H272" s="260"/>
      <c r="I272" s="260"/>
      <c r="J272" s="260"/>
      <c r="K272" s="259"/>
      <c r="L272" s="259"/>
    </row>
    <row r="273" spans="5:12" ht="15.75" customHeight="1" x14ac:dyDescent="0.25">
      <c r="E273" s="260"/>
      <c r="F273" s="260"/>
      <c r="G273" s="260"/>
      <c r="H273" s="260"/>
      <c r="I273" s="260"/>
      <c r="J273" s="260"/>
      <c r="K273" s="259"/>
      <c r="L273" s="259"/>
    </row>
    <row r="274" spans="5:12" ht="15.75" customHeight="1" x14ac:dyDescent="0.25">
      <c r="E274" s="260"/>
      <c r="F274" s="260"/>
      <c r="G274" s="260"/>
      <c r="H274" s="260"/>
      <c r="I274" s="260"/>
      <c r="J274" s="260"/>
      <c r="K274" s="259"/>
      <c r="L274" s="259"/>
    </row>
    <row r="275" spans="5:12" ht="15.75" customHeight="1" x14ac:dyDescent="0.25">
      <c r="E275" s="260"/>
      <c r="F275" s="260"/>
      <c r="G275" s="260"/>
      <c r="H275" s="260"/>
      <c r="I275" s="260"/>
      <c r="J275" s="260"/>
      <c r="K275" s="259"/>
      <c r="L275" s="259"/>
    </row>
    <row r="276" spans="5:12" ht="15.75" customHeight="1" x14ac:dyDescent="0.25">
      <c r="E276" s="260"/>
      <c r="F276" s="260"/>
      <c r="G276" s="260"/>
      <c r="H276" s="260"/>
      <c r="I276" s="260"/>
      <c r="J276" s="260"/>
      <c r="K276" s="259"/>
      <c r="L276" s="259"/>
    </row>
    <row r="277" spans="5:12" ht="15.75" customHeight="1" x14ac:dyDescent="0.25">
      <c r="E277" s="260"/>
      <c r="F277" s="260"/>
      <c r="G277" s="260"/>
      <c r="H277" s="260"/>
      <c r="I277" s="260"/>
      <c r="J277" s="260"/>
      <c r="K277" s="259"/>
      <c r="L277" s="259"/>
    </row>
    <row r="278" spans="5:12" ht="15.75" customHeight="1" x14ac:dyDescent="0.25">
      <c r="E278" s="260"/>
      <c r="F278" s="260"/>
      <c r="G278" s="260"/>
      <c r="H278" s="260"/>
      <c r="I278" s="260"/>
      <c r="J278" s="260"/>
      <c r="K278" s="259"/>
      <c r="L278" s="259"/>
    </row>
    <row r="279" spans="5:12" ht="15.75" customHeight="1" x14ac:dyDescent="0.25">
      <c r="E279" s="260"/>
      <c r="F279" s="260"/>
      <c r="G279" s="260"/>
      <c r="H279" s="260"/>
      <c r="I279" s="260"/>
      <c r="J279" s="260"/>
      <c r="K279" s="259"/>
      <c r="L279" s="259"/>
    </row>
    <row r="280" spans="5:12" ht="15.75" customHeight="1" x14ac:dyDescent="0.25">
      <c r="E280" s="260"/>
      <c r="F280" s="260"/>
      <c r="G280" s="260"/>
      <c r="H280" s="260"/>
      <c r="I280" s="260"/>
      <c r="J280" s="260"/>
      <c r="K280" s="259"/>
      <c r="L280" s="259"/>
    </row>
    <row r="281" spans="5:12" ht="15.75" customHeight="1" x14ac:dyDescent="0.25">
      <c r="E281" s="260"/>
      <c r="F281" s="260"/>
      <c r="G281" s="260"/>
      <c r="H281" s="260"/>
      <c r="I281" s="260"/>
      <c r="J281" s="260"/>
      <c r="K281" s="259"/>
      <c r="L281" s="259"/>
    </row>
    <row r="282" spans="5:12" ht="15.75" customHeight="1" x14ac:dyDescent="0.25">
      <c r="E282" s="260"/>
      <c r="F282" s="260"/>
      <c r="G282" s="260"/>
      <c r="H282" s="260"/>
      <c r="I282" s="260"/>
      <c r="J282" s="260"/>
      <c r="K282" s="259"/>
      <c r="L282" s="259"/>
    </row>
    <row r="283" spans="5:12" ht="15.75" customHeight="1" x14ac:dyDescent="0.25">
      <c r="E283" s="260"/>
      <c r="F283" s="260"/>
      <c r="G283" s="260"/>
      <c r="H283" s="260"/>
      <c r="I283" s="260"/>
      <c r="J283" s="260"/>
      <c r="K283" s="259"/>
      <c r="L283" s="259"/>
    </row>
    <row r="284" spans="5:12" ht="15.75" customHeight="1" x14ac:dyDescent="0.25">
      <c r="E284" s="260"/>
      <c r="F284" s="260"/>
      <c r="G284" s="260"/>
      <c r="H284" s="260"/>
      <c r="I284" s="260"/>
      <c r="J284" s="260"/>
      <c r="K284" s="259"/>
      <c r="L284" s="259"/>
    </row>
    <row r="285" spans="5:12" ht="15.75" customHeight="1" x14ac:dyDescent="0.25">
      <c r="E285" s="260"/>
      <c r="F285" s="260"/>
      <c r="G285" s="260"/>
      <c r="H285" s="260"/>
      <c r="I285" s="260"/>
      <c r="J285" s="260"/>
      <c r="K285" s="259"/>
      <c r="L285" s="259"/>
    </row>
    <row r="286" spans="5:12" ht="15.75" customHeight="1" x14ac:dyDescent="0.25">
      <c r="E286" s="260"/>
      <c r="F286" s="260"/>
      <c r="G286" s="260"/>
      <c r="H286" s="260"/>
      <c r="I286" s="260"/>
      <c r="J286" s="260"/>
      <c r="K286" s="259"/>
      <c r="L286" s="259"/>
    </row>
    <row r="287" spans="5:12" ht="15.75" customHeight="1" x14ac:dyDescent="0.25">
      <c r="E287" s="260"/>
      <c r="F287" s="260"/>
      <c r="G287" s="260"/>
      <c r="H287" s="260"/>
      <c r="I287" s="260"/>
      <c r="J287" s="260"/>
      <c r="K287" s="259"/>
      <c r="L287" s="259"/>
    </row>
    <row r="288" spans="5:12" ht="15.75" customHeight="1" x14ac:dyDescent="0.25">
      <c r="E288" s="260"/>
      <c r="F288" s="260"/>
      <c r="G288" s="260"/>
      <c r="H288" s="260"/>
      <c r="I288" s="260"/>
      <c r="J288" s="260"/>
      <c r="K288" s="259"/>
      <c r="L288" s="259"/>
    </row>
    <row r="289" spans="5:12" ht="15.75" customHeight="1" x14ac:dyDescent="0.25">
      <c r="E289" s="260"/>
      <c r="F289" s="260"/>
      <c r="G289" s="260"/>
      <c r="H289" s="260"/>
      <c r="I289" s="260"/>
      <c r="J289" s="260"/>
      <c r="K289" s="259"/>
      <c r="L289" s="259"/>
    </row>
    <row r="290" spans="5:12" ht="15.75" customHeight="1" x14ac:dyDescent="0.25">
      <c r="E290" s="260"/>
      <c r="F290" s="260"/>
      <c r="G290" s="260"/>
      <c r="H290" s="260"/>
      <c r="I290" s="260"/>
      <c r="J290" s="260"/>
      <c r="K290" s="259"/>
      <c r="L290" s="259"/>
    </row>
    <row r="291" spans="5:12" ht="15.75" customHeight="1" x14ac:dyDescent="0.25">
      <c r="E291" s="260"/>
      <c r="F291" s="260"/>
      <c r="G291" s="260"/>
      <c r="H291" s="260"/>
      <c r="I291" s="260"/>
      <c r="J291" s="260"/>
      <c r="K291" s="259"/>
      <c r="L291" s="259"/>
    </row>
    <row r="292" spans="5:12" ht="15.75" customHeight="1" x14ac:dyDescent="0.25">
      <c r="E292" s="260"/>
      <c r="F292" s="260"/>
      <c r="G292" s="260"/>
      <c r="H292" s="260"/>
      <c r="I292" s="260"/>
      <c r="J292" s="260"/>
      <c r="K292" s="259"/>
      <c r="L292" s="259"/>
    </row>
    <row r="293" spans="5:12" ht="15.75" customHeight="1" x14ac:dyDescent="0.25">
      <c r="E293" s="260"/>
      <c r="F293" s="260"/>
      <c r="G293" s="260"/>
      <c r="H293" s="260"/>
      <c r="I293" s="260"/>
      <c r="J293" s="260"/>
      <c r="K293" s="259"/>
      <c r="L293" s="259"/>
    </row>
    <row r="294" spans="5:12" ht="15.75" customHeight="1" x14ac:dyDescent="0.25">
      <c r="E294" s="260"/>
      <c r="F294" s="260"/>
      <c r="G294" s="260"/>
      <c r="H294" s="260"/>
      <c r="I294" s="260"/>
      <c r="J294" s="260"/>
      <c r="K294" s="259"/>
      <c r="L294" s="259"/>
    </row>
    <row r="295" spans="5:12" ht="15.75" customHeight="1" x14ac:dyDescent="0.25">
      <c r="E295" s="260"/>
      <c r="F295" s="260"/>
      <c r="G295" s="260"/>
      <c r="H295" s="260"/>
      <c r="I295" s="260"/>
      <c r="J295" s="260"/>
      <c r="K295" s="259"/>
      <c r="L295" s="259"/>
    </row>
    <row r="296" spans="5:12" ht="15.75" customHeight="1" x14ac:dyDescent="0.25">
      <c r="E296" s="260"/>
      <c r="F296" s="260"/>
      <c r="G296" s="260"/>
      <c r="H296" s="260"/>
      <c r="I296" s="260"/>
      <c r="J296" s="260"/>
      <c r="K296" s="259"/>
      <c r="L296" s="259"/>
    </row>
    <row r="297" spans="5:12" ht="15.75" customHeight="1" x14ac:dyDescent="0.25">
      <c r="E297" s="260"/>
      <c r="F297" s="260"/>
      <c r="G297" s="260"/>
      <c r="H297" s="260"/>
      <c r="I297" s="260"/>
      <c r="J297" s="260"/>
      <c r="K297" s="259"/>
      <c r="L297" s="259"/>
    </row>
    <row r="298" spans="5:12" ht="15.75" customHeight="1" x14ac:dyDescent="0.25">
      <c r="E298" s="260"/>
      <c r="F298" s="260"/>
      <c r="G298" s="260"/>
      <c r="H298" s="260"/>
      <c r="I298" s="260"/>
      <c r="J298" s="260"/>
      <c r="K298" s="259"/>
      <c r="L298" s="259"/>
    </row>
    <row r="299" spans="5:12" ht="15.75" customHeight="1" x14ac:dyDescent="0.25">
      <c r="E299" s="260"/>
      <c r="F299" s="260"/>
      <c r="G299" s="260"/>
      <c r="H299" s="260"/>
      <c r="I299" s="260"/>
      <c r="J299" s="260"/>
      <c r="K299" s="259"/>
      <c r="L299" s="259"/>
    </row>
    <row r="300" spans="5:12" ht="15.75" customHeight="1" x14ac:dyDescent="0.25">
      <c r="E300" s="260"/>
      <c r="F300" s="260"/>
      <c r="G300" s="260"/>
      <c r="H300" s="260"/>
      <c r="I300" s="260"/>
      <c r="J300" s="260"/>
      <c r="K300" s="259"/>
      <c r="L300" s="259"/>
    </row>
    <row r="301" spans="5:12" ht="15.75" customHeight="1" x14ac:dyDescent="0.25">
      <c r="E301" s="260"/>
      <c r="F301" s="260"/>
      <c r="G301" s="260"/>
      <c r="H301" s="260"/>
      <c r="I301" s="260"/>
      <c r="J301" s="260"/>
      <c r="K301" s="259"/>
      <c r="L301" s="259"/>
    </row>
    <row r="302" spans="5:12" ht="15.75" customHeight="1" x14ac:dyDescent="0.25">
      <c r="E302" s="260"/>
      <c r="F302" s="260"/>
      <c r="G302" s="260"/>
      <c r="H302" s="260"/>
      <c r="I302" s="260"/>
      <c r="J302" s="260"/>
      <c r="K302" s="259"/>
      <c r="L302" s="259"/>
    </row>
    <row r="303" spans="5:12" ht="15.75" customHeight="1" x14ac:dyDescent="0.25">
      <c r="E303" s="260"/>
      <c r="F303" s="260"/>
      <c r="G303" s="260"/>
      <c r="H303" s="260"/>
      <c r="I303" s="260"/>
      <c r="J303" s="260"/>
      <c r="K303" s="259"/>
      <c r="L303" s="259"/>
    </row>
    <row r="304" spans="5:12" ht="15.75" customHeight="1" x14ac:dyDescent="0.25">
      <c r="E304" s="260"/>
      <c r="F304" s="260"/>
      <c r="G304" s="260"/>
      <c r="H304" s="260"/>
      <c r="I304" s="260"/>
      <c r="J304" s="260"/>
      <c r="K304" s="259"/>
      <c r="L304" s="259"/>
    </row>
    <row r="305" spans="5:12" ht="15.75" customHeight="1" x14ac:dyDescent="0.25">
      <c r="E305" s="260"/>
      <c r="F305" s="260"/>
      <c r="G305" s="260"/>
      <c r="H305" s="260"/>
      <c r="I305" s="260"/>
      <c r="J305" s="260"/>
      <c r="K305" s="259"/>
      <c r="L305" s="259"/>
    </row>
    <row r="306" spans="5:12" ht="15.75" customHeight="1" x14ac:dyDescent="0.25">
      <c r="E306" s="260"/>
      <c r="F306" s="260"/>
      <c r="G306" s="260"/>
      <c r="H306" s="260"/>
      <c r="I306" s="260"/>
      <c r="J306" s="260"/>
      <c r="K306" s="259"/>
      <c r="L306" s="259"/>
    </row>
    <row r="307" spans="5:12" ht="15.75" customHeight="1" x14ac:dyDescent="0.25">
      <c r="E307" s="260"/>
      <c r="F307" s="260"/>
      <c r="G307" s="260"/>
      <c r="H307" s="260"/>
      <c r="I307" s="260"/>
      <c r="J307" s="260"/>
      <c r="K307" s="259"/>
      <c r="L307" s="259"/>
    </row>
    <row r="308" spans="5:12" ht="15.75" customHeight="1" x14ac:dyDescent="0.25">
      <c r="E308" s="260"/>
      <c r="F308" s="260"/>
      <c r="G308" s="260"/>
      <c r="H308" s="260"/>
      <c r="I308" s="260"/>
      <c r="J308" s="260"/>
      <c r="K308" s="259"/>
      <c r="L308" s="259"/>
    </row>
    <row r="309" spans="5:12" ht="15.75" customHeight="1" x14ac:dyDescent="0.25">
      <c r="E309" s="260"/>
      <c r="F309" s="260"/>
      <c r="G309" s="260"/>
      <c r="H309" s="260"/>
      <c r="I309" s="260"/>
      <c r="J309" s="260"/>
      <c r="K309" s="259"/>
      <c r="L309" s="259"/>
    </row>
    <row r="310" spans="5:12" ht="15.75" customHeight="1" x14ac:dyDescent="0.25">
      <c r="E310" s="260"/>
      <c r="F310" s="260"/>
      <c r="G310" s="260"/>
      <c r="H310" s="260"/>
      <c r="I310" s="260"/>
      <c r="J310" s="260"/>
      <c r="K310" s="259"/>
      <c r="L310" s="259"/>
    </row>
    <row r="311" spans="5:12" ht="15.75" customHeight="1" x14ac:dyDescent="0.25">
      <c r="E311" s="260"/>
      <c r="F311" s="260"/>
      <c r="G311" s="260"/>
      <c r="H311" s="260"/>
      <c r="I311" s="260"/>
      <c r="J311" s="260"/>
      <c r="K311" s="259"/>
      <c r="L311" s="259"/>
    </row>
    <row r="312" spans="5:12" ht="15.75" customHeight="1" x14ac:dyDescent="0.25">
      <c r="E312" s="260"/>
      <c r="F312" s="260"/>
      <c r="G312" s="260"/>
      <c r="H312" s="260"/>
      <c r="I312" s="260"/>
      <c r="J312" s="260"/>
      <c r="K312" s="259"/>
      <c r="L312" s="259"/>
    </row>
    <row r="313" spans="5:12" ht="15.75" customHeight="1" x14ac:dyDescent="0.25">
      <c r="E313" s="260"/>
      <c r="F313" s="260"/>
      <c r="G313" s="260"/>
      <c r="H313" s="260"/>
      <c r="I313" s="260"/>
      <c r="J313" s="260"/>
      <c r="K313" s="259"/>
      <c r="L313" s="259"/>
    </row>
    <row r="314" spans="5:12" ht="15.75" customHeight="1" x14ac:dyDescent="0.25">
      <c r="E314" s="260"/>
      <c r="F314" s="260"/>
      <c r="G314" s="260"/>
      <c r="H314" s="260"/>
      <c r="I314" s="260"/>
      <c r="J314" s="260"/>
      <c r="K314" s="259"/>
      <c r="L314" s="259"/>
    </row>
    <row r="315" spans="5:12" ht="15.75" customHeight="1" x14ac:dyDescent="0.25">
      <c r="E315" s="260"/>
      <c r="F315" s="260"/>
      <c r="G315" s="260"/>
      <c r="H315" s="260"/>
      <c r="I315" s="260"/>
      <c r="J315" s="260"/>
      <c r="K315" s="259"/>
      <c r="L315" s="259"/>
    </row>
    <row r="316" spans="5:12" ht="15.75" customHeight="1" x14ac:dyDescent="0.25">
      <c r="E316" s="260"/>
      <c r="F316" s="260"/>
      <c r="G316" s="260"/>
      <c r="H316" s="260"/>
      <c r="I316" s="260"/>
      <c r="J316" s="260"/>
      <c r="K316" s="259"/>
      <c r="L316" s="259"/>
    </row>
    <row r="317" spans="5:12" ht="15.75" customHeight="1" x14ac:dyDescent="0.25">
      <c r="E317" s="260"/>
      <c r="F317" s="260"/>
      <c r="G317" s="260"/>
      <c r="H317" s="260"/>
      <c r="I317" s="260"/>
      <c r="J317" s="260"/>
      <c r="K317" s="259"/>
      <c r="L317" s="259"/>
    </row>
    <row r="318" spans="5:12" ht="15.75" customHeight="1" x14ac:dyDescent="0.25">
      <c r="E318" s="260"/>
      <c r="F318" s="260"/>
      <c r="G318" s="260"/>
      <c r="H318" s="260"/>
      <c r="I318" s="260"/>
      <c r="J318" s="260"/>
      <c r="K318" s="259"/>
      <c r="L318" s="259"/>
    </row>
    <row r="319" spans="5:12" ht="15.75" customHeight="1" x14ac:dyDescent="0.25">
      <c r="E319" s="260"/>
      <c r="F319" s="260"/>
      <c r="G319" s="260"/>
      <c r="H319" s="260"/>
      <c r="I319" s="260"/>
      <c r="J319" s="260"/>
      <c r="K319" s="259"/>
      <c r="L319" s="259"/>
    </row>
    <row r="320" spans="5:12" ht="15.75" customHeight="1" x14ac:dyDescent="0.25">
      <c r="E320" s="260"/>
      <c r="F320" s="260"/>
      <c r="G320" s="260"/>
      <c r="H320" s="260"/>
      <c r="I320" s="260"/>
      <c r="J320" s="260"/>
      <c r="K320" s="259"/>
      <c r="L320" s="259"/>
    </row>
    <row r="321" spans="5:12" ht="15.75" customHeight="1" x14ac:dyDescent="0.25">
      <c r="E321" s="260"/>
      <c r="F321" s="260"/>
      <c r="G321" s="260"/>
      <c r="H321" s="260"/>
      <c r="I321" s="260"/>
      <c r="J321" s="260"/>
      <c r="K321" s="259"/>
      <c r="L321" s="259"/>
    </row>
    <row r="322" spans="5:12" ht="15.75" customHeight="1" x14ac:dyDescent="0.25">
      <c r="E322" s="260"/>
      <c r="F322" s="260"/>
      <c r="G322" s="260"/>
      <c r="H322" s="260"/>
      <c r="I322" s="260"/>
      <c r="J322" s="260"/>
      <c r="K322" s="259"/>
      <c r="L322" s="259"/>
    </row>
    <row r="323" spans="5:12" ht="15.75" customHeight="1" x14ac:dyDescent="0.25">
      <c r="E323" s="260"/>
      <c r="F323" s="260"/>
      <c r="G323" s="260"/>
      <c r="H323" s="260"/>
      <c r="I323" s="260"/>
      <c r="J323" s="260"/>
      <c r="K323" s="259"/>
      <c r="L323" s="259"/>
    </row>
    <row r="324" spans="5:12" ht="15.75" customHeight="1" x14ac:dyDescent="0.25">
      <c r="E324" s="260"/>
      <c r="F324" s="260"/>
      <c r="G324" s="260"/>
      <c r="H324" s="260"/>
      <c r="I324" s="260"/>
      <c r="J324" s="260"/>
      <c r="K324" s="259"/>
      <c r="L324" s="259"/>
    </row>
    <row r="325" spans="5:12" ht="15.75" customHeight="1" x14ac:dyDescent="0.25">
      <c r="E325" s="260"/>
      <c r="F325" s="260"/>
      <c r="G325" s="260"/>
      <c r="H325" s="260"/>
      <c r="I325" s="260"/>
      <c r="J325" s="260"/>
      <c r="K325" s="259"/>
      <c r="L325" s="259"/>
    </row>
    <row r="326" spans="5:12" ht="15.75" customHeight="1" x14ac:dyDescent="0.25">
      <c r="E326" s="260"/>
      <c r="F326" s="260"/>
      <c r="G326" s="260"/>
      <c r="H326" s="260"/>
      <c r="I326" s="260"/>
      <c r="J326" s="260"/>
      <c r="K326" s="259"/>
      <c r="L326" s="259"/>
    </row>
    <row r="327" spans="5:12" ht="15.75" customHeight="1" x14ac:dyDescent="0.25">
      <c r="E327" s="260"/>
      <c r="F327" s="260"/>
      <c r="G327" s="260"/>
      <c r="H327" s="260"/>
      <c r="I327" s="260"/>
      <c r="J327" s="260"/>
      <c r="K327" s="259"/>
      <c r="L327" s="259"/>
    </row>
    <row r="328" spans="5:12" ht="15.75" customHeight="1" x14ac:dyDescent="0.25">
      <c r="E328" s="260"/>
      <c r="F328" s="260"/>
      <c r="G328" s="260"/>
      <c r="H328" s="260"/>
      <c r="I328" s="260"/>
      <c r="J328" s="260"/>
      <c r="K328" s="259"/>
      <c r="L328" s="259"/>
    </row>
    <row r="329" spans="5:12" ht="15.75" customHeight="1" x14ac:dyDescent="0.25">
      <c r="E329" s="260"/>
      <c r="F329" s="260"/>
      <c r="G329" s="260"/>
      <c r="H329" s="260"/>
      <c r="I329" s="260"/>
      <c r="J329" s="260"/>
      <c r="K329" s="259"/>
      <c r="L329" s="259"/>
    </row>
    <row r="330" spans="5:12" ht="15.75" customHeight="1" x14ac:dyDescent="0.25">
      <c r="E330" s="260"/>
      <c r="F330" s="260"/>
      <c r="G330" s="260"/>
      <c r="H330" s="260"/>
      <c r="I330" s="260"/>
      <c r="J330" s="260"/>
      <c r="K330" s="259"/>
      <c r="L330" s="259"/>
    </row>
    <row r="331" spans="5:12" ht="15.75" customHeight="1" x14ac:dyDescent="0.25">
      <c r="E331" s="260"/>
      <c r="F331" s="260"/>
      <c r="G331" s="260"/>
      <c r="H331" s="260"/>
      <c r="I331" s="260"/>
      <c r="J331" s="260"/>
      <c r="K331" s="259"/>
      <c r="L331" s="259"/>
    </row>
    <row r="332" spans="5:12" ht="15.75" customHeight="1" x14ac:dyDescent="0.25">
      <c r="E332" s="260"/>
      <c r="F332" s="260"/>
      <c r="G332" s="260"/>
      <c r="H332" s="260"/>
      <c r="I332" s="260"/>
      <c r="J332" s="260"/>
      <c r="K332" s="259"/>
      <c r="L332" s="259"/>
    </row>
    <row r="333" spans="5:12" ht="15.75" customHeight="1" x14ac:dyDescent="0.25">
      <c r="E333" s="260"/>
      <c r="F333" s="260"/>
      <c r="G333" s="260"/>
      <c r="H333" s="260"/>
      <c r="I333" s="260"/>
      <c r="J333" s="260"/>
      <c r="K333" s="259"/>
      <c r="L333" s="259"/>
    </row>
    <row r="334" spans="5:12" ht="15.75" customHeight="1" x14ac:dyDescent="0.25">
      <c r="E334" s="260"/>
      <c r="F334" s="260"/>
      <c r="G334" s="260"/>
      <c r="H334" s="260"/>
      <c r="I334" s="260"/>
      <c r="J334" s="260"/>
      <c r="K334" s="259"/>
      <c r="L334" s="259"/>
    </row>
    <row r="335" spans="5:12" ht="15.75" customHeight="1" x14ac:dyDescent="0.25">
      <c r="E335" s="260"/>
      <c r="F335" s="260"/>
      <c r="G335" s="260"/>
      <c r="H335" s="260"/>
      <c r="I335" s="260"/>
      <c r="J335" s="260"/>
      <c r="K335" s="259"/>
      <c r="L335" s="259"/>
    </row>
    <row r="336" spans="5:12" ht="15.75" customHeight="1" x14ac:dyDescent="0.25">
      <c r="E336" s="260"/>
      <c r="F336" s="260"/>
      <c r="G336" s="260"/>
      <c r="H336" s="260"/>
      <c r="I336" s="260"/>
      <c r="J336" s="260"/>
      <c r="K336" s="259"/>
      <c r="L336" s="259"/>
    </row>
    <row r="337" spans="5:12" ht="15.75" customHeight="1" x14ac:dyDescent="0.25">
      <c r="E337" s="260"/>
      <c r="F337" s="260"/>
      <c r="G337" s="260"/>
      <c r="H337" s="260"/>
      <c r="I337" s="260"/>
      <c r="J337" s="260"/>
      <c r="K337" s="259"/>
      <c r="L337" s="259"/>
    </row>
    <row r="338" spans="5:12" ht="15.75" customHeight="1" x14ac:dyDescent="0.25">
      <c r="E338" s="260"/>
      <c r="F338" s="260"/>
      <c r="G338" s="260"/>
      <c r="H338" s="260"/>
      <c r="I338" s="260"/>
      <c r="J338" s="260"/>
      <c r="K338" s="259"/>
      <c r="L338" s="259"/>
    </row>
    <row r="339" spans="5:12" ht="15.75" customHeight="1" x14ac:dyDescent="0.25">
      <c r="E339" s="260"/>
      <c r="F339" s="260"/>
      <c r="G339" s="260"/>
      <c r="H339" s="260"/>
      <c r="I339" s="260"/>
      <c r="J339" s="260"/>
      <c r="K339" s="259"/>
      <c r="L339" s="259"/>
    </row>
    <row r="340" spans="5:12" ht="15.75" customHeight="1" x14ac:dyDescent="0.25">
      <c r="E340" s="260"/>
      <c r="F340" s="260"/>
      <c r="G340" s="260"/>
      <c r="H340" s="260"/>
      <c r="I340" s="260"/>
      <c r="J340" s="260"/>
      <c r="K340" s="259"/>
      <c r="L340" s="259"/>
    </row>
    <row r="341" spans="5:12" ht="15.75" customHeight="1" x14ac:dyDescent="0.25">
      <c r="E341" s="260"/>
      <c r="F341" s="260"/>
      <c r="G341" s="260"/>
      <c r="H341" s="260"/>
      <c r="I341" s="260"/>
      <c r="J341" s="260"/>
      <c r="K341" s="259"/>
      <c r="L341" s="259"/>
    </row>
    <row r="342" spans="5:12" ht="15.75" customHeight="1" x14ac:dyDescent="0.25">
      <c r="E342" s="260"/>
      <c r="F342" s="260"/>
      <c r="G342" s="260"/>
      <c r="H342" s="260"/>
      <c r="I342" s="260"/>
      <c r="J342" s="260"/>
      <c r="K342" s="259"/>
      <c r="L342" s="259"/>
    </row>
    <row r="343" spans="5:12" ht="15.75" customHeight="1" x14ac:dyDescent="0.25">
      <c r="E343" s="260"/>
      <c r="F343" s="260"/>
      <c r="G343" s="260"/>
      <c r="H343" s="260"/>
      <c r="I343" s="260"/>
      <c r="J343" s="260"/>
      <c r="K343" s="259"/>
      <c r="L343" s="259"/>
    </row>
    <row r="344" spans="5:12" ht="15.75" customHeight="1" x14ac:dyDescent="0.25">
      <c r="E344" s="260"/>
      <c r="F344" s="260"/>
      <c r="G344" s="260"/>
      <c r="H344" s="260"/>
      <c r="I344" s="260"/>
      <c r="J344" s="260"/>
      <c r="K344" s="259"/>
      <c r="L344" s="259"/>
    </row>
    <row r="345" spans="5:12" ht="15.75" customHeight="1" x14ac:dyDescent="0.25">
      <c r="E345" s="260"/>
      <c r="F345" s="260"/>
      <c r="G345" s="260"/>
      <c r="H345" s="260"/>
      <c r="I345" s="260"/>
      <c r="J345" s="260"/>
      <c r="K345" s="259"/>
      <c r="L345" s="259"/>
    </row>
    <row r="346" spans="5:12" ht="15.75" customHeight="1" x14ac:dyDescent="0.25">
      <c r="E346" s="260"/>
      <c r="F346" s="260"/>
      <c r="G346" s="260"/>
      <c r="H346" s="260"/>
      <c r="I346" s="260"/>
      <c r="J346" s="260"/>
      <c r="K346" s="259"/>
      <c r="L346" s="259"/>
    </row>
    <row r="347" spans="5:12" ht="15.75" customHeight="1" x14ac:dyDescent="0.25">
      <c r="E347" s="260"/>
      <c r="F347" s="260"/>
      <c r="G347" s="260"/>
      <c r="H347" s="260"/>
      <c r="I347" s="260"/>
      <c r="J347" s="260"/>
      <c r="K347" s="259"/>
      <c r="L347" s="259"/>
    </row>
    <row r="348" spans="5:12" ht="15.75" customHeight="1" x14ac:dyDescent="0.25">
      <c r="E348" s="260"/>
      <c r="F348" s="260"/>
      <c r="G348" s="260"/>
      <c r="H348" s="260"/>
      <c r="I348" s="260"/>
      <c r="J348" s="260"/>
      <c r="K348" s="259"/>
      <c r="L348" s="259"/>
    </row>
    <row r="349" spans="5:12" ht="15.75" customHeight="1" x14ac:dyDescent="0.25">
      <c r="E349" s="260"/>
      <c r="F349" s="260"/>
      <c r="G349" s="260"/>
      <c r="H349" s="260"/>
      <c r="I349" s="260"/>
      <c r="J349" s="260"/>
      <c r="K349" s="259"/>
      <c r="L349" s="259"/>
    </row>
    <row r="350" spans="5:12" ht="15.75" customHeight="1" x14ac:dyDescent="0.25">
      <c r="E350" s="260"/>
      <c r="F350" s="260"/>
      <c r="G350" s="260"/>
      <c r="H350" s="260"/>
      <c r="I350" s="260"/>
      <c r="J350" s="260"/>
      <c r="K350" s="259"/>
      <c r="L350" s="259"/>
    </row>
    <row r="351" spans="5:12" ht="15.75" customHeight="1" x14ac:dyDescent="0.25">
      <c r="E351" s="260"/>
      <c r="F351" s="260"/>
      <c r="G351" s="260"/>
      <c r="H351" s="260"/>
      <c r="I351" s="260"/>
      <c r="J351" s="260"/>
      <c r="K351" s="259"/>
      <c r="L351" s="259"/>
    </row>
    <row r="352" spans="5:12" ht="15.75" customHeight="1" x14ac:dyDescent="0.25">
      <c r="E352" s="260"/>
      <c r="F352" s="260"/>
      <c r="G352" s="260"/>
      <c r="H352" s="260"/>
      <c r="I352" s="260"/>
      <c r="J352" s="260"/>
      <c r="K352" s="259"/>
      <c r="L352" s="259"/>
    </row>
    <row r="353" spans="5:12" ht="15.75" customHeight="1" x14ac:dyDescent="0.25">
      <c r="E353" s="260"/>
      <c r="F353" s="260"/>
      <c r="G353" s="260"/>
      <c r="H353" s="260"/>
      <c r="I353" s="260"/>
      <c r="J353" s="260"/>
      <c r="K353" s="259"/>
      <c r="L353" s="259"/>
    </row>
    <row r="354" spans="5:12" ht="15.75" customHeight="1" x14ac:dyDescent="0.25">
      <c r="E354" s="260"/>
      <c r="F354" s="260"/>
      <c r="G354" s="260"/>
      <c r="H354" s="260"/>
      <c r="I354" s="260"/>
      <c r="J354" s="260"/>
      <c r="K354" s="259"/>
      <c r="L354" s="259"/>
    </row>
    <row r="355" spans="5:12" ht="15.75" customHeight="1" x14ac:dyDescent="0.25">
      <c r="E355" s="260"/>
      <c r="F355" s="260"/>
      <c r="G355" s="260"/>
      <c r="H355" s="260"/>
      <c r="I355" s="260"/>
      <c r="J355" s="260"/>
      <c r="K355" s="259"/>
      <c r="L355" s="259"/>
    </row>
    <row r="356" spans="5:12" ht="15.75" customHeight="1" x14ac:dyDescent="0.25">
      <c r="E356" s="260"/>
      <c r="F356" s="260"/>
      <c r="G356" s="260"/>
      <c r="H356" s="260"/>
      <c r="I356" s="260"/>
      <c r="J356" s="260"/>
      <c r="K356" s="259"/>
      <c r="L356" s="259"/>
    </row>
    <row r="357" spans="5:12" ht="15.75" customHeight="1" x14ac:dyDescent="0.25">
      <c r="E357" s="260"/>
      <c r="F357" s="260"/>
      <c r="G357" s="260"/>
      <c r="H357" s="260"/>
      <c r="I357" s="260"/>
      <c r="J357" s="260"/>
      <c r="K357" s="259"/>
      <c r="L357" s="259"/>
    </row>
    <row r="358" spans="5:12" ht="15.75" customHeight="1" x14ac:dyDescent="0.25">
      <c r="E358" s="260"/>
      <c r="F358" s="260"/>
      <c r="G358" s="260"/>
      <c r="H358" s="260"/>
      <c r="I358" s="260"/>
      <c r="J358" s="260"/>
      <c r="K358" s="259"/>
      <c r="L358" s="259"/>
    </row>
    <row r="359" spans="5:12" ht="15.75" customHeight="1" x14ac:dyDescent="0.25">
      <c r="E359" s="260"/>
      <c r="F359" s="260"/>
      <c r="G359" s="260"/>
      <c r="H359" s="260"/>
      <c r="I359" s="260"/>
      <c r="J359" s="260"/>
      <c r="K359" s="259"/>
      <c r="L359" s="259"/>
    </row>
    <row r="360" spans="5:12" ht="15.75" customHeight="1" x14ac:dyDescent="0.25">
      <c r="E360" s="260"/>
      <c r="F360" s="260"/>
      <c r="G360" s="260"/>
      <c r="H360" s="260"/>
      <c r="I360" s="260"/>
      <c r="J360" s="260"/>
      <c r="K360" s="259"/>
      <c r="L360" s="259"/>
    </row>
    <row r="361" spans="5:12" ht="15.75" customHeight="1" x14ac:dyDescent="0.25">
      <c r="E361" s="260"/>
      <c r="F361" s="260"/>
      <c r="G361" s="260"/>
      <c r="H361" s="260"/>
      <c r="I361" s="260"/>
      <c r="J361" s="260"/>
      <c r="K361" s="259"/>
      <c r="L361" s="259"/>
    </row>
    <row r="362" spans="5:12" ht="15.75" customHeight="1" x14ac:dyDescent="0.25">
      <c r="E362" s="260"/>
      <c r="F362" s="260"/>
      <c r="G362" s="260"/>
      <c r="H362" s="260"/>
      <c r="I362" s="260"/>
      <c r="J362" s="260"/>
      <c r="K362" s="259"/>
      <c r="L362" s="259"/>
    </row>
    <row r="363" spans="5:12" ht="15.75" customHeight="1" x14ac:dyDescent="0.25">
      <c r="E363" s="260"/>
      <c r="F363" s="260"/>
      <c r="G363" s="260"/>
      <c r="H363" s="260"/>
      <c r="I363" s="260"/>
      <c r="J363" s="260"/>
      <c r="K363" s="259"/>
      <c r="L363" s="259"/>
    </row>
    <row r="364" spans="5:12" ht="15.75" customHeight="1" x14ac:dyDescent="0.25">
      <c r="E364" s="260"/>
      <c r="F364" s="260"/>
      <c r="G364" s="260"/>
      <c r="H364" s="260"/>
      <c r="I364" s="260"/>
      <c r="J364" s="260"/>
      <c r="K364" s="259"/>
      <c r="L364" s="259"/>
    </row>
    <row r="365" spans="5:12" ht="15.75" customHeight="1" x14ac:dyDescent="0.25">
      <c r="E365" s="260"/>
      <c r="F365" s="260"/>
      <c r="G365" s="260"/>
      <c r="H365" s="260"/>
      <c r="I365" s="260"/>
      <c r="J365" s="260"/>
      <c r="K365" s="259"/>
      <c r="L365" s="259"/>
    </row>
    <row r="366" spans="5:12" ht="15.75" customHeight="1" x14ac:dyDescent="0.25">
      <c r="E366" s="260"/>
      <c r="F366" s="260"/>
      <c r="G366" s="260"/>
      <c r="H366" s="260"/>
      <c r="I366" s="260"/>
      <c r="J366" s="260"/>
      <c r="K366" s="259"/>
      <c r="L366" s="259"/>
    </row>
    <row r="367" spans="5:12" ht="15.75" customHeight="1" x14ac:dyDescent="0.25">
      <c r="E367" s="260"/>
      <c r="F367" s="260"/>
      <c r="G367" s="260"/>
      <c r="H367" s="260"/>
      <c r="I367" s="260"/>
      <c r="J367" s="260"/>
      <c r="K367" s="259"/>
      <c r="L367" s="259"/>
    </row>
    <row r="368" spans="5:12" ht="15.75" customHeight="1" x14ac:dyDescent="0.25">
      <c r="E368" s="260"/>
      <c r="F368" s="260"/>
      <c r="G368" s="260"/>
      <c r="H368" s="260"/>
      <c r="I368" s="260"/>
      <c r="J368" s="260"/>
      <c r="K368" s="259"/>
      <c r="L368" s="259"/>
    </row>
    <row r="369" spans="5:12" ht="15.75" customHeight="1" x14ac:dyDescent="0.25">
      <c r="E369" s="260"/>
      <c r="F369" s="260"/>
      <c r="G369" s="260"/>
      <c r="H369" s="260"/>
      <c r="I369" s="260"/>
      <c r="J369" s="260"/>
      <c r="K369" s="259"/>
      <c r="L369" s="259"/>
    </row>
    <row r="370" spans="5:12" ht="15.75" customHeight="1" x14ac:dyDescent="0.25">
      <c r="E370" s="260"/>
      <c r="F370" s="260"/>
      <c r="G370" s="260"/>
      <c r="H370" s="260"/>
      <c r="I370" s="260"/>
      <c r="J370" s="260"/>
      <c r="K370" s="259"/>
      <c r="L370" s="259"/>
    </row>
    <row r="371" spans="5:12" ht="15.75" customHeight="1" x14ac:dyDescent="0.25">
      <c r="E371" s="260"/>
      <c r="F371" s="260"/>
      <c r="G371" s="260"/>
      <c r="H371" s="260"/>
      <c r="I371" s="260"/>
      <c r="J371" s="260"/>
      <c r="K371" s="259"/>
      <c r="L371" s="259"/>
    </row>
    <row r="372" spans="5:12" ht="15.75" customHeight="1" x14ac:dyDescent="0.25">
      <c r="E372" s="260"/>
      <c r="F372" s="260"/>
      <c r="G372" s="260"/>
      <c r="H372" s="260"/>
      <c r="I372" s="260"/>
      <c r="J372" s="260"/>
      <c r="K372" s="259"/>
      <c r="L372" s="259"/>
    </row>
    <row r="373" spans="5:12" ht="15.75" customHeight="1" x14ac:dyDescent="0.25">
      <c r="E373" s="260"/>
      <c r="F373" s="260"/>
      <c r="G373" s="260"/>
      <c r="H373" s="260"/>
      <c r="I373" s="260"/>
      <c r="J373" s="260"/>
      <c r="K373" s="259"/>
      <c r="L373" s="259"/>
    </row>
    <row r="374" spans="5:12" ht="15.75" customHeight="1" x14ac:dyDescent="0.25">
      <c r="E374" s="260"/>
      <c r="F374" s="260"/>
      <c r="G374" s="260"/>
      <c r="H374" s="260"/>
      <c r="I374" s="260"/>
      <c r="J374" s="260"/>
      <c r="K374" s="259"/>
      <c r="L374" s="259"/>
    </row>
    <row r="375" spans="5:12" ht="15.75" customHeight="1" x14ac:dyDescent="0.25">
      <c r="E375" s="260"/>
      <c r="F375" s="260"/>
      <c r="G375" s="260"/>
      <c r="H375" s="260"/>
      <c r="I375" s="260"/>
      <c r="J375" s="260"/>
      <c r="K375" s="259"/>
      <c r="L375" s="259"/>
    </row>
    <row r="376" spans="5:12" ht="15.75" customHeight="1" x14ac:dyDescent="0.25">
      <c r="E376" s="260"/>
      <c r="F376" s="260"/>
      <c r="G376" s="260"/>
      <c r="H376" s="260"/>
      <c r="I376" s="260"/>
      <c r="J376" s="260"/>
      <c r="K376" s="259"/>
      <c r="L376" s="259"/>
    </row>
    <row r="377" spans="5:12" ht="15.75" customHeight="1" x14ac:dyDescent="0.25">
      <c r="E377" s="260"/>
      <c r="F377" s="260"/>
      <c r="G377" s="260"/>
      <c r="H377" s="260"/>
      <c r="I377" s="260"/>
      <c r="J377" s="260"/>
      <c r="K377" s="259"/>
      <c r="L377" s="259"/>
    </row>
    <row r="378" spans="5:12" ht="15.75" customHeight="1" x14ac:dyDescent="0.25">
      <c r="E378" s="260"/>
      <c r="F378" s="260"/>
      <c r="G378" s="260"/>
      <c r="H378" s="260"/>
      <c r="I378" s="260"/>
      <c r="J378" s="260"/>
      <c r="K378" s="259"/>
      <c r="L378" s="259"/>
    </row>
    <row r="379" spans="5:12" ht="15.75" customHeight="1" x14ac:dyDescent="0.25">
      <c r="E379" s="260"/>
      <c r="F379" s="260"/>
      <c r="G379" s="260"/>
      <c r="H379" s="260"/>
      <c r="I379" s="260"/>
      <c r="J379" s="260"/>
      <c r="K379" s="259"/>
      <c r="L379" s="259"/>
    </row>
    <row r="380" spans="5:12" ht="15.75" customHeight="1" x14ac:dyDescent="0.25">
      <c r="E380" s="260"/>
      <c r="F380" s="260"/>
      <c r="G380" s="260"/>
      <c r="H380" s="260"/>
      <c r="I380" s="260"/>
      <c r="J380" s="260"/>
      <c r="K380" s="259"/>
      <c r="L380" s="259"/>
    </row>
    <row r="381" spans="5:12" ht="15.75" customHeight="1" x14ac:dyDescent="0.25">
      <c r="E381" s="260"/>
      <c r="F381" s="260"/>
      <c r="G381" s="260"/>
      <c r="H381" s="260"/>
      <c r="I381" s="260"/>
      <c r="J381" s="260"/>
      <c r="K381" s="259"/>
      <c r="L381" s="259"/>
    </row>
    <row r="382" spans="5:12" ht="15.75" customHeight="1" x14ac:dyDescent="0.25">
      <c r="E382" s="260"/>
      <c r="F382" s="260"/>
      <c r="G382" s="260"/>
      <c r="H382" s="260"/>
      <c r="I382" s="260"/>
      <c r="J382" s="260"/>
      <c r="K382" s="259"/>
      <c r="L382" s="259"/>
    </row>
    <row r="383" spans="5:12" ht="15.75" customHeight="1" x14ac:dyDescent="0.25">
      <c r="E383" s="260"/>
      <c r="F383" s="260"/>
      <c r="G383" s="260"/>
      <c r="H383" s="260"/>
      <c r="I383" s="260"/>
      <c r="J383" s="260"/>
      <c r="K383" s="259"/>
      <c r="L383" s="259"/>
    </row>
    <row r="384" spans="5:12" ht="15.75" customHeight="1" x14ac:dyDescent="0.25">
      <c r="E384" s="260"/>
      <c r="F384" s="260"/>
      <c r="G384" s="260"/>
      <c r="H384" s="260"/>
      <c r="I384" s="260"/>
      <c r="J384" s="260"/>
      <c r="K384" s="259"/>
      <c r="L384" s="259"/>
    </row>
    <row r="385" spans="5:12" ht="15.75" customHeight="1" x14ac:dyDescent="0.25">
      <c r="E385" s="260"/>
      <c r="F385" s="260"/>
      <c r="G385" s="260"/>
      <c r="H385" s="260"/>
      <c r="I385" s="260"/>
      <c r="J385" s="260"/>
      <c r="K385" s="259"/>
      <c r="L385" s="259"/>
    </row>
    <row r="386" spans="5:12" ht="15.75" customHeight="1" x14ac:dyDescent="0.25">
      <c r="E386" s="260"/>
      <c r="F386" s="260"/>
      <c r="G386" s="260"/>
      <c r="H386" s="260"/>
      <c r="I386" s="260"/>
      <c r="J386" s="260"/>
      <c r="K386" s="259"/>
      <c r="L386" s="259"/>
    </row>
    <row r="387" spans="5:12" ht="15.75" customHeight="1" x14ac:dyDescent="0.25">
      <c r="E387" s="260"/>
      <c r="F387" s="260"/>
      <c r="G387" s="260"/>
      <c r="H387" s="260"/>
      <c r="I387" s="260"/>
      <c r="J387" s="260"/>
      <c r="K387" s="259"/>
      <c r="L387" s="259"/>
    </row>
    <row r="388" spans="5:12" ht="15.75" customHeight="1" x14ac:dyDescent="0.25">
      <c r="E388" s="260"/>
      <c r="F388" s="260"/>
      <c r="G388" s="260"/>
      <c r="H388" s="260"/>
      <c r="I388" s="260"/>
      <c r="J388" s="260"/>
      <c r="K388" s="259"/>
      <c r="L388" s="259"/>
    </row>
    <row r="389" spans="5:12" ht="15.75" customHeight="1" x14ac:dyDescent="0.25">
      <c r="E389" s="260"/>
      <c r="F389" s="260"/>
      <c r="G389" s="260"/>
      <c r="H389" s="260"/>
      <c r="I389" s="260"/>
      <c r="J389" s="260"/>
      <c r="K389" s="259"/>
      <c r="L389" s="259"/>
    </row>
    <row r="390" spans="5:12" ht="15.75" customHeight="1" x14ac:dyDescent="0.25">
      <c r="E390" s="260"/>
      <c r="F390" s="260"/>
      <c r="G390" s="260"/>
      <c r="H390" s="260"/>
      <c r="I390" s="260"/>
      <c r="J390" s="260"/>
      <c r="K390" s="259"/>
      <c r="L390" s="259"/>
    </row>
    <row r="391" spans="5:12" ht="15.75" customHeight="1" x14ac:dyDescent="0.25">
      <c r="E391" s="260"/>
      <c r="F391" s="260"/>
      <c r="G391" s="260"/>
      <c r="H391" s="260"/>
      <c r="I391" s="260"/>
      <c r="J391" s="260"/>
      <c r="K391" s="259"/>
      <c r="L391" s="259"/>
    </row>
    <row r="392" spans="5:12" ht="15.75" customHeight="1" x14ac:dyDescent="0.25">
      <c r="E392" s="260"/>
      <c r="F392" s="260"/>
      <c r="G392" s="260"/>
      <c r="H392" s="260"/>
      <c r="I392" s="260"/>
      <c r="J392" s="260"/>
      <c r="K392" s="259"/>
      <c r="L392" s="259"/>
    </row>
    <row r="393" spans="5:12" ht="15.75" customHeight="1" x14ac:dyDescent="0.25">
      <c r="E393" s="260"/>
      <c r="F393" s="260"/>
      <c r="G393" s="260"/>
      <c r="H393" s="260"/>
      <c r="I393" s="260"/>
      <c r="J393" s="260"/>
      <c r="K393" s="259"/>
      <c r="L393" s="259"/>
    </row>
    <row r="394" spans="5:12" ht="15.75" customHeight="1" x14ac:dyDescent="0.25">
      <c r="E394" s="260"/>
      <c r="F394" s="260"/>
      <c r="G394" s="260"/>
      <c r="H394" s="260"/>
      <c r="I394" s="260"/>
      <c r="J394" s="260"/>
      <c r="K394" s="259"/>
      <c r="L394" s="259"/>
    </row>
    <row r="395" spans="5:12" ht="15.75" customHeight="1" x14ac:dyDescent="0.25">
      <c r="E395" s="260"/>
      <c r="F395" s="260"/>
      <c r="G395" s="260"/>
      <c r="H395" s="260"/>
      <c r="I395" s="260"/>
      <c r="J395" s="260"/>
      <c r="K395" s="259"/>
      <c r="L395" s="259"/>
    </row>
    <row r="396" spans="5:12" ht="15.75" customHeight="1" x14ac:dyDescent="0.25">
      <c r="E396" s="260"/>
      <c r="F396" s="260"/>
      <c r="G396" s="260"/>
      <c r="H396" s="260"/>
      <c r="I396" s="260"/>
      <c r="J396" s="260"/>
      <c r="K396" s="259"/>
      <c r="L396" s="259"/>
    </row>
    <row r="397" spans="5:12" ht="15.75" customHeight="1" x14ac:dyDescent="0.25">
      <c r="E397" s="260"/>
      <c r="F397" s="260"/>
      <c r="G397" s="260"/>
      <c r="H397" s="260"/>
      <c r="I397" s="260"/>
      <c r="J397" s="260"/>
      <c r="K397" s="259"/>
      <c r="L397" s="259"/>
    </row>
    <row r="398" spans="5:12" ht="15.75" customHeight="1" x14ac:dyDescent="0.25">
      <c r="E398" s="260"/>
      <c r="F398" s="260"/>
      <c r="G398" s="260"/>
      <c r="H398" s="260"/>
      <c r="I398" s="260"/>
      <c r="J398" s="260"/>
      <c r="K398" s="259"/>
      <c r="L398" s="259"/>
    </row>
    <row r="399" spans="5:12" ht="15.75" customHeight="1" x14ac:dyDescent="0.25">
      <c r="E399" s="260"/>
      <c r="F399" s="260"/>
      <c r="G399" s="260"/>
      <c r="H399" s="260"/>
      <c r="I399" s="260"/>
      <c r="J399" s="260"/>
      <c r="K399" s="259"/>
      <c r="L399" s="259"/>
    </row>
    <row r="400" spans="5:12" ht="15.75" customHeight="1" x14ac:dyDescent="0.25">
      <c r="E400" s="260"/>
      <c r="F400" s="260"/>
      <c r="G400" s="260"/>
      <c r="H400" s="260"/>
      <c r="I400" s="260"/>
      <c r="J400" s="260"/>
      <c r="K400" s="259"/>
      <c r="L400" s="259"/>
    </row>
    <row r="401" spans="5:12" ht="15.75" customHeight="1" x14ac:dyDescent="0.25">
      <c r="E401" s="260"/>
      <c r="F401" s="260"/>
      <c r="G401" s="260"/>
      <c r="H401" s="260"/>
      <c r="I401" s="260"/>
      <c r="J401" s="260"/>
      <c r="K401" s="259"/>
      <c r="L401" s="259"/>
    </row>
    <row r="402" spans="5:12" ht="15.75" customHeight="1" x14ac:dyDescent="0.25">
      <c r="E402" s="260"/>
      <c r="F402" s="260"/>
      <c r="G402" s="260"/>
      <c r="H402" s="260"/>
      <c r="I402" s="260"/>
      <c r="J402" s="260"/>
      <c r="K402" s="259"/>
      <c r="L402" s="259"/>
    </row>
    <row r="403" spans="5:12" ht="15.75" customHeight="1" x14ac:dyDescent="0.25">
      <c r="E403" s="260"/>
      <c r="F403" s="260"/>
      <c r="G403" s="260"/>
      <c r="H403" s="260"/>
      <c r="I403" s="260"/>
      <c r="J403" s="260"/>
      <c r="K403" s="259"/>
      <c r="L403" s="259"/>
    </row>
    <row r="404" spans="5:12" ht="15.75" customHeight="1" x14ac:dyDescent="0.25">
      <c r="E404" s="260"/>
      <c r="F404" s="260"/>
      <c r="G404" s="260"/>
      <c r="H404" s="260"/>
      <c r="I404" s="260"/>
      <c r="J404" s="260"/>
      <c r="K404" s="259"/>
      <c r="L404" s="259"/>
    </row>
    <row r="405" spans="5:12" ht="15.75" customHeight="1" x14ac:dyDescent="0.25">
      <c r="E405" s="260"/>
      <c r="F405" s="260"/>
      <c r="G405" s="260"/>
      <c r="H405" s="260"/>
      <c r="I405" s="260"/>
      <c r="J405" s="260"/>
      <c r="K405" s="259"/>
      <c r="L405" s="259"/>
    </row>
    <row r="406" spans="5:12" ht="15.75" customHeight="1" x14ac:dyDescent="0.25">
      <c r="E406" s="260"/>
      <c r="F406" s="260"/>
      <c r="G406" s="260"/>
      <c r="H406" s="260"/>
      <c r="I406" s="260"/>
      <c r="J406" s="260"/>
      <c r="K406" s="259"/>
      <c r="L406" s="259"/>
    </row>
    <row r="407" spans="5:12" ht="15.75" customHeight="1" x14ac:dyDescent="0.25">
      <c r="E407" s="260"/>
      <c r="F407" s="260"/>
      <c r="G407" s="260"/>
      <c r="H407" s="260"/>
      <c r="I407" s="260"/>
      <c r="J407" s="260"/>
      <c r="K407" s="259"/>
      <c r="L407" s="259"/>
    </row>
    <row r="408" spans="5:12" ht="15.75" customHeight="1" x14ac:dyDescent="0.25">
      <c r="E408" s="260"/>
      <c r="F408" s="260"/>
      <c r="G408" s="260"/>
      <c r="H408" s="260"/>
      <c r="I408" s="260"/>
      <c r="J408" s="260"/>
      <c r="K408" s="259"/>
      <c r="L408" s="259"/>
    </row>
    <row r="409" spans="5:12" ht="15.75" customHeight="1" x14ac:dyDescent="0.25">
      <c r="E409" s="260"/>
      <c r="F409" s="260"/>
      <c r="G409" s="260"/>
      <c r="H409" s="260"/>
      <c r="I409" s="260"/>
      <c r="J409" s="260"/>
      <c r="K409" s="259"/>
      <c r="L409" s="259"/>
    </row>
    <row r="410" spans="5:12" ht="15.75" customHeight="1" x14ac:dyDescent="0.25">
      <c r="E410" s="260"/>
      <c r="F410" s="260"/>
      <c r="G410" s="260"/>
      <c r="H410" s="260"/>
      <c r="I410" s="260"/>
      <c r="J410" s="260"/>
      <c r="K410" s="259"/>
      <c r="L410" s="259"/>
    </row>
    <row r="411" spans="5:12" ht="15.75" customHeight="1" x14ac:dyDescent="0.25">
      <c r="E411" s="260"/>
      <c r="F411" s="260"/>
      <c r="G411" s="260"/>
      <c r="H411" s="260"/>
      <c r="I411" s="260"/>
      <c r="J411" s="260"/>
      <c r="K411" s="259"/>
      <c r="L411" s="259"/>
    </row>
    <row r="412" spans="5:12" ht="15.75" customHeight="1" x14ac:dyDescent="0.25">
      <c r="E412" s="260"/>
      <c r="F412" s="260"/>
      <c r="G412" s="260"/>
      <c r="H412" s="260"/>
      <c r="I412" s="260"/>
      <c r="J412" s="260"/>
      <c r="K412" s="259"/>
      <c r="L412" s="259"/>
    </row>
    <row r="413" spans="5:12" ht="15.75" customHeight="1" x14ac:dyDescent="0.25">
      <c r="E413" s="260"/>
      <c r="F413" s="260"/>
      <c r="G413" s="260"/>
      <c r="H413" s="260"/>
      <c r="I413" s="260"/>
      <c r="J413" s="260"/>
      <c r="K413" s="259"/>
      <c r="L413" s="259"/>
    </row>
    <row r="414" spans="5:12" ht="15.75" customHeight="1" x14ac:dyDescent="0.25">
      <c r="E414" s="260"/>
      <c r="F414" s="260"/>
      <c r="G414" s="260"/>
      <c r="H414" s="260"/>
      <c r="I414" s="260"/>
      <c r="J414" s="260"/>
      <c r="K414" s="259"/>
      <c r="L414" s="259"/>
    </row>
    <row r="415" spans="5:12" ht="15.75" customHeight="1" x14ac:dyDescent="0.25">
      <c r="E415" s="260"/>
      <c r="F415" s="260"/>
      <c r="G415" s="260"/>
      <c r="H415" s="260"/>
      <c r="I415" s="260"/>
      <c r="J415" s="260"/>
      <c r="K415" s="259"/>
      <c r="L415" s="259"/>
    </row>
    <row r="416" spans="5:12" ht="15.75" customHeight="1" x14ac:dyDescent="0.25">
      <c r="E416" s="260"/>
      <c r="F416" s="260"/>
      <c r="G416" s="260"/>
      <c r="H416" s="260"/>
      <c r="I416" s="260"/>
      <c r="J416" s="260"/>
      <c r="K416" s="259"/>
      <c r="L416" s="259"/>
    </row>
    <row r="417" spans="5:12" ht="15.75" customHeight="1" x14ac:dyDescent="0.25">
      <c r="E417" s="260"/>
      <c r="F417" s="260"/>
      <c r="G417" s="260"/>
      <c r="H417" s="260"/>
      <c r="I417" s="260"/>
      <c r="J417" s="260"/>
      <c r="K417" s="259"/>
      <c r="L417" s="259"/>
    </row>
    <row r="418" spans="5:12" ht="15.75" customHeight="1" x14ac:dyDescent="0.25">
      <c r="E418" s="260"/>
      <c r="F418" s="260"/>
      <c r="G418" s="260"/>
      <c r="H418" s="260"/>
      <c r="I418" s="260"/>
      <c r="J418" s="260"/>
      <c r="K418" s="259"/>
      <c r="L418" s="259"/>
    </row>
    <row r="419" spans="5:12" ht="15.75" customHeight="1" x14ac:dyDescent="0.25">
      <c r="E419" s="260"/>
      <c r="F419" s="260"/>
      <c r="G419" s="260"/>
      <c r="H419" s="260"/>
      <c r="I419" s="260"/>
      <c r="J419" s="260"/>
      <c r="K419" s="259"/>
      <c r="L419" s="259"/>
    </row>
    <row r="420" spans="5:12" ht="15.75" customHeight="1" x14ac:dyDescent="0.25">
      <c r="E420" s="260"/>
      <c r="F420" s="260"/>
      <c r="G420" s="260"/>
      <c r="H420" s="260"/>
      <c r="I420" s="260"/>
      <c r="J420" s="260"/>
      <c r="K420" s="259"/>
      <c r="L420" s="259"/>
    </row>
    <row r="421" spans="5:12" ht="15.75" customHeight="1" x14ac:dyDescent="0.25">
      <c r="E421" s="260"/>
      <c r="F421" s="260"/>
      <c r="G421" s="260"/>
      <c r="H421" s="260"/>
      <c r="I421" s="260"/>
      <c r="J421" s="260"/>
      <c r="K421" s="259"/>
      <c r="L421" s="259"/>
    </row>
    <row r="422" spans="5:12" ht="15.75" customHeight="1" x14ac:dyDescent="0.25">
      <c r="E422" s="260"/>
      <c r="F422" s="260"/>
      <c r="G422" s="260"/>
      <c r="H422" s="260"/>
      <c r="I422" s="260"/>
      <c r="J422" s="260"/>
      <c r="K422" s="259"/>
      <c r="L422" s="259"/>
    </row>
    <row r="423" spans="5:12" ht="15.75" customHeight="1" x14ac:dyDescent="0.25">
      <c r="E423" s="260"/>
      <c r="F423" s="260"/>
      <c r="G423" s="260"/>
      <c r="H423" s="260"/>
      <c r="I423" s="260"/>
      <c r="J423" s="260"/>
      <c r="K423" s="259"/>
      <c r="L423" s="259"/>
    </row>
    <row r="424" spans="5:12" ht="15.75" customHeight="1" x14ac:dyDescent="0.25">
      <c r="E424" s="260"/>
      <c r="F424" s="260"/>
      <c r="G424" s="260"/>
      <c r="H424" s="260"/>
      <c r="I424" s="260"/>
      <c r="J424" s="260"/>
      <c r="K424" s="259"/>
      <c r="L424" s="259"/>
    </row>
    <row r="425" spans="5:12" ht="15.75" customHeight="1" x14ac:dyDescent="0.25">
      <c r="E425" s="260"/>
      <c r="F425" s="260"/>
      <c r="G425" s="260"/>
      <c r="H425" s="260"/>
      <c r="I425" s="260"/>
      <c r="J425" s="260"/>
      <c r="K425" s="259"/>
      <c r="L425" s="259"/>
    </row>
    <row r="426" spans="5:12" ht="15.75" customHeight="1" x14ac:dyDescent="0.25">
      <c r="E426" s="260"/>
      <c r="F426" s="260"/>
      <c r="G426" s="260"/>
      <c r="H426" s="260"/>
      <c r="I426" s="260"/>
      <c r="J426" s="260"/>
      <c r="K426" s="259"/>
      <c r="L426" s="259"/>
    </row>
    <row r="427" spans="5:12" ht="15.75" customHeight="1" x14ac:dyDescent="0.25">
      <c r="E427" s="260"/>
      <c r="F427" s="260"/>
      <c r="G427" s="260"/>
      <c r="H427" s="260"/>
      <c r="I427" s="260"/>
      <c r="J427" s="260"/>
      <c r="K427" s="259"/>
      <c r="L427" s="259"/>
    </row>
    <row r="428" spans="5:12" ht="15.75" customHeight="1" x14ac:dyDescent="0.25">
      <c r="E428" s="260"/>
      <c r="F428" s="260"/>
      <c r="G428" s="260"/>
      <c r="H428" s="260"/>
      <c r="I428" s="260"/>
      <c r="J428" s="260"/>
      <c r="K428" s="259"/>
      <c r="L428" s="259"/>
    </row>
    <row r="429" spans="5:12" ht="15.75" customHeight="1" x14ac:dyDescent="0.25">
      <c r="E429" s="260"/>
      <c r="F429" s="260"/>
      <c r="G429" s="260"/>
      <c r="H429" s="260"/>
      <c r="I429" s="260"/>
      <c r="J429" s="260"/>
      <c r="K429" s="259"/>
      <c r="L429" s="259"/>
    </row>
    <row r="430" spans="5:12" ht="15.75" customHeight="1" x14ac:dyDescent="0.25">
      <c r="E430" s="260"/>
      <c r="F430" s="260"/>
      <c r="G430" s="260"/>
      <c r="H430" s="260"/>
      <c r="I430" s="260"/>
      <c r="J430" s="260"/>
      <c r="K430" s="259"/>
      <c r="L430" s="259"/>
    </row>
    <row r="431" spans="5:12" ht="15.75" customHeight="1" x14ac:dyDescent="0.25">
      <c r="E431" s="260"/>
      <c r="F431" s="260"/>
      <c r="G431" s="260"/>
      <c r="H431" s="260"/>
      <c r="I431" s="260"/>
      <c r="J431" s="260"/>
      <c r="K431" s="259"/>
      <c r="L431" s="259"/>
    </row>
    <row r="432" spans="5:12" ht="15.75" customHeight="1" x14ac:dyDescent="0.25">
      <c r="E432" s="260"/>
      <c r="F432" s="260"/>
      <c r="G432" s="260"/>
      <c r="H432" s="260"/>
      <c r="I432" s="260"/>
      <c r="J432" s="260"/>
      <c r="K432" s="259"/>
      <c r="L432" s="259"/>
    </row>
    <row r="433" spans="5:12" ht="15.75" customHeight="1" x14ac:dyDescent="0.25">
      <c r="E433" s="260"/>
      <c r="F433" s="260"/>
      <c r="G433" s="260"/>
      <c r="H433" s="260"/>
      <c r="I433" s="260"/>
      <c r="J433" s="260"/>
      <c r="K433" s="259"/>
      <c r="L433" s="259"/>
    </row>
    <row r="434" spans="5:12" ht="15.75" customHeight="1" x14ac:dyDescent="0.25">
      <c r="E434" s="260"/>
      <c r="F434" s="260"/>
      <c r="G434" s="260"/>
      <c r="H434" s="260"/>
      <c r="I434" s="260"/>
      <c r="J434" s="260"/>
      <c r="K434" s="259"/>
      <c r="L434" s="259"/>
    </row>
    <row r="435" spans="5:12" ht="15.75" customHeight="1" x14ac:dyDescent="0.25">
      <c r="E435" s="260"/>
      <c r="F435" s="260"/>
      <c r="G435" s="260"/>
      <c r="H435" s="260"/>
      <c r="I435" s="260"/>
      <c r="J435" s="260"/>
      <c r="K435" s="259"/>
      <c r="L435" s="259"/>
    </row>
    <row r="436" spans="5:12" ht="15.75" customHeight="1" x14ac:dyDescent="0.25">
      <c r="E436" s="260"/>
      <c r="F436" s="260"/>
      <c r="G436" s="260"/>
      <c r="H436" s="260"/>
      <c r="I436" s="260"/>
      <c r="J436" s="260"/>
      <c r="K436" s="259"/>
      <c r="L436" s="259"/>
    </row>
    <row r="437" spans="5:12" ht="15.75" customHeight="1" x14ac:dyDescent="0.25">
      <c r="E437" s="260"/>
      <c r="F437" s="260"/>
      <c r="G437" s="260"/>
      <c r="H437" s="260"/>
      <c r="I437" s="260"/>
      <c r="J437" s="260"/>
      <c r="K437" s="259"/>
      <c r="L437" s="259"/>
    </row>
    <row r="438" spans="5:12" ht="15.75" customHeight="1" x14ac:dyDescent="0.25">
      <c r="E438" s="260"/>
      <c r="F438" s="260"/>
      <c r="G438" s="260"/>
      <c r="H438" s="260"/>
      <c r="I438" s="260"/>
      <c r="J438" s="260"/>
      <c r="K438" s="259"/>
      <c r="L438" s="259"/>
    </row>
    <row r="439" spans="5:12" ht="15.75" customHeight="1" x14ac:dyDescent="0.25">
      <c r="E439" s="260"/>
      <c r="F439" s="260"/>
      <c r="G439" s="260"/>
      <c r="H439" s="260"/>
      <c r="I439" s="260"/>
      <c r="J439" s="260"/>
      <c r="K439" s="259"/>
      <c r="L439" s="259"/>
    </row>
    <row r="440" spans="5:12" ht="15.75" customHeight="1" x14ac:dyDescent="0.25">
      <c r="E440" s="260"/>
      <c r="F440" s="260"/>
      <c r="G440" s="260"/>
      <c r="H440" s="260"/>
      <c r="I440" s="260"/>
      <c r="J440" s="260"/>
      <c r="K440" s="259"/>
      <c r="L440" s="259"/>
    </row>
    <row r="441" spans="5:12" ht="15.75" customHeight="1" x14ac:dyDescent="0.25">
      <c r="E441" s="260"/>
      <c r="F441" s="260"/>
      <c r="G441" s="260"/>
      <c r="H441" s="260"/>
      <c r="I441" s="260"/>
      <c r="J441" s="260"/>
      <c r="K441" s="259"/>
      <c r="L441" s="259"/>
    </row>
    <row r="442" spans="5:12" ht="15.75" customHeight="1" x14ac:dyDescent="0.25">
      <c r="E442" s="260"/>
      <c r="F442" s="260"/>
      <c r="G442" s="260"/>
      <c r="H442" s="260"/>
      <c r="I442" s="260"/>
      <c r="J442" s="260"/>
      <c r="K442" s="259"/>
      <c r="L442" s="259"/>
    </row>
    <row r="443" spans="5:12" ht="15.75" customHeight="1" x14ac:dyDescent="0.25">
      <c r="E443" s="260"/>
      <c r="F443" s="260"/>
      <c r="G443" s="260"/>
      <c r="H443" s="260"/>
      <c r="I443" s="260"/>
      <c r="J443" s="260"/>
      <c r="K443" s="259"/>
      <c r="L443" s="259"/>
    </row>
    <row r="444" spans="5:12" ht="15.75" customHeight="1" x14ac:dyDescent="0.25">
      <c r="E444" s="260"/>
      <c r="F444" s="260"/>
      <c r="G444" s="260"/>
      <c r="H444" s="260"/>
      <c r="I444" s="260"/>
      <c r="J444" s="260"/>
      <c r="K444" s="259"/>
      <c r="L444" s="259"/>
    </row>
    <row r="445" spans="5:12" ht="15.75" customHeight="1" x14ac:dyDescent="0.25">
      <c r="E445" s="260"/>
      <c r="F445" s="260"/>
      <c r="G445" s="260"/>
      <c r="H445" s="260"/>
      <c r="I445" s="260"/>
      <c r="J445" s="260"/>
      <c r="K445" s="259"/>
      <c r="L445" s="259"/>
    </row>
    <row r="446" spans="5:12" ht="15.75" customHeight="1" x14ac:dyDescent="0.25">
      <c r="E446" s="260"/>
      <c r="F446" s="260"/>
      <c r="G446" s="260"/>
      <c r="H446" s="260"/>
      <c r="I446" s="260"/>
      <c r="J446" s="260"/>
      <c r="K446" s="259"/>
      <c r="L446" s="259"/>
    </row>
    <row r="447" spans="5:12" ht="15.75" customHeight="1" x14ac:dyDescent="0.25">
      <c r="E447" s="260"/>
      <c r="F447" s="260"/>
      <c r="G447" s="260"/>
      <c r="H447" s="260"/>
      <c r="I447" s="260"/>
      <c r="J447" s="260"/>
      <c r="K447" s="259"/>
      <c r="L447" s="259"/>
    </row>
    <row r="448" spans="5:12" ht="15.75" customHeight="1" x14ac:dyDescent="0.25">
      <c r="E448" s="260"/>
      <c r="F448" s="260"/>
      <c r="G448" s="260"/>
      <c r="H448" s="260"/>
      <c r="I448" s="260"/>
      <c r="J448" s="260"/>
      <c r="K448" s="259"/>
      <c r="L448" s="259"/>
    </row>
    <row r="449" spans="5:12" ht="15.75" customHeight="1" x14ac:dyDescent="0.25">
      <c r="E449" s="260"/>
      <c r="F449" s="260"/>
      <c r="G449" s="260"/>
      <c r="H449" s="260"/>
      <c r="I449" s="260"/>
      <c r="J449" s="260"/>
      <c r="K449" s="259"/>
      <c r="L449" s="259"/>
    </row>
    <row r="450" spans="5:12" ht="15.75" customHeight="1" x14ac:dyDescent="0.25">
      <c r="E450" s="260"/>
      <c r="F450" s="260"/>
      <c r="G450" s="260"/>
      <c r="H450" s="260"/>
      <c r="I450" s="260"/>
      <c r="J450" s="260"/>
      <c r="K450" s="259"/>
      <c r="L450" s="259"/>
    </row>
    <row r="451" spans="5:12" ht="15.75" customHeight="1" x14ac:dyDescent="0.25">
      <c r="E451" s="260"/>
      <c r="F451" s="260"/>
      <c r="G451" s="260"/>
      <c r="H451" s="260"/>
      <c r="I451" s="260"/>
      <c r="J451" s="260"/>
      <c r="K451" s="259"/>
      <c r="L451" s="259"/>
    </row>
    <row r="452" spans="5:12" ht="15.75" customHeight="1" x14ac:dyDescent="0.25">
      <c r="E452" s="260"/>
      <c r="F452" s="260"/>
      <c r="G452" s="260"/>
      <c r="H452" s="260"/>
      <c r="I452" s="260"/>
      <c r="J452" s="260"/>
      <c r="K452" s="259"/>
      <c r="L452" s="259"/>
    </row>
    <row r="453" spans="5:12" ht="15.75" customHeight="1" x14ac:dyDescent="0.25">
      <c r="E453" s="260"/>
      <c r="F453" s="260"/>
      <c r="G453" s="260"/>
      <c r="H453" s="260"/>
      <c r="I453" s="260"/>
      <c r="J453" s="260"/>
      <c r="K453" s="259"/>
      <c r="L453" s="259"/>
    </row>
    <row r="454" spans="5:12" ht="15.75" customHeight="1" x14ac:dyDescent="0.25">
      <c r="E454" s="260"/>
      <c r="F454" s="260"/>
      <c r="G454" s="260"/>
      <c r="H454" s="260"/>
      <c r="I454" s="260"/>
      <c r="J454" s="260"/>
      <c r="K454" s="259"/>
      <c r="L454" s="259"/>
    </row>
    <row r="455" spans="5:12" ht="15.75" customHeight="1" x14ac:dyDescent="0.25">
      <c r="E455" s="260"/>
      <c r="F455" s="260"/>
      <c r="G455" s="260"/>
      <c r="H455" s="260"/>
      <c r="I455" s="260"/>
      <c r="J455" s="260"/>
      <c r="K455" s="259"/>
      <c r="L455" s="259"/>
    </row>
    <row r="456" spans="5:12" ht="15.75" customHeight="1" x14ac:dyDescent="0.25">
      <c r="E456" s="260"/>
      <c r="F456" s="260"/>
      <c r="G456" s="260"/>
      <c r="H456" s="260"/>
      <c r="I456" s="260"/>
      <c r="J456" s="260"/>
      <c r="K456" s="259"/>
      <c r="L456" s="259"/>
    </row>
    <row r="457" spans="5:12" ht="15.75" customHeight="1" x14ac:dyDescent="0.25">
      <c r="E457" s="260"/>
      <c r="F457" s="260"/>
      <c r="G457" s="260"/>
      <c r="H457" s="260"/>
      <c r="I457" s="260"/>
      <c r="J457" s="260"/>
      <c r="K457" s="259"/>
      <c r="L457" s="259"/>
    </row>
    <row r="458" spans="5:12" ht="15.75" customHeight="1" x14ac:dyDescent="0.25">
      <c r="E458" s="260"/>
      <c r="F458" s="260"/>
      <c r="G458" s="260"/>
      <c r="H458" s="260"/>
      <c r="I458" s="260"/>
      <c r="J458" s="260"/>
      <c r="K458" s="259"/>
      <c r="L458" s="259"/>
    </row>
    <row r="459" spans="5:12" ht="15.75" customHeight="1" x14ac:dyDescent="0.25">
      <c r="E459" s="260"/>
      <c r="F459" s="260"/>
      <c r="G459" s="260"/>
      <c r="H459" s="260"/>
      <c r="I459" s="260"/>
      <c r="J459" s="260"/>
      <c r="K459" s="259"/>
      <c r="L459" s="259"/>
    </row>
    <row r="460" spans="5:12" ht="15.75" customHeight="1" x14ac:dyDescent="0.25">
      <c r="E460" s="260"/>
      <c r="F460" s="260"/>
      <c r="G460" s="260"/>
      <c r="H460" s="260"/>
      <c r="I460" s="260"/>
      <c r="J460" s="260"/>
      <c r="K460" s="259"/>
      <c r="L460" s="259"/>
    </row>
    <row r="461" spans="5:12" ht="15.75" customHeight="1" x14ac:dyDescent="0.25">
      <c r="E461" s="260"/>
      <c r="F461" s="260"/>
      <c r="G461" s="260"/>
      <c r="H461" s="260"/>
      <c r="I461" s="260"/>
      <c r="J461" s="260"/>
      <c r="K461" s="259"/>
      <c r="L461" s="259"/>
    </row>
    <row r="462" spans="5:12" ht="15.75" customHeight="1" x14ac:dyDescent="0.25">
      <c r="E462" s="260"/>
      <c r="F462" s="260"/>
      <c r="G462" s="260"/>
      <c r="H462" s="260"/>
      <c r="I462" s="260"/>
      <c r="J462" s="260"/>
      <c r="K462" s="259"/>
      <c r="L462" s="259"/>
    </row>
    <row r="463" spans="5:12" ht="15.75" customHeight="1" x14ac:dyDescent="0.25">
      <c r="E463" s="260"/>
      <c r="F463" s="260"/>
      <c r="G463" s="260"/>
      <c r="H463" s="260"/>
      <c r="I463" s="260"/>
      <c r="J463" s="260"/>
      <c r="K463" s="259"/>
      <c r="L463" s="259"/>
    </row>
    <row r="464" spans="5:12" ht="15.75" customHeight="1" x14ac:dyDescent="0.25">
      <c r="E464" s="260"/>
      <c r="F464" s="260"/>
      <c r="G464" s="260"/>
      <c r="H464" s="260"/>
      <c r="I464" s="260"/>
      <c r="J464" s="260"/>
      <c r="K464" s="259"/>
      <c r="L464" s="259"/>
    </row>
    <row r="465" spans="5:12" ht="15.75" customHeight="1" x14ac:dyDescent="0.25">
      <c r="E465" s="260"/>
      <c r="F465" s="260"/>
      <c r="G465" s="260"/>
      <c r="H465" s="260"/>
      <c r="I465" s="260"/>
      <c r="J465" s="260"/>
      <c r="K465" s="259"/>
      <c r="L465" s="259"/>
    </row>
    <row r="466" spans="5:12" ht="15.75" customHeight="1" x14ac:dyDescent="0.25">
      <c r="E466" s="260"/>
      <c r="F466" s="260"/>
      <c r="G466" s="260"/>
      <c r="H466" s="260"/>
      <c r="I466" s="260"/>
      <c r="J466" s="260"/>
      <c r="K466" s="259"/>
      <c r="L466" s="259"/>
    </row>
    <row r="467" spans="5:12" ht="15.75" customHeight="1" x14ac:dyDescent="0.25">
      <c r="E467" s="260"/>
      <c r="F467" s="260"/>
      <c r="G467" s="260"/>
      <c r="H467" s="260"/>
      <c r="I467" s="260"/>
      <c r="J467" s="260"/>
      <c r="K467" s="259"/>
      <c r="L467" s="259"/>
    </row>
    <row r="468" spans="5:12" ht="15.75" customHeight="1" x14ac:dyDescent="0.25">
      <c r="E468" s="260"/>
      <c r="F468" s="260"/>
      <c r="G468" s="260"/>
      <c r="H468" s="260"/>
      <c r="I468" s="260"/>
      <c r="J468" s="260"/>
      <c r="K468" s="259"/>
      <c r="L468" s="259"/>
    </row>
    <row r="469" spans="5:12" ht="15.75" customHeight="1" x14ac:dyDescent="0.25">
      <c r="E469" s="260"/>
      <c r="F469" s="260"/>
      <c r="G469" s="260"/>
      <c r="H469" s="260"/>
      <c r="I469" s="260"/>
      <c r="J469" s="260"/>
      <c r="K469" s="259"/>
      <c r="L469" s="259"/>
    </row>
    <row r="470" spans="5:12" ht="15.75" customHeight="1" x14ac:dyDescent="0.25">
      <c r="E470" s="260"/>
      <c r="F470" s="260"/>
      <c r="G470" s="260"/>
      <c r="H470" s="260"/>
      <c r="I470" s="260"/>
      <c r="J470" s="260"/>
      <c r="K470" s="259"/>
      <c r="L470" s="259"/>
    </row>
    <row r="471" spans="5:12" ht="15.75" customHeight="1" x14ac:dyDescent="0.25">
      <c r="E471" s="260"/>
      <c r="F471" s="260"/>
      <c r="G471" s="260"/>
      <c r="H471" s="260"/>
      <c r="I471" s="260"/>
      <c r="J471" s="260"/>
      <c r="K471" s="259"/>
      <c r="L471" s="259"/>
    </row>
    <row r="472" spans="5:12" ht="15.75" customHeight="1" x14ac:dyDescent="0.25">
      <c r="E472" s="260"/>
      <c r="F472" s="260"/>
      <c r="G472" s="260"/>
      <c r="H472" s="260"/>
      <c r="I472" s="260"/>
      <c r="J472" s="260"/>
      <c r="K472" s="259"/>
      <c r="L472" s="259"/>
    </row>
    <row r="473" spans="5:12" ht="15.75" customHeight="1" x14ac:dyDescent="0.25">
      <c r="E473" s="260"/>
      <c r="F473" s="260"/>
      <c r="G473" s="260"/>
      <c r="H473" s="260"/>
      <c r="I473" s="260"/>
      <c r="J473" s="260"/>
      <c r="K473" s="259"/>
      <c r="L473" s="259"/>
    </row>
    <row r="474" spans="5:12" ht="15.75" customHeight="1" x14ac:dyDescent="0.25">
      <c r="E474" s="260"/>
      <c r="F474" s="260"/>
      <c r="G474" s="260"/>
      <c r="H474" s="260"/>
      <c r="I474" s="260"/>
      <c r="J474" s="260"/>
      <c r="K474" s="259"/>
      <c r="L474" s="259"/>
    </row>
    <row r="475" spans="5:12" ht="15.75" customHeight="1" x14ac:dyDescent="0.25">
      <c r="E475" s="260"/>
      <c r="F475" s="260"/>
      <c r="G475" s="260"/>
      <c r="H475" s="260"/>
      <c r="I475" s="260"/>
      <c r="J475" s="260"/>
      <c r="K475" s="259"/>
      <c r="L475" s="259"/>
    </row>
    <row r="476" spans="5:12" ht="15.75" customHeight="1" x14ac:dyDescent="0.25">
      <c r="E476" s="260"/>
      <c r="F476" s="260"/>
      <c r="G476" s="260"/>
      <c r="H476" s="260"/>
      <c r="I476" s="260"/>
      <c r="J476" s="260"/>
      <c r="K476" s="259"/>
      <c r="L476" s="259"/>
    </row>
    <row r="477" spans="5:12" ht="15.75" customHeight="1" x14ac:dyDescent="0.25">
      <c r="E477" s="260"/>
      <c r="F477" s="260"/>
      <c r="G477" s="260"/>
      <c r="H477" s="260"/>
      <c r="I477" s="260"/>
      <c r="J477" s="260"/>
      <c r="K477" s="259"/>
      <c r="L477" s="259"/>
    </row>
    <row r="478" spans="5:12" ht="15.75" customHeight="1" x14ac:dyDescent="0.25">
      <c r="E478" s="260"/>
      <c r="F478" s="260"/>
      <c r="G478" s="260"/>
      <c r="H478" s="260"/>
      <c r="I478" s="260"/>
      <c r="J478" s="260"/>
      <c r="K478" s="259"/>
      <c r="L478" s="259"/>
    </row>
    <row r="479" spans="5:12" ht="15.75" customHeight="1" x14ac:dyDescent="0.25">
      <c r="E479" s="260"/>
      <c r="F479" s="260"/>
      <c r="G479" s="260"/>
      <c r="H479" s="260"/>
      <c r="I479" s="260"/>
      <c r="J479" s="260"/>
      <c r="K479" s="259"/>
      <c r="L479" s="259"/>
    </row>
    <row r="480" spans="5:12" ht="15.75" customHeight="1" x14ac:dyDescent="0.25">
      <c r="E480" s="260"/>
      <c r="F480" s="260"/>
      <c r="G480" s="260"/>
      <c r="H480" s="260"/>
      <c r="I480" s="260"/>
      <c r="J480" s="260"/>
      <c r="K480" s="259"/>
      <c r="L480" s="259"/>
    </row>
    <row r="481" spans="5:12" ht="15.75" customHeight="1" x14ac:dyDescent="0.25">
      <c r="E481" s="260"/>
      <c r="F481" s="260"/>
      <c r="G481" s="260"/>
      <c r="H481" s="260"/>
      <c r="I481" s="260"/>
      <c r="J481" s="260"/>
      <c r="K481" s="259"/>
      <c r="L481" s="259"/>
    </row>
    <row r="482" spans="5:12" ht="15.75" customHeight="1" x14ac:dyDescent="0.25">
      <c r="E482" s="260"/>
      <c r="F482" s="260"/>
      <c r="G482" s="260"/>
      <c r="H482" s="260"/>
      <c r="I482" s="260"/>
      <c r="J482" s="260"/>
      <c r="K482" s="259"/>
      <c r="L482" s="259"/>
    </row>
    <row r="483" spans="5:12" ht="15.75" customHeight="1" x14ac:dyDescent="0.25">
      <c r="E483" s="260"/>
      <c r="F483" s="260"/>
      <c r="G483" s="260"/>
      <c r="H483" s="260"/>
      <c r="I483" s="260"/>
      <c r="J483" s="260"/>
      <c r="K483" s="259"/>
      <c r="L483" s="259"/>
    </row>
    <row r="484" spans="5:12" ht="15.75" customHeight="1" x14ac:dyDescent="0.25">
      <c r="E484" s="260"/>
      <c r="F484" s="260"/>
      <c r="G484" s="260"/>
      <c r="H484" s="260"/>
      <c r="I484" s="260"/>
      <c r="J484" s="260"/>
      <c r="K484" s="259"/>
      <c r="L484" s="259"/>
    </row>
    <row r="485" spans="5:12" ht="15.75" customHeight="1" x14ac:dyDescent="0.25">
      <c r="E485" s="260"/>
      <c r="F485" s="260"/>
      <c r="G485" s="260"/>
      <c r="H485" s="260"/>
      <c r="I485" s="260"/>
      <c r="J485" s="260"/>
      <c r="K485" s="259"/>
      <c r="L485" s="259"/>
    </row>
    <row r="486" spans="5:12" ht="15.75" customHeight="1" x14ac:dyDescent="0.25">
      <c r="E486" s="260"/>
      <c r="F486" s="260"/>
      <c r="G486" s="260"/>
      <c r="H486" s="260"/>
      <c r="I486" s="260"/>
      <c r="J486" s="260"/>
      <c r="K486" s="259"/>
      <c r="L486" s="259"/>
    </row>
    <row r="487" spans="5:12" ht="15.75" customHeight="1" x14ac:dyDescent="0.25">
      <c r="E487" s="260"/>
      <c r="F487" s="260"/>
      <c r="G487" s="260"/>
      <c r="H487" s="260"/>
      <c r="I487" s="260"/>
      <c r="J487" s="260"/>
      <c r="K487" s="259"/>
      <c r="L487" s="259"/>
    </row>
    <row r="488" spans="5:12" ht="15.75" customHeight="1" x14ac:dyDescent="0.25">
      <c r="E488" s="260"/>
      <c r="F488" s="260"/>
      <c r="G488" s="260"/>
      <c r="H488" s="260"/>
      <c r="I488" s="260"/>
      <c r="J488" s="260"/>
      <c r="K488" s="259"/>
      <c r="L488" s="259"/>
    </row>
    <row r="489" spans="5:12" ht="15.75" customHeight="1" x14ac:dyDescent="0.25">
      <c r="E489" s="260"/>
      <c r="F489" s="260"/>
      <c r="G489" s="260"/>
      <c r="H489" s="260"/>
      <c r="I489" s="260"/>
      <c r="J489" s="260"/>
      <c r="K489" s="259"/>
      <c r="L489" s="259"/>
    </row>
    <row r="490" spans="5:12" ht="15.75" customHeight="1" x14ac:dyDescent="0.25">
      <c r="E490" s="260"/>
      <c r="F490" s="260"/>
      <c r="G490" s="260"/>
      <c r="H490" s="260"/>
      <c r="I490" s="260"/>
      <c r="J490" s="260"/>
      <c r="K490" s="259"/>
      <c r="L490" s="259"/>
    </row>
    <row r="491" spans="5:12" ht="15.75" customHeight="1" x14ac:dyDescent="0.25">
      <c r="E491" s="260"/>
      <c r="F491" s="260"/>
      <c r="G491" s="260"/>
      <c r="H491" s="260"/>
      <c r="I491" s="260"/>
      <c r="J491" s="260"/>
      <c r="K491" s="259"/>
      <c r="L491" s="259"/>
    </row>
    <row r="492" spans="5:12" ht="15.75" customHeight="1" x14ac:dyDescent="0.25">
      <c r="E492" s="260"/>
      <c r="F492" s="260"/>
      <c r="G492" s="260"/>
      <c r="H492" s="260"/>
      <c r="I492" s="260"/>
      <c r="J492" s="260"/>
      <c r="K492" s="259"/>
      <c r="L492" s="259"/>
    </row>
    <row r="493" spans="5:12" ht="15.75" customHeight="1" x14ac:dyDescent="0.25">
      <c r="E493" s="260"/>
      <c r="F493" s="260"/>
      <c r="G493" s="260"/>
      <c r="H493" s="260"/>
      <c r="I493" s="260"/>
      <c r="J493" s="260"/>
      <c r="K493" s="259"/>
      <c r="L493" s="259"/>
    </row>
    <row r="494" spans="5:12" ht="15.75" customHeight="1" x14ac:dyDescent="0.25">
      <c r="E494" s="260"/>
      <c r="F494" s="260"/>
      <c r="G494" s="260"/>
      <c r="H494" s="260"/>
      <c r="I494" s="260"/>
      <c r="J494" s="260"/>
      <c r="K494" s="259"/>
      <c r="L494" s="259"/>
    </row>
    <row r="495" spans="5:12" ht="15.75" customHeight="1" x14ac:dyDescent="0.25">
      <c r="E495" s="260"/>
      <c r="F495" s="260"/>
      <c r="G495" s="260"/>
      <c r="H495" s="260"/>
      <c r="I495" s="260"/>
      <c r="J495" s="260"/>
      <c r="K495" s="259"/>
      <c r="L495" s="259"/>
    </row>
    <row r="496" spans="5:12" ht="15.75" customHeight="1" x14ac:dyDescent="0.25">
      <c r="E496" s="260"/>
      <c r="F496" s="260"/>
      <c r="G496" s="260"/>
      <c r="H496" s="260"/>
      <c r="I496" s="260"/>
      <c r="J496" s="260"/>
      <c r="K496" s="259"/>
      <c r="L496" s="259"/>
    </row>
    <row r="497" spans="5:12" ht="15.75" customHeight="1" x14ac:dyDescent="0.25">
      <c r="E497" s="260"/>
      <c r="F497" s="260"/>
      <c r="G497" s="260"/>
      <c r="H497" s="260"/>
      <c r="I497" s="260"/>
      <c r="J497" s="260"/>
      <c r="K497" s="259"/>
      <c r="L497" s="259"/>
    </row>
    <row r="498" spans="5:12" ht="15.75" customHeight="1" x14ac:dyDescent="0.25">
      <c r="E498" s="260"/>
      <c r="F498" s="260"/>
      <c r="G498" s="260"/>
      <c r="H498" s="260"/>
      <c r="I498" s="260"/>
      <c r="J498" s="260"/>
      <c r="K498" s="259"/>
      <c r="L498" s="259"/>
    </row>
    <row r="499" spans="5:12" ht="15.75" customHeight="1" x14ac:dyDescent="0.25">
      <c r="E499" s="260"/>
      <c r="F499" s="260"/>
      <c r="G499" s="260"/>
      <c r="H499" s="260"/>
      <c r="I499" s="260"/>
      <c r="J499" s="260"/>
      <c r="K499" s="259"/>
      <c r="L499" s="259"/>
    </row>
    <row r="500" spans="5:12" ht="15.75" customHeight="1" x14ac:dyDescent="0.25">
      <c r="E500" s="260"/>
      <c r="F500" s="260"/>
      <c r="G500" s="260"/>
      <c r="H500" s="260"/>
      <c r="I500" s="260"/>
      <c r="J500" s="260"/>
      <c r="K500" s="259"/>
      <c r="L500" s="259"/>
    </row>
    <row r="501" spans="5:12" ht="15.75" customHeight="1" x14ac:dyDescent="0.25">
      <c r="E501" s="260"/>
      <c r="F501" s="260"/>
      <c r="G501" s="260"/>
      <c r="H501" s="260"/>
      <c r="I501" s="260"/>
      <c r="J501" s="260"/>
      <c r="K501" s="259"/>
      <c r="L501" s="259"/>
    </row>
    <row r="502" spans="5:12" ht="15.75" customHeight="1" x14ac:dyDescent="0.25">
      <c r="E502" s="260"/>
      <c r="F502" s="260"/>
      <c r="G502" s="260"/>
      <c r="H502" s="260"/>
      <c r="I502" s="260"/>
      <c r="J502" s="260"/>
      <c r="K502" s="259"/>
      <c r="L502" s="259"/>
    </row>
    <row r="503" spans="5:12" ht="15.75" customHeight="1" x14ac:dyDescent="0.25">
      <c r="E503" s="260"/>
      <c r="F503" s="260"/>
      <c r="G503" s="260"/>
      <c r="H503" s="260"/>
      <c r="I503" s="260"/>
      <c r="J503" s="260"/>
      <c r="K503" s="259"/>
      <c r="L503" s="259"/>
    </row>
    <row r="504" spans="5:12" ht="15.75" customHeight="1" x14ac:dyDescent="0.25">
      <c r="E504" s="260"/>
      <c r="F504" s="260"/>
      <c r="G504" s="260"/>
      <c r="H504" s="260"/>
      <c r="I504" s="260"/>
      <c r="J504" s="260"/>
      <c r="K504" s="259"/>
      <c r="L504" s="259"/>
    </row>
    <row r="505" spans="5:12" ht="15.75" customHeight="1" x14ac:dyDescent="0.25">
      <c r="E505" s="260"/>
      <c r="F505" s="260"/>
      <c r="G505" s="260"/>
      <c r="H505" s="260"/>
      <c r="I505" s="260"/>
      <c r="J505" s="260"/>
      <c r="K505" s="259"/>
      <c r="L505" s="259"/>
    </row>
    <row r="506" spans="5:12" ht="15.75" customHeight="1" x14ac:dyDescent="0.25">
      <c r="E506" s="260"/>
      <c r="F506" s="260"/>
      <c r="G506" s="260"/>
      <c r="H506" s="260"/>
      <c r="I506" s="260"/>
      <c r="J506" s="260"/>
      <c r="K506" s="259"/>
      <c r="L506" s="259"/>
    </row>
    <row r="507" spans="5:12" ht="15.75" customHeight="1" x14ac:dyDescent="0.25">
      <c r="E507" s="260"/>
      <c r="F507" s="260"/>
      <c r="G507" s="260"/>
      <c r="H507" s="260"/>
      <c r="I507" s="260"/>
      <c r="J507" s="260"/>
      <c r="K507" s="259"/>
      <c r="L507" s="259"/>
    </row>
    <row r="508" spans="5:12" ht="15.75" customHeight="1" x14ac:dyDescent="0.25">
      <c r="E508" s="260"/>
      <c r="F508" s="260"/>
      <c r="G508" s="260"/>
      <c r="H508" s="260"/>
      <c r="I508" s="260"/>
      <c r="J508" s="260"/>
      <c r="K508" s="259"/>
      <c r="L508" s="259"/>
    </row>
    <row r="509" spans="5:12" ht="15.75" customHeight="1" x14ac:dyDescent="0.25">
      <c r="E509" s="260"/>
      <c r="F509" s="260"/>
      <c r="G509" s="260"/>
      <c r="H509" s="260"/>
      <c r="I509" s="260"/>
      <c r="J509" s="260"/>
      <c r="K509" s="259"/>
      <c r="L509" s="259"/>
    </row>
    <row r="510" spans="5:12" ht="15.75" customHeight="1" x14ac:dyDescent="0.25">
      <c r="E510" s="260"/>
      <c r="F510" s="260"/>
      <c r="G510" s="260"/>
      <c r="H510" s="260"/>
      <c r="I510" s="260"/>
      <c r="J510" s="260"/>
      <c r="K510" s="259"/>
      <c r="L510" s="259"/>
    </row>
    <row r="511" spans="5:12" ht="15.75" customHeight="1" x14ac:dyDescent="0.25">
      <c r="E511" s="260"/>
      <c r="F511" s="260"/>
      <c r="G511" s="260"/>
      <c r="H511" s="260"/>
      <c r="I511" s="260"/>
      <c r="J511" s="260"/>
      <c r="K511" s="259"/>
      <c r="L511" s="259"/>
    </row>
    <row r="512" spans="5:12" ht="15.75" customHeight="1" x14ac:dyDescent="0.25">
      <c r="E512" s="260"/>
      <c r="F512" s="260"/>
      <c r="G512" s="260"/>
      <c r="H512" s="260"/>
      <c r="I512" s="260"/>
      <c r="J512" s="260"/>
      <c r="K512" s="259"/>
      <c r="L512" s="259"/>
    </row>
    <row r="513" spans="5:12" ht="15.75" customHeight="1" x14ac:dyDescent="0.25">
      <c r="E513" s="260"/>
      <c r="F513" s="260"/>
      <c r="G513" s="260"/>
      <c r="H513" s="260"/>
      <c r="I513" s="260"/>
      <c r="J513" s="260"/>
      <c r="K513" s="259"/>
      <c r="L513" s="259"/>
    </row>
    <row r="514" spans="5:12" ht="15.75" customHeight="1" x14ac:dyDescent="0.25">
      <c r="E514" s="260"/>
      <c r="F514" s="260"/>
      <c r="G514" s="260"/>
      <c r="H514" s="260"/>
      <c r="I514" s="260"/>
      <c r="J514" s="260"/>
      <c r="K514" s="259"/>
      <c r="L514" s="259"/>
    </row>
    <row r="515" spans="5:12" ht="15.75" customHeight="1" x14ac:dyDescent="0.25">
      <c r="E515" s="260"/>
      <c r="F515" s="260"/>
      <c r="G515" s="260"/>
      <c r="H515" s="260"/>
      <c r="I515" s="260"/>
      <c r="J515" s="260"/>
      <c r="K515" s="259"/>
      <c r="L515" s="259"/>
    </row>
    <row r="516" spans="5:12" ht="15.75" customHeight="1" x14ac:dyDescent="0.25">
      <c r="E516" s="260"/>
      <c r="F516" s="260"/>
      <c r="G516" s="260"/>
      <c r="H516" s="260"/>
      <c r="I516" s="260"/>
      <c r="J516" s="260"/>
      <c r="K516" s="259"/>
      <c r="L516" s="259"/>
    </row>
    <row r="517" spans="5:12" ht="15.75" customHeight="1" x14ac:dyDescent="0.25">
      <c r="E517" s="260"/>
      <c r="F517" s="260"/>
      <c r="G517" s="260"/>
      <c r="H517" s="260"/>
      <c r="I517" s="260"/>
      <c r="J517" s="260"/>
      <c r="K517" s="259"/>
      <c r="L517" s="259"/>
    </row>
    <row r="518" spans="5:12" ht="15.75" customHeight="1" x14ac:dyDescent="0.25">
      <c r="E518" s="260"/>
      <c r="F518" s="260"/>
      <c r="G518" s="260"/>
      <c r="H518" s="260"/>
      <c r="I518" s="260"/>
      <c r="J518" s="260"/>
      <c r="K518" s="259"/>
      <c r="L518" s="259"/>
    </row>
    <row r="519" spans="5:12" ht="15.75" customHeight="1" x14ac:dyDescent="0.25">
      <c r="E519" s="260"/>
      <c r="F519" s="260"/>
      <c r="G519" s="260"/>
      <c r="H519" s="260"/>
      <c r="I519" s="260"/>
      <c r="J519" s="260"/>
      <c r="K519" s="259"/>
      <c r="L519" s="259"/>
    </row>
    <row r="520" spans="5:12" ht="15.75" customHeight="1" x14ac:dyDescent="0.25">
      <c r="E520" s="260"/>
      <c r="F520" s="260"/>
      <c r="G520" s="260"/>
      <c r="H520" s="260"/>
      <c r="I520" s="260"/>
      <c r="J520" s="260"/>
      <c r="K520" s="259"/>
      <c r="L520" s="259"/>
    </row>
    <row r="521" spans="5:12" ht="15.75" customHeight="1" x14ac:dyDescent="0.25">
      <c r="E521" s="260"/>
      <c r="F521" s="260"/>
      <c r="G521" s="260"/>
      <c r="H521" s="260"/>
      <c r="I521" s="260"/>
      <c r="J521" s="260"/>
      <c r="K521" s="259"/>
      <c r="L521" s="259"/>
    </row>
    <row r="522" spans="5:12" ht="15.75" customHeight="1" x14ac:dyDescent="0.25">
      <c r="E522" s="260"/>
      <c r="F522" s="260"/>
      <c r="G522" s="260"/>
      <c r="H522" s="260"/>
      <c r="I522" s="260"/>
      <c r="J522" s="260"/>
      <c r="K522" s="259"/>
      <c r="L522" s="259"/>
    </row>
    <row r="523" spans="5:12" ht="15.75" customHeight="1" x14ac:dyDescent="0.25">
      <c r="E523" s="260"/>
      <c r="F523" s="260"/>
      <c r="G523" s="260"/>
      <c r="H523" s="260"/>
      <c r="I523" s="260"/>
      <c r="J523" s="260"/>
      <c r="K523" s="259"/>
      <c r="L523" s="259"/>
    </row>
    <row r="524" spans="5:12" ht="15.75" customHeight="1" x14ac:dyDescent="0.25">
      <c r="E524" s="260"/>
      <c r="F524" s="260"/>
      <c r="G524" s="260"/>
      <c r="H524" s="260"/>
      <c r="I524" s="260"/>
      <c r="J524" s="260"/>
      <c r="K524" s="259"/>
      <c r="L524" s="259"/>
    </row>
    <row r="525" spans="5:12" ht="15.75" customHeight="1" x14ac:dyDescent="0.25">
      <c r="E525" s="260"/>
      <c r="F525" s="260"/>
      <c r="G525" s="260"/>
      <c r="H525" s="260"/>
      <c r="I525" s="260"/>
      <c r="J525" s="260"/>
      <c r="K525" s="259"/>
      <c r="L525" s="259"/>
    </row>
    <row r="526" spans="5:12" ht="15.75" customHeight="1" x14ac:dyDescent="0.25">
      <c r="E526" s="260"/>
      <c r="F526" s="260"/>
      <c r="G526" s="260"/>
      <c r="H526" s="260"/>
      <c r="I526" s="260"/>
      <c r="J526" s="260"/>
      <c r="K526" s="259"/>
      <c r="L526" s="259"/>
    </row>
    <row r="527" spans="5:12" ht="15.75" customHeight="1" x14ac:dyDescent="0.25">
      <c r="E527" s="260"/>
      <c r="F527" s="260"/>
      <c r="G527" s="260"/>
      <c r="H527" s="260"/>
      <c r="I527" s="260"/>
      <c r="J527" s="260"/>
      <c r="K527" s="259"/>
      <c r="L527" s="259"/>
    </row>
    <row r="528" spans="5:12" ht="15.75" customHeight="1" x14ac:dyDescent="0.25">
      <c r="E528" s="260"/>
      <c r="F528" s="260"/>
      <c r="G528" s="260"/>
      <c r="H528" s="260"/>
      <c r="I528" s="260"/>
      <c r="J528" s="260"/>
      <c r="K528" s="259"/>
      <c r="L528" s="259"/>
    </row>
    <row r="529" spans="5:12" ht="15.75" customHeight="1" x14ac:dyDescent="0.25">
      <c r="E529" s="260"/>
      <c r="F529" s="260"/>
      <c r="G529" s="260"/>
      <c r="H529" s="260"/>
      <c r="I529" s="260"/>
      <c r="J529" s="260"/>
      <c r="K529" s="259"/>
      <c r="L529" s="259"/>
    </row>
    <row r="530" spans="5:12" ht="15.75" customHeight="1" x14ac:dyDescent="0.25">
      <c r="E530" s="260"/>
      <c r="F530" s="260"/>
      <c r="G530" s="260"/>
      <c r="H530" s="260"/>
      <c r="I530" s="260"/>
      <c r="J530" s="260"/>
      <c r="K530" s="259"/>
      <c r="L530" s="259"/>
    </row>
    <row r="531" spans="5:12" ht="15.75" customHeight="1" x14ac:dyDescent="0.25">
      <c r="E531" s="260"/>
      <c r="F531" s="260"/>
      <c r="G531" s="260"/>
      <c r="H531" s="260"/>
      <c r="I531" s="260"/>
      <c r="J531" s="260"/>
      <c r="K531" s="259"/>
      <c r="L531" s="259"/>
    </row>
    <row r="532" spans="5:12" ht="15.75" customHeight="1" x14ac:dyDescent="0.25">
      <c r="E532" s="260"/>
      <c r="F532" s="260"/>
      <c r="G532" s="260"/>
      <c r="H532" s="260"/>
      <c r="I532" s="260"/>
      <c r="J532" s="260"/>
      <c r="K532" s="259"/>
      <c r="L532" s="259"/>
    </row>
    <row r="533" spans="5:12" ht="15.75" customHeight="1" x14ac:dyDescent="0.25">
      <c r="E533" s="260"/>
      <c r="F533" s="260"/>
      <c r="G533" s="260"/>
      <c r="H533" s="260"/>
      <c r="I533" s="260"/>
      <c r="J533" s="260"/>
      <c r="K533" s="259"/>
      <c r="L533" s="259"/>
    </row>
    <row r="534" spans="5:12" ht="15.75" customHeight="1" x14ac:dyDescent="0.25">
      <c r="E534" s="260"/>
      <c r="F534" s="260"/>
      <c r="G534" s="260"/>
      <c r="H534" s="260"/>
      <c r="I534" s="260"/>
      <c r="J534" s="260"/>
      <c r="K534" s="259"/>
      <c r="L534" s="259"/>
    </row>
    <row r="535" spans="5:12" ht="15.75" customHeight="1" x14ac:dyDescent="0.25">
      <c r="E535" s="260"/>
      <c r="F535" s="260"/>
      <c r="G535" s="260"/>
      <c r="H535" s="260"/>
      <c r="I535" s="260"/>
      <c r="J535" s="260"/>
      <c r="K535" s="259"/>
      <c r="L535" s="259"/>
    </row>
    <row r="536" spans="5:12" ht="15.75" customHeight="1" x14ac:dyDescent="0.25">
      <c r="E536" s="260"/>
      <c r="F536" s="260"/>
      <c r="G536" s="260"/>
      <c r="H536" s="260"/>
      <c r="I536" s="260"/>
      <c r="J536" s="260"/>
      <c r="K536" s="259"/>
      <c r="L536" s="259"/>
    </row>
    <row r="537" spans="5:12" ht="15.75" customHeight="1" x14ac:dyDescent="0.25">
      <c r="E537" s="260"/>
      <c r="F537" s="260"/>
      <c r="G537" s="260"/>
      <c r="H537" s="260"/>
      <c r="I537" s="260"/>
      <c r="J537" s="260"/>
      <c r="K537" s="259"/>
      <c r="L537" s="259"/>
    </row>
    <row r="538" spans="5:12" ht="15.75" customHeight="1" x14ac:dyDescent="0.25">
      <c r="E538" s="260"/>
      <c r="F538" s="260"/>
      <c r="G538" s="260"/>
      <c r="H538" s="260"/>
      <c r="I538" s="260"/>
      <c r="J538" s="260"/>
      <c r="K538" s="259"/>
      <c r="L538" s="259"/>
    </row>
    <row r="539" spans="5:12" ht="15.75" customHeight="1" x14ac:dyDescent="0.25">
      <c r="E539" s="260"/>
      <c r="F539" s="260"/>
      <c r="G539" s="260"/>
      <c r="H539" s="260"/>
      <c r="I539" s="260"/>
      <c r="J539" s="260"/>
      <c r="K539" s="259"/>
      <c r="L539" s="259"/>
    </row>
    <row r="540" spans="5:12" ht="15.75" customHeight="1" x14ac:dyDescent="0.25">
      <c r="E540" s="260"/>
      <c r="F540" s="260"/>
      <c r="G540" s="260"/>
      <c r="H540" s="260"/>
      <c r="I540" s="260"/>
      <c r="J540" s="260"/>
      <c r="K540" s="259"/>
      <c r="L540" s="259"/>
    </row>
    <row r="541" spans="5:12" ht="15.75" customHeight="1" x14ac:dyDescent="0.25">
      <c r="E541" s="260"/>
      <c r="F541" s="260"/>
      <c r="G541" s="260"/>
      <c r="H541" s="260"/>
      <c r="I541" s="260"/>
      <c r="J541" s="260"/>
      <c r="K541" s="259"/>
      <c r="L541" s="259"/>
    </row>
    <row r="542" spans="5:12" ht="15.75" customHeight="1" x14ac:dyDescent="0.25">
      <c r="E542" s="260"/>
      <c r="F542" s="260"/>
      <c r="G542" s="260"/>
      <c r="H542" s="260"/>
      <c r="I542" s="260"/>
      <c r="J542" s="260"/>
      <c r="K542" s="259"/>
      <c r="L542" s="259"/>
    </row>
    <row r="543" spans="5:12" ht="15.75" customHeight="1" x14ac:dyDescent="0.25">
      <c r="E543" s="260"/>
      <c r="F543" s="260"/>
      <c r="G543" s="260"/>
      <c r="H543" s="260"/>
      <c r="I543" s="260"/>
      <c r="J543" s="260"/>
      <c r="K543" s="259"/>
      <c r="L543" s="259"/>
    </row>
    <row r="544" spans="5:12" ht="15.75" customHeight="1" x14ac:dyDescent="0.25">
      <c r="E544" s="260"/>
      <c r="F544" s="260"/>
      <c r="G544" s="260"/>
      <c r="H544" s="260"/>
      <c r="I544" s="260"/>
      <c r="J544" s="260"/>
      <c r="K544" s="259"/>
      <c r="L544" s="259"/>
    </row>
    <row r="545" spans="5:12" ht="15.75" customHeight="1" x14ac:dyDescent="0.25">
      <c r="E545" s="260"/>
      <c r="F545" s="260"/>
      <c r="G545" s="260"/>
      <c r="H545" s="260"/>
      <c r="I545" s="260"/>
      <c r="J545" s="260"/>
      <c r="K545" s="259"/>
      <c r="L545" s="259"/>
    </row>
    <row r="546" spans="5:12" ht="15.75" customHeight="1" x14ac:dyDescent="0.25">
      <c r="E546" s="260"/>
      <c r="F546" s="260"/>
      <c r="G546" s="260"/>
      <c r="H546" s="260"/>
      <c r="I546" s="260"/>
      <c r="J546" s="260"/>
      <c r="K546" s="259"/>
      <c r="L546" s="259"/>
    </row>
    <row r="547" spans="5:12" ht="15.75" customHeight="1" x14ac:dyDescent="0.25">
      <c r="E547" s="260"/>
      <c r="F547" s="260"/>
      <c r="G547" s="260"/>
      <c r="H547" s="260"/>
      <c r="I547" s="260"/>
      <c r="J547" s="260"/>
      <c r="K547" s="259"/>
      <c r="L547" s="259"/>
    </row>
    <row r="548" spans="5:12" ht="15.75" customHeight="1" x14ac:dyDescent="0.25">
      <c r="E548" s="260"/>
      <c r="F548" s="260"/>
      <c r="G548" s="260"/>
      <c r="H548" s="260"/>
      <c r="I548" s="260"/>
      <c r="J548" s="260"/>
      <c r="K548" s="259"/>
      <c r="L548" s="259"/>
    </row>
    <row r="549" spans="5:12" ht="15.75" customHeight="1" x14ac:dyDescent="0.25">
      <c r="E549" s="260"/>
      <c r="F549" s="260"/>
      <c r="G549" s="260"/>
      <c r="H549" s="260"/>
      <c r="I549" s="260"/>
      <c r="J549" s="260"/>
      <c r="K549" s="259"/>
      <c r="L549" s="259"/>
    </row>
    <row r="550" spans="5:12" ht="15.75" customHeight="1" x14ac:dyDescent="0.25">
      <c r="E550" s="260"/>
      <c r="F550" s="260"/>
      <c r="G550" s="260"/>
      <c r="H550" s="260"/>
      <c r="I550" s="260"/>
      <c r="J550" s="260"/>
      <c r="K550" s="259"/>
      <c r="L550" s="259"/>
    </row>
    <row r="551" spans="5:12" ht="15.75" customHeight="1" x14ac:dyDescent="0.25">
      <c r="E551" s="260"/>
      <c r="F551" s="260"/>
      <c r="G551" s="260"/>
      <c r="H551" s="260"/>
      <c r="I551" s="260"/>
      <c r="J551" s="260"/>
      <c r="K551" s="259"/>
      <c r="L551" s="259"/>
    </row>
    <row r="552" spans="5:12" ht="15.75" customHeight="1" x14ac:dyDescent="0.25">
      <c r="E552" s="260"/>
      <c r="F552" s="260"/>
      <c r="G552" s="260"/>
      <c r="H552" s="260"/>
      <c r="I552" s="260"/>
      <c r="J552" s="260"/>
      <c r="K552" s="259"/>
      <c r="L552" s="259"/>
    </row>
    <row r="553" spans="5:12" ht="15.75" customHeight="1" x14ac:dyDescent="0.25">
      <c r="E553" s="260"/>
      <c r="F553" s="260"/>
      <c r="G553" s="260"/>
      <c r="H553" s="260"/>
      <c r="I553" s="260"/>
      <c r="J553" s="260"/>
      <c r="K553" s="259"/>
      <c r="L553" s="259"/>
    </row>
    <row r="554" spans="5:12" ht="15.75" customHeight="1" x14ac:dyDescent="0.25">
      <c r="E554" s="260"/>
      <c r="F554" s="260"/>
      <c r="G554" s="260"/>
      <c r="H554" s="260"/>
      <c r="I554" s="260"/>
      <c r="J554" s="260"/>
      <c r="K554" s="259"/>
      <c r="L554" s="259"/>
    </row>
    <row r="555" spans="5:12" ht="15.75" customHeight="1" x14ac:dyDescent="0.25">
      <c r="E555" s="260"/>
      <c r="F555" s="260"/>
      <c r="G555" s="260"/>
      <c r="H555" s="260"/>
      <c r="I555" s="260"/>
      <c r="J555" s="260"/>
      <c r="K555" s="259"/>
      <c r="L555" s="259"/>
    </row>
    <row r="556" spans="5:12" ht="15.75" customHeight="1" x14ac:dyDescent="0.25">
      <c r="E556" s="260"/>
      <c r="F556" s="260"/>
      <c r="G556" s="260"/>
      <c r="H556" s="260"/>
      <c r="I556" s="260"/>
      <c r="J556" s="260"/>
      <c r="K556" s="259"/>
      <c r="L556" s="259"/>
    </row>
    <row r="557" spans="5:12" ht="15.75" customHeight="1" x14ac:dyDescent="0.25">
      <c r="E557" s="260"/>
      <c r="F557" s="260"/>
      <c r="G557" s="260"/>
      <c r="H557" s="260"/>
      <c r="I557" s="260"/>
      <c r="J557" s="260"/>
      <c r="K557" s="259"/>
      <c r="L557" s="259"/>
    </row>
    <row r="558" spans="5:12" ht="15.75" customHeight="1" x14ac:dyDescent="0.25">
      <c r="E558" s="260"/>
      <c r="F558" s="260"/>
      <c r="G558" s="260"/>
      <c r="H558" s="260"/>
      <c r="I558" s="260"/>
      <c r="J558" s="260"/>
      <c r="K558" s="259"/>
      <c r="L558" s="259"/>
    </row>
    <row r="559" spans="5:12" ht="15.75" customHeight="1" x14ac:dyDescent="0.25">
      <c r="E559" s="260"/>
      <c r="F559" s="260"/>
      <c r="G559" s="260"/>
      <c r="H559" s="260"/>
      <c r="I559" s="260"/>
      <c r="J559" s="260"/>
      <c r="K559" s="259"/>
      <c r="L559" s="259"/>
    </row>
    <row r="560" spans="5:12" ht="15.75" customHeight="1" x14ac:dyDescent="0.25">
      <c r="E560" s="260"/>
      <c r="F560" s="260"/>
      <c r="G560" s="260"/>
      <c r="H560" s="260"/>
      <c r="I560" s="260"/>
      <c r="J560" s="260"/>
      <c r="K560" s="259"/>
      <c r="L560" s="259"/>
    </row>
    <row r="561" spans="5:12" ht="15.75" customHeight="1" x14ac:dyDescent="0.25">
      <c r="E561" s="260"/>
      <c r="F561" s="260"/>
      <c r="G561" s="260"/>
      <c r="H561" s="260"/>
      <c r="I561" s="260"/>
      <c r="J561" s="260"/>
      <c r="K561" s="259"/>
      <c r="L561" s="259"/>
    </row>
    <row r="562" spans="5:12" ht="15.75" customHeight="1" x14ac:dyDescent="0.25">
      <c r="E562" s="260"/>
      <c r="F562" s="260"/>
      <c r="G562" s="260"/>
      <c r="H562" s="260"/>
      <c r="I562" s="260"/>
      <c r="J562" s="260"/>
      <c r="K562" s="259"/>
      <c r="L562" s="259"/>
    </row>
    <row r="563" spans="5:12" ht="15.75" customHeight="1" x14ac:dyDescent="0.25">
      <c r="E563" s="260"/>
      <c r="F563" s="260"/>
      <c r="G563" s="260"/>
      <c r="H563" s="260"/>
      <c r="I563" s="260"/>
      <c r="J563" s="260"/>
      <c r="K563" s="259"/>
      <c r="L563" s="259"/>
    </row>
    <row r="564" spans="5:12" ht="15.75" customHeight="1" x14ac:dyDescent="0.25">
      <c r="E564" s="260"/>
      <c r="F564" s="260"/>
      <c r="G564" s="260"/>
      <c r="H564" s="260"/>
      <c r="I564" s="260"/>
      <c r="J564" s="260"/>
      <c r="K564" s="259"/>
      <c r="L564" s="259"/>
    </row>
    <row r="565" spans="5:12" ht="15.75" customHeight="1" x14ac:dyDescent="0.25">
      <c r="E565" s="260"/>
      <c r="F565" s="260"/>
      <c r="G565" s="260"/>
      <c r="H565" s="260"/>
      <c r="I565" s="260"/>
      <c r="J565" s="260"/>
      <c r="K565" s="259"/>
      <c r="L565" s="259"/>
    </row>
    <row r="566" spans="5:12" ht="15.75" customHeight="1" x14ac:dyDescent="0.25">
      <c r="E566" s="260"/>
      <c r="F566" s="260"/>
      <c r="G566" s="260"/>
      <c r="H566" s="260"/>
      <c r="I566" s="260"/>
      <c r="J566" s="260"/>
      <c r="K566" s="259"/>
      <c r="L566" s="259"/>
    </row>
    <row r="567" spans="5:12" ht="15.75" customHeight="1" x14ac:dyDescent="0.25">
      <c r="E567" s="260"/>
      <c r="F567" s="260"/>
      <c r="G567" s="260"/>
      <c r="H567" s="260"/>
      <c r="I567" s="260"/>
      <c r="J567" s="260"/>
      <c r="K567" s="259"/>
      <c r="L567" s="259"/>
    </row>
    <row r="568" spans="5:12" ht="15.75" customHeight="1" x14ac:dyDescent="0.25">
      <c r="E568" s="260"/>
      <c r="F568" s="260"/>
      <c r="G568" s="260"/>
      <c r="H568" s="260"/>
      <c r="I568" s="260"/>
      <c r="J568" s="260"/>
      <c r="K568" s="259"/>
      <c r="L568" s="259"/>
    </row>
    <row r="569" spans="5:12" ht="15.75" customHeight="1" x14ac:dyDescent="0.25">
      <c r="E569" s="260"/>
      <c r="F569" s="260"/>
      <c r="G569" s="260"/>
      <c r="H569" s="260"/>
      <c r="I569" s="260"/>
      <c r="J569" s="260"/>
      <c r="K569" s="259"/>
      <c r="L569" s="259"/>
    </row>
    <row r="570" spans="5:12" ht="15.75" customHeight="1" x14ac:dyDescent="0.25">
      <c r="E570" s="260"/>
      <c r="F570" s="260"/>
      <c r="G570" s="260"/>
      <c r="H570" s="260"/>
      <c r="I570" s="260"/>
      <c r="J570" s="260"/>
      <c r="K570" s="259"/>
      <c r="L570" s="259"/>
    </row>
    <row r="571" spans="5:12" ht="15.75" customHeight="1" x14ac:dyDescent="0.25">
      <c r="E571" s="260"/>
      <c r="F571" s="260"/>
      <c r="G571" s="260"/>
      <c r="H571" s="260"/>
      <c r="I571" s="260"/>
      <c r="J571" s="260"/>
      <c r="K571" s="259"/>
      <c r="L571" s="259"/>
    </row>
    <row r="572" spans="5:12" ht="15.75" customHeight="1" x14ac:dyDescent="0.25">
      <c r="E572" s="260"/>
      <c r="F572" s="260"/>
      <c r="G572" s="260"/>
      <c r="H572" s="260"/>
      <c r="I572" s="260"/>
      <c r="J572" s="260"/>
      <c r="K572" s="259"/>
      <c r="L572" s="259"/>
    </row>
    <row r="573" spans="5:12" ht="15.75" customHeight="1" x14ac:dyDescent="0.25">
      <c r="E573" s="260"/>
      <c r="F573" s="260"/>
      <c r="G573" s="260"/>
      <c r="H573" s="260"/>
      <c r="I573" s="260"/>
      <c r="J573" s="260"/>
      <c r="K573" s="259"/>
      <c r="L573" s="259"/>
    </row>
    <row r="574" spans="5:12" ht="15.75" customHeight="1" x14ac:dyDescent="0.25">
      <c r="E574" s="260"/>
      <c r="F574" s="260"/>
      <c r="G574" s="260"/>
      <c r="H574" s="260"/>
      <c r="I574" s="260"/>
      <c r="J574" s="260"/>
      <c r="K574" s="259"/>
      <c r="L574" s="259"/>
    </row>
    <row r="575" spans="5:12" ht="15.75" customHeight="1" x14ac:dyDescent="0.25">
      <c r="E575" s="260"/>
      <c r="F575" s="260"/>
      <c r="G575" s="260"/>
      <c r="H575" s="260"/>
      <c r="I575" s="260"/>
      <c r="J575" s="260"/>
      <c r="K575" s="259"/>
      <c r="L575" s="259"/>
    </row>
    <row r="576" spans="5:12" ht="15.75" customHeight="1" x14ac:dyDescent="0.25">
      <c r="E576" s="260"/>
      <c r="F576" s="260"/>
      <c r="G576" s="260"/>
      <c r="H576" s="260"/>
      <c r="I576" s="260"/>
      <c r="J576" s="260"/>
      <c r="K576" s="259"/>
      <c r="L576" s="259"/>
    </row>
    <row r="577" spans="5:12" ht="15.75" customHeight="1" x14ac:dyDescent="0.25">
      <c r="E577" s="260"/>
      <c r="F577" s="260"/>
      <c r="G577" s="260"/>
      <c r="H577" s="260"/>
      <c r="I577" s="260"/>
      <c r="J577" s="260"/>
      <c r="K577" s="259"/>
      <c r="L577" s="259"/>
    </row>
    <row r="578" spans="5:12" ht="15.75" customHeight="1" x14ac:dyDescent="0.25">
      <c r="E578" s="260"/>
      <c r="F578" s="260"/>
      <c r="G578" s="260"/>
      <c r="H578" s="260"/>
      <c r="I578" s="260"/>
      <c r="J578" s="260"/>
      <c r="K578" s="259"/>
      <c r="L578" s="259"/>
    </row>
    <row r="579" spans="5:12" ht="15.75" customHeight="1" x14ac:dyDescent="0.25">
      <c r="E579" s="260"/>
      <c r="F579" s="260"/>
      <c r="G579" s="260"/>
      <c r="H579" s="260"/>
      <c r="I579" s="260"/>
      <c r="J579" s="260"/>
      <c r="K579" s="259"/>
      <c r="L579" s="259"/>
    </row>
    <row r="580" spans="5:12" ht="15.75" customHeight="1" x14ac:dyDescent="0.25">
      <c r="E580" s="260"/>
      <c r="F580" s="260"/>
      <c r="G580" s="260"/>
      <c r="H580" s="260"/>
      <c r="I580" s="260"/>
      <c r="J580" s="260"/>
      <c r="K580" s="259"/>
      <c r="L580" s="259"/>
    </row>
    <row r="581" spans="5:12" ht="15.75" customHeight="1" x14ac:dyDescent="0.25">
      <c r="E581" s="260"/>
      <c r="F581" s="260"/>
      <c r="G581" s="260"/>
      <c r="H581" s="260"/>
      <c r="I581" s="260"/>
      <c r="J581" s="260"/>
      <c r="K581" s="259"/>
      <c r="L581" s="259"/>
    </row>
    <row r="582" spans="5:12" ht="15.75" customHeight="1" x14ac:dyDescent="0.25">
      <c r="E582" s="260"/>
      <c r="F582" s="260"/>
      <c r="G582" s="260"/>
      <c r="H582" s="260"/>
      <c r="I582" s="260"/>
      <c r="J582" s="260"/>
      <c r="K582" s="259"/>
      <c r="L582" s="259"/>
    </row>
    <row r="583" spans="5:12" ht="15.75" customHeight="1" x14ac:dyDescent="0.25">
      <c r="E583" s="260"/>
      <c r="F583" s="260"/>
      <c r="G583" s="260"/>
      <c r="H583" s="260"/>
      <c r="I583" s="260"/>
      <c r="J583" s="260"/>
      <c r="K583" s="259"/>
      <c r="L583" s="259"/>
    </row>
    <row r="584" spans="5:12" ht="15.75" customHeight="1" x14ac:dyDescent="0.25">
      <c r="E584" s="260"/>
      <c r="F584" s="260"/>
      <c r="G584" s="260"/>
      <c r="H584" s="260"/>
      <c r="I584" s="260"/>
      <c r="J584" s="260"/>
      <c r="K584" s="259"/>
      <c r="L584" s="259"/>
    </row>
    <row r="585" spans="5:12" ht="15.75" customHeight="1" x14ac:dyDescent="0.25">
      <c r="E585" s="260"/>
      <c r="F585" s="260"/>
      <c r="G585" s="260"/>
      <c r="H585" s="260"/>
      <c r="I585" s="260"/>
      <c r="J585" s="260"/>
      <c r="K585" s="259"/>
      <c r="L585" s="259"/>
    </row>
    <row r="586" spans="5:12" ht="15.75" customHeight="1" x14ac:dyDescent="0.25">
      <c r="E586" s="260"/>
      <c r="F586" s="260"/>
      <c r="G586" s="260"/>
      <c r="H586" s="260"/>
      <c r="I586" s="260"/>
      <c r="J586" s="260"/>
      <c r="K586" s="259"/>
      <c r="L586" s="259"/>
    </row>
    <row r="587" spans="5:12" ht="15.75" customHeight="1" x14ac:dyDescent="0.25">
      <c r="E587" s="260"/>
      <c r="F587" s="260"/>
      <c r="G587" s="260"/>
      <c r="H587" s="260"/>
      <c r="I587" s="260"/>
      <c r="J587" s="260"/>
      <c r="K587" s="259"/>
      <c r="L587" s="259"/>
    </row>
    <row r="588" spans="5:12" ht="15.75" customHeight="1" x14ac:dyDescent="0.25">
      <c r="E588" s="260"/>
      <c r="F588" s="260"/>
      <c r="G588" s="260"/>
      <c r="H588" s="260"/>
      <c r="I588" s="260"/>
      <c r="J588" s="260"/>
      <c r="K588" s="259"/>
      <c r="L588" s="259"/>
    </row>
    <row r="589" spans="5:12" ht="15.75" customHeight="1" x14ac:dyDescent="0.25">
      <c r="E589" s="260"/>
      <c r="F589" s="260"/>
      <c r="G589" s="260"/>
      <c r="H589" s="260"/>
      <c r="I589" s="260"/>
      <c r="J589" s="260"/>
      <c r="K589" s="259"/>
      <c r="L589" s="259"/>
    </row>
    <row r="590" spans="5:12" ht="15.75" customHeight="1" x14ac:dyDescent="0.25">
      <c r="E590" s="260"/>
      <c r="F590" s="260"/>
      <c r="G590" s="260"/>
      <c r="H590" s="260"/>
      <c r="I590" s="260"/>
      <c r="J590" s="260"/>
      <c r="K590" s="259"/>
      <c r="L590" s="259"/>
    </row>
    <row r="591" spans="5:12" ht="15.75" customHeight="1" x14ac:dyDescent="0.25">
      <c r="E591" s="260"/>
      <c r="F591" s="260"/>
      <c r="G591" s="260"/>
      <c r="H591" s="260"/>
      <c r="I591" s="260"/>
      <c r="J591" s="260"/>
      <c r="K591" s="259"/>
      <c r="L591" s="259"/>
    </row>
    <row r="592" spans="5:12" ht="15.75" customHeight="1" x14ac:dyDescent="0.25">
      <c r="E592" s="260"/>
      <c r="F592" s="260"/>
      <c r="G592" s="260"/>
      <c r="H592" s="260"/>
      <c r="I592" s="260"/>
      <c r="J592" s="260"/>
      <c r="K592" s="259"/>
      <c r="L592" s="259"/>
    </row>
    <row r="593" spans="5:12" ht="15.75" customHeight="1" x14ac:dyDescent="0.25">
      <c r="E593" s="260"/>
      <c r="F593" s="260"/>
      <c r="G593" s="260"/>
      <c r="H593" s="260"/>
      <c r="I593" s="260"/>
      <c r="J593" s="260"/>
      <c r="K593" s="259"/>
      <c r="L593" s="259"/>
    </row>
    <row r="594" spans="5:12" ht="15.75" customHeight="1" x14ac:dyDescent="0.25">
      <c r="E594" s="260"/>
      <c r="F594" s="260"/>
      <c r="G594" s="260"/>
      <c r="H594" s="260"/>
      <c r="I594" s="260"/>
      <c r="J594" s="260"/>
      <c r="K594" s="259"/>
      <c r="L594" s="259"/>
    </row>
    <row r="595" spans="5:12" ht="15.75" customHeight="1" x14ac:dyDescent="0.25">
      <c r="E595" s="260"/>
      <c r="F595" s="260"/>
      <c r="G595" s="260"/>
      <c r="H595" s="260"/>
      <c r="I595" s="260"/>
      <c r="J595" s="260"/>
      <c r="K595" s="259"/>
      <c r="L595" s="259"/>
    </row>
    <row r="596" spans="5:12" ht="15.75" customHeight="1" x14ac:dyDescent="0.25">
      <c r="E596" s="260"/>
      <c r="F596" s="260"/>
      <c r="G596" s="260"/>
      <c r="H596" s="260"/>
      <c r="I596" s="260"/>
      <c r="J596" s="260"/>
      <c r="K596" s="259"/>
      <c r="L596" s="259"/>
    </row>
    <row r="597" spans="5:12" ht="15.75" customHeight="1" x14ac:dyDescent="0.25">
      <c r="E597" s="260"/>
      <c r="F597" s="260"/>
      <c r="G597" s="260"/>
      <c r="H597" s="260"/>
      <c r="I597" s="260"/>
      <c r="J597" s="260"/>
      <c r="K597" s="259"/>
      <c r="L597" s="259"/>
    </row>
    <row r="598" spans="5:12" ht="15.75" customHeight="1" x14ac:dyDescent="0.25">
      <c r="E598" s="260"/>
      <c r="F598" s="260"/>
      <c r="G598" s="260"/>
      <c r="H598" s="260"/>
      <c r="I598" s="260"/>
      <c r="J598" s="260"/>
      <c r="K598" s="259"/>
      <c r="L598" s="259"/>
    </row>
    <row r="599" spans="5:12" ht="15.75" customHeight="1" x14ac:dyDescent="0.25">
      <c r="E599" s="260"/>
      <c r="F599" s="260"/>
      <c r="G599" s="260"/>
      <c r="H599" s="260"/>
      <c r="I599" s="260"/>
      <c r="J599" s="260"/>
      <c r="K599" s="259"/>
      <c r="L599" s="259"/>
    </row>
    <row r="600" spans="5:12" ht="15.75" customHeight="1" x14ac:dyDescent="0.25">
      <c r="E600" s="260"/>
      <c r="F600" s="260"/>
      <c r="G600" s="260"/>
      <c r="H600" s="260"/>
      <c r="I600" s="260"/>
      <c r="J600" s="260"/>
      <c r="K600" s="259"/>
      <c r="L600" s="259"/>
    </row>
    <row r="601" spans="5:12" ht="15.75" customHeight="1" x14ac:dyDescent="0.25">
      <c r="E601" s="260"/>
      <c r="F601" s="260"/>
      <c r="G601" s="260"/>
      <c r="H601" s="260"/>
      <c r="I601" s="260"/>
      <c r="J601" s="260"/>
      <c r="K601" s="259"/>
      <c r="L601" s="259"/>
    </row>
    <row r="602" spans="5:12" ht="15.75" customHeight="1" x14ac:dyDescent="0.25">
      <c r="E602" s="260"/>
      <c r="F602" s="260"/>
      <c r="G602" s="260"/>
      <c r="H602" s="260"/>
      <c r="I602" s="260"/>
      <c r="J602" s="260"/>
      <c r="K602" s="259"/>
      <c r="L602" s="259"/>
    </row>
    <row r="603" spans="5:12" ht="15.75" customHeight="1" x14ac:dyDescent="0.25">
      <c r="E603" s="260"/>
      <c r="F603" s="260"/>
      <c r="G603" s="260"/>
      <c r="H603" s="260"/>
      <c r="I603" s="260"/>
      <c r="J603" s="260"/>
      <c r="K603" s="259"/>
      <c r="L603" s="259"/>
    </row>
    <row r="604" spans="5:12" ht="15.75" customHeight="1" x14ac:dyDescent="0.25">
      <c r="E604" s="260"/>
      <c r="F604" s="260"/>
      <c r="G604" s="260"/>
      <c r="H604" s="260"/>
      <c r="I604" s="260"/>
      <c r="J604" s="260"/>
      <c r="K604" s="259"/>
      <c r="L604" s="259"/>
    </row>
    <row r="605" spans="5:12" ht="15.75" customHeight="1" x14ac:dyDescent="0.25">
      <c r="E605" s="260"/>
      <c r="F605" s="260"/>
      <c r="G605" s="260"/>
      <c r="H605" s="260"/>
      <c r="I605" s="260"/>
      <c r="J605" s="260"/>
      <c r="K605" s="259"/>
      <c r="L605" s="259"/>
    </row>
    <row r="606" spans="5:12" ht="15.75" customHeight="1" x14ac:dyDescent="0.25">
      <c r="E606" s="260"/>
      <c r="F606" s="260"/>
      <c r="G606" s="260"/>
      <c r="H606" s="260"/>
      <c r="I606" s="260"/>
      <c r="J606" s="260"/>
      <c r="K606" s="259"/>
      <c r="L606" s="259"/>
    </row>
    <row r="607" spans="5:12" ht="15.75" customHeight="1" x14ac:dyDescent="0.25">
      <c r="E607" s="260"/>
      <c r="F607" s="260"/>
      <c r="G607" s="260"/>
      <c r="H607" s="260"/>
      <c r="I607" s="260"/>
      <c r="J607" s="260"/>
      <c r="K607" s="259"/>
      <c r="L607" s="259"/>
    </row>
    <row r="608" spans="5:12" ht="15.75" customHeight="1" x14ac:dyDescent="0.25">
      <c r="E608" s="260"/>
      <c r="F608" s="260"/>
      <c r="G608" s="260"/>
      <c r="H608" s="260"/>
      <c r="I608" s="260"/>
      <c r="J608" s="260"/>
      <c r="K608" s="259"/>
      <c r="L608" s="259"/>
    </row>
    <row r="609" spans="5:12" ht="15.75" customHeight="1" x14ac:dyDescent="0.25">
      <c r="E609" s="260"/>
      <c r="F609" s="260"/>
      <c r="G609" s="260"/>
      <c r="H609" s="260"/>
      <c r="I609" s="260"/>
      <c r="J609" s="260"/>
      <c r="K609" s="259"/>
      <c r="L609" s="259"/>
    </row>
    <row r="610" spans="5:12" ht="15.75" customHeight="1" x14ac:dyDescent="0.25">
      <c r="E610" s="260"/>
      <c r="F610" s="260"/>
      <c r="G610" s="260"/>
      <c r="H610" s="260"/>
      <c r="I610" s="260"/>
      <c r="J610" s="260"/>
      <c r="K610" s="259"/>
      <c r="L610" s="259"/>
    </row>
    <row r="611" spans="5:12" ht="15.75" customHeight="1" x14ac:dyDescent="0.25">
      <c r="E611" s="260"/>
      <c r="F611" s="260"/>
      <c r="G611" s="260"/>
      <c r="H611" s="260"/>
      <c r="I611" s="260"/>
      <c r="J611" s="260"/>
      <c r="K611" s="259"/>
      <c r="L611" s="259"/>
    </row>
    <row r="612" spans="5:12" ht="15.75" customHeight="1" x14ac:dyDescent="0.25">
      <c r="E612" s="260"/>
      <c r="F612" s="260"/>
      <c r="G612" s="260"/>
      <c r="H612" s="260"/>
      <c r="I612" s="260"/>
      <c r="J612" s="260"/>
      <c r="K612" s="259"/>
      <c r="L612" s="259"/>
    </row>
    <row r="613" spans="5:12" ht="15.75" customHeight="1" x14ac:dyDescent="0.25">
      <c r="E613" s="260"/>
      <c r="F613" s="260"/>
      <c r="G613" s="260"/>
      <c r="H613" s="260"/>
      <c r="I613" s="260"/>
      <c r="J613" s="260"/>
      <c r="K613" s="259"/>
      <c r="L613" s="259"/>
    </row>
    <row r="614" spans="5:12" ht="15.75" customHeight="1" x14ac:dyDescent="0.25">
      <c r="E614" s="260"/>
      <c r="F614" s="260"/>
      <c r="G614" s="260"/>
      <c r="H614" s="260"/>
      <c r="I614" s="260"/>
      <c r="J614" s="260"/>
      <c r="K614" s="259"/>
      <c r="L614" s="259"/>
    </row>
    <row r="615" spans="5:12" ht="15.75" customHeight="1" x14ac:dyDescent="0.25">
      <c r="E615" s="260"/>
      <c r="F615" s="260"/>
      <c r="G615" s="260"/>
      <c r="H615" s="260"/>
      <c r="I615" s="260"/>
      <c r="J615" s="260"/>
      <c r="K615" s="259"/>
      <c r="L615" s="259"/>
    </row>
    <row r="616" spans="5:12" ht="15.75" customHeight="1" x14ac:dyDescent="0.25">
      <c r="E616" s="260"/>
      <c r="F616" s="260"/>
      <c r="G616" s="260"/>
      <c r="H616" s="260"/>
      <c r="I616" s="260"/>
      <c r="J616" s="260"/>
      <c r="K616" s="259"/>
      <c r="L616" s="259"/>
    </row>
    <row r="617" spans="5:12" ht="15.75" customHeight="1" x14ac:dyDescent="0.25">
      <c r="E617" s="260"/>
      <c r="F617" s="260"/>
      <c r="G617" s="260"/>
      <c r="H617" s="260"/>
      <c r="I617" s="260"/>
      <c r="J617" s="260"/>
      <c r="K617" s="259"/>
      <c r="L617" s="259"/>
    </row>
    <row r="618" spans="5:12" ht="15.75" customHeight="1" x14ac:dyDescent="0.25">
      <c r="E618" s="260"/>
      <c r="F618" s="260"/>
      <c r="G618" s="260"/>
      <c r="H618" s="260"/>
      <c r="I618" s="260"/>
      <c r="J618" s="260"/>
      <c r="K618" s="259"/>
      <c r="L618" s="259"/>
    </row>
    <row r="619" spans="5:12" ht="15.75" customHeight="1" x14ac:dyDescent="0.25">
      <c r="E619" s="260"/>
      <c r="F619" s="260"/>
      <c r="G619" s="260"/>
      <c r="H619" s="260"/>
      <c r="I619" s="260"/>
      <c r="J619" s="260"/>
      <c r="K619" s="259"/>
      <c r="L619" s="259"/>
    </row>
    <row r="620" spans="5:12" ht="15.75" customHeight="1" x14ac:dyDescent="0.25">
      <c r="E620" s="260"/>
      <c r="F620" s="260"/>
      <c r="G620" s="260"/>
      <c r="H620" s="260"/>
      <c r="I620" s="260"/>
      <c r="J620" s="260"/>
      <c r="K620" s="259"/>
      <c r="L620" s="259"/>
    </row>
    <row r="621" spans="5:12" ht="15.75" customHeight="1" x14ac:dyDescent="0.25">
      <c r="E621" s="260"/>
      <c r="F621" s="260"/>
      <c r="G621" s="260"/>
      <c r="H621" s="260"/>
      <c r="I621" s="260"/>
      <c r="J621" s="260"/>
      <c r="K621" s="259"/>
      <c r="L621" s="259"/>
    </row>
    <row r="622" spans="5:12" ht="15.75" customHeight="1" x14ac:dyDescent="0.25">
      <c r="E622" s="260"/>
      <c r="F622" s="260"/>
      <c r="G622" s="260"/>
      <c r="H622" s="260"/>
      <c r="I622" s="260"/>
      <c r="J622" s="260"/>
      <c r="K622" s="259"/>
      <c r="L622" s="259"/>
    </row>
    <row r="623" spans="5:12" ht="15.75" customHeight="1" x14ac:dyDescent="0.25">
      <c r="E623" s="260"/>
      <c r="F623" s="260"/>
      <c r="G623" s="260"/>
      <c r="H623" s="260"/>
      <c r="I623" s="260"/>
      <c r="J623" s="260"/>
      <c r="K623" s="259"/>
      <c r="L623" s="259"/>
    </row>
    <row r="624" spans="5:12" ht="15.75" customHeight="1" x14ac:dyDescent="0.25">
      <c r="E624" s="260"/>
      <c r="F624" s="260"/>
      <c r="G624" s="260"/>
      <c r="H624" s="260"/>
      <c r="I624" s="260"/>
      <c r="J624" s="260"/>
      <c r="K624" s="259"/>
      <c r="L624" s="259"/>
    </row>
    <row r="625" spans="5:12" ht="15.75" customHeight="1" x14ac:dyDescent="0.25">
      <c r="E625" s="260"/>
      <c r="F625" s="260"/>
      <c r="G625" s="260"/>
      <c r="H625" s="260"/>
      <c r="I625" s="260"/>
      <c r="J625" s="260"/>
      <c r="K625" s="259"/>
      <c r="L625" s="259"/>
    </row>
    <row r="626" spans="5:12" ht="15.75" customHeight="1" x14ac:dyDescent="0.25">
      <c r="E626" s="260"/>
      <c r="F626" s="260"/>
      <c r="G626" s="260"/>
      <c r="H626" s="260"/>
      <c r="I626" s="260"/>
      <c r="J626" s="260"/>
      <c r="K626" s="259"/>
      <c r="L626" s="259"/>
    </row>
    <row r="627" spans="5:12" ht="15.75" customHeight="1" x14ac:dyDescent="0.25">
      <c r="E627" s="260"/>
      <c r="F627" s="260"/>
      <c r="G627" s="260"/>
      <c r="H627" s="260"/>
      <c r="I627" s="260"/>
      <c r="J627" s="260"/>
      <c r="K627" s="259"/>
      <c r="L627" s="259"/>
    </row>
    <row r="628" spans="5:12" ht="15.75" customHeight="1" x14ac:dyDescent="0.25">
      <c r="E628" s="260"/>
      <c r="F628" s="260"/>
      <c r="G628" s="260"/>
      <c r="H628" s="260"/>
      <c r="I628" s="260"/>
      <c r="J628" s="260"/>
      <c r="K628" s="259"/>
      <c r="L628" s="259"/>
    </row>
    <row r="629" spans="5:12" ht="15.75" customHeight="1" x14ac:dyDescent="0.25">
      <c r="E629" s="260"/>
      <c r="F629" s="260"/>
      <c r="G629" s="260"/>
      <c r="H629" s="260"/>
      <c r="I629" s="260"/>
      <c r="J629" s="260"/>
      <c r="K629" s="259"/>
      <c r="L629" s="259"/>
    </row>
    <row r="630" spans="5:12" ht="15.75" customHeight="1" x14ac:dyDescent="0.25">
      <c r="E630" s="260"/>
      <c r="F630" s="260"/>
      <c r="G630" s="260"/>
      <c r="H630" s="260"/>
      <c r="I630" s="260"/>
      <c r="J630" s="260"/>
      <c r="K630" s="259"/>
      <c r="L630" s="259"/>
    </row>
    <row r="631" spans="5:12" ht="15.75" customHeight="1" x14ac:dyDescent="0.25">
      <c r="E631" s="260"/>
      <c r="F631" s="260"/>
      <c r="G631" s="260"/>
      <c r="H631" s="260"/>
      <c r="I631" s="260"/>
      <c r="J631" s="260"/>
      <c r="K631" s="259"/>
      <c r="L631" s="259"/>
    </row>
    <row r="632" spans="5:12" ht="15.75" customHeight="1" x14ac:dyDescent="0.25">
      <c r="E632" s="260"/>
      <c r="F632" s="260"/>
      <c r="G632" s="260"/>
      <c r="H632" s="260"/>
      <c r="I632" s="260"/>
      <c r="J632" s="260"/>
      <c r="K632" s="259"/>
      <c r="L632" s="259"/>
    </row>
    <row r="633" spans="5:12" ht="15.75" customHeight="1" x14ac:dyDescent="0.25">
      <c r="E633" s="260"/>
      <c r="F633" s="260"/>
      <c r="G633" s="260"/>
      <c r="H633" s="260"/>
      <c r="I633" s="260"/>
      <c r="J633" s="260"/>
      <c r="K633" s="259"/>
      <c r="L633" s="259"/>
    </row>
    <row r="634" spans="5:12" ht="15.75" customHeight="1" x14ac:dyDescent="0.25">
      <c r="E634" s="260"/>
      <c r="F634" s="260"/>
      <c r="G634" s="260"/>
      <c r="H634" s="260"/>
      <c r="I634" s="260"/>
      <c r="J634" s="260"/>
      <c r="K634" s="259"/>
      <c r="L634" s="259"/>
    </row>
    <row r="635" spans="5:12" ht="15.75" customHeight="1" x14ac:dyDescent="0.25">
      <c r="E635" s="260"/>
      <c r="F635" s="260"/>
      <c r="G635" s="260"/>
      <c r="H635" s="260"/>
      <c r="I635" s="260"/>
      <c r="J635" s="260"/>
      <c r="K635" s="259"/>
      <c r="L635" s="259"/>
    </row>
    <row r="636" spans="5:12" ht="15.75" customHeight="1" x14ac:dyDescent="0.25">
      <c r="E636" s="260"/>
      <c r="F636" s="260"/>
      <c r="G636" s="260"/>
      <c r="H636" s="260"/>
      <c r="I636" s="260"/>
      <c r="J636" s="260"/>
      <c r="K636" s="259"/>
      <c r="L636" s="259"/>
    </row>
    <row r="637" spans="5:12" ht="15.75" customHeight="1" x14ac:dyDescent="0.25">
      <c r="E637" s="260"/>
      <c r="F637" s="260"/>
      <c r="G637" s="260"/>
      <c r="H637" s="260"/>
      <c r="I637" s="260"/>
      <c r="J637" s="260"/>
      <c r="K637" s="259"/>
      <c r="L637" s="259"/>
    </row>
    <row r="638" spans="5:12" ht="15.75" customHeight="1" x14ac:dyDescent="0.25">
      <c r="E638" s="260"/>
      <c r="F638" s="260"/>
      <c r="G638" s="260"/>
      <c r="H638" s="260"/>
      <c r="I638" s="260"/>
      <c r="J638" s="260"/>
      <c r="K638" s="259"/>
      <c r="L638" s="259"/>
    </row>
    <row r="639" spans="5:12" ht="15.75" customHeight="1" x14ac:dyDescent="0.25">
      <c r="E639" s="260"/>
      <c r="F639" s="260"/>
      <c r="G639" s="260"/>
      <c r="H639" s="260"/>
      <c r="I639" s="260"/>
      <c r="J639" s="260"/>
      <c r="K639" s="259"/>
      <c r="L639" s="259"/>
    </row>
    <row r="640" spans="5:12" ht="15.75" customHeight="1" x14ac:dyDescent="0.25">
      <c r="E640" s="260"/>
      <c r="F640" s="260"/>
      <c r="G640" s="260"/>
      <c r="H640" s="260"/>
      <c r="I640" s="260"/>
      <c r="J640" s="260"/>
      <c r="K640" s="259"/>
      <c r="L640" s="259"/>
    </row>
    <row r="641" spans="5:12" ht="15.75" customHeight="1" x14ac:dyDescent="0.25">
      <c r="E641" s="260"/>
      <c r="F641" s="260"/>
      <c r="G641" s="260"/>
      <c r="H641" s="260"/>
      <c r="I641" s="260"/>
      <c r="J641" s="260"/>
      <c r="K641" s="259"/>
      <c r="L641" s="259"/>
    </row>
    <row r="642" spans="5:12" ht="15.75" customHeight="1" x14ac:dyDescent="0.25">
      <c r="E642" s="260"/>
      <c r="F642" s="260"/>
      <c r="G642" s="260"/>
      <c r="H642" s="260"/>
      <c r="I642" s="260"/>
      <c r="J642" s="260"/>
      <c r="K642" s="259"/>
      <c r="L642" s="259"/>
    </row>
    <row r="643" spans="5:12" ht="15.75" customHeight="1" x14ac:dyDescent="0.25">
      <c r="E643" s="260"/>
      <c r="F643" s="260"/>
      <c r="G643" s="260"/>
      <c r="H643" s="260"/>
      <c r="I643" s="260"/>
      <c r="J643" s="260"/>
      <c r="K643" s="259"/>
      <c r="L643" s="259"/>
    </row>
    <row r="644" spans="5:12" ht="15.75" customHeight="1" x14ac:dyDescent="0.25">
      <c r="E644" s="260"/>
      <c r="F644" s="260"/>
      <c r="G644" s="260"/>
      <c r="H644" s="260"/>
      <c r="I644" s="260"/>
      <c r="J644" s="260"/>
      <c r="K644" s="259"/>
      <c r="L644" s="259"/>
    </row>
    <row r="645" spans="5:12" ht="15.75" customHeight="1" x14ac:dyDescent="0.25">
      <c r="E645" s="260"/>
      <c r="F645" s="260"/>
      <c r="G645" s="260"/>
      <c r="H645" s="260"/>
      <c r="I645" s="260"/>
      <c r="J645" s="260"/>
      <c r="K645" s="259"/>
      <c r="L645" s="259"/>
    </row>
    <row r="646" spans="5:12" ht="15.75" customHeight="1" x14ac:dyDescent="0.25">
      <c r="E646" s="260"/>
      <c r="F646" s="260"/>
      <c r="G646" s="260"/>
      <c r="H646" s="260"/>
      <c r="I646" s="260"/>
      <c r="J646" s="260"/>
      <c r="K646" s="259"/>
      <c r="L646" s="259"/>
    </row>
    <row r="647" spans="5:12" ht="15.75" customHeight="1" x14ac:dyDescent="0.25">
      <c r="E647" s="260"/>
      <c r="F647" s="260"/>
      <c r="G647" s="260"/>
      <c r="H647" s="260"/>
      <c r="I647" s="260"/>
      <c r="J647" s="260"/>
      <c r="K647" s="259"/>
      <c r="L647" s="259"/>
    </row>
    <row r="648" spans="5:12" ht="15.75" customHeight="1" x14ac:dyDescent="0.25">
      <c r="E648" s="260"/>
      <c r="F648" s="260"/>
      <c r="G648" s="260"/>
      <c r="H648" s="260"/>
      <c r="I648" s="260"/>
      <c r="J648" s="260"/>
      <c r="K648" s="259"/>
      <c r="L648" s="259"/>
    </row>
    <row r="649" spans="5:12" ht="15.75" customHeight="1" x14ac:dyDescent="0.25">
      <c r="E649" s="260"/>
      <c r="F649" s="260"/>
      <c r="G649" s="260"/>
      <c r="H649" s="260"/>
      <c r="I649" s="260"/>
      <c r="J649" s="260"/>
      <c r="K649" s="259"/>
      <c r="L649" s="259"/>
    </row>
    <row r="650" spans="5:12" ht="15.75" customHeight="1" x14ac:dyDescent="0.25">
      <c r="E650" s="260"/>
      <c r="F650" s="260"/>
      <c r="G650" s="260"/>
      <c r="H650" s="260"/>
      <c r="I650" s="260"/>
      <c r="J650" s="260"/>
      <c r="K650" s="259"/>
      <c r="L650" s="259"/>
    </row>
    <row r="651" spans="5:12" ht="15.75" customHeight="1" x14ac:dyDescent="0.25">
      <c r="E651" s="260"/>
      <c r="F651" s="260"/>
      <c r="G651" s="260"/>
      <c r="H651" s="260"/>
      <c r="I651" s="260"/>
      <c r="J651" s="260"/>
      <c r="K651" s="259"/>
      <c r="L651" s="259"/>
    </row>
    <row r="652" spans="5:12" ht="15.75" customHeight="1" x14ac:dyDescent="0.25">
      <c r="E652" s="260"/>
      <c r="F652" s="260"/>
      <c r="G652" s="260"/>
      <c r="H652" s="260"/>
      <c r="I652" s="260"/>
      <c r="J652" s="260"/>
      <c r="K652" s="259"/>
      <c r="L652" s="259"/>
    </row>
    <row r="653" spans="5:12" ht="15.75" customHeight="1" x14ac:dyDescent="0.25">
      <c r="E653" s="260"/>
      <c r="F653" s="260"/>
      <c r="G653" s="260"/>
      <c r="H653" s="260"/>
      <c r="I653" s="260"/>
      <c r="J653" s="260"/>
      <c r="K653" s="259"/>
      <c r="L653" s="259"/>
    </row>
    <row r="654" spans="5:12" ht="15.75" customHeight="1" x14ac:dyDescent="0.25">
      <c r="E654" s="260"/>
      <c r="F654" s="260"/>
      <c r="G654" s="260"/>
      <c r="H654" s="260"/>
      <c r="I654" s="260"/>
      <c r="J654" s="260"/>
      <c r="K654" s="259"/>
      <c r="L654" s="259"/>
    </row>
    <row r="655" spans="5:12" ht="15.75" customHeight="1" x14ac:dyDescent="0.25">
      <c r="E655" s="260"/>
      <c r="F655" s="260"/>
      <c r="G655" s="260"/>
      <c r="H655" s="260"/>
      <c r="I655" s="260"/>
      <c r="J655" s="260"/>
      <c r="K655" s="259"/>
      <c r="L655" s="259"/>
    </row>
    <row r="656" spans="5:12" ht="15.75" customHeight="1" x14ac:dyDescent="0.25">
      <c r="E656" s="260"/>
      <c r="F656" s="260"/>
      <c r="G656" s="260"/>
      <c r="H656" s="260"/>
      <c r="I656" s="260"/>
      <c r="J656" s="260"/>
      <c r="K656" s="259"/>
      <c r="L656" s="259"/>
    </row>
    <row r="657" spans="5:12" ht="15.75" customHeight="1" x14ac:dyDescent="0.25">
      <c r="E657" s="260"/>
      <c r="F657" s="260"/>
      <c r="G657" s="260"/>
      <c r="H657" s="260"/>
      <c r="I657" s="260"/>
      <c r="J657" s="260"/>
      <c r="K657" s="259"/>
      <c r="L657" s="259"/>
    </row>
    <row r="658" spans="5:12" ht="15.75" customHeight="1" x14ac:dyDescent="0.25">
      <c r="E658" s="260"/>
      <c r="F658" s="260"/>
      <c r="G658" s="260"/>
      <c r="H658" s="260"/>
      <c r="I658" s="260"/>
      <c r="J658" s="260"/>
      <c r="K658" s="259"/>
      <c r="L658" s="259"/>
    </row>
    <row r="659" spans="5:12" ht="15.75" customHeight="1" x14ac:dyDescent="0.25">
      <c r="E659" s="260"/>
      <c r="F659" s="260"/>
      <c r="G659" s="260"/>
      <c r="H659" s="260"/>
      <c r="I659" s="260"/>
      <c r="J659" s="260"/>
      <c r="K659" s="259"/>
      <c r="L659" s="259"/>
    </row>
    <row r="660" spans="5:12" ht="15.75" customHeight="1" x14ac:dyDescent="0.25">
      <c r="E660" s="260"/>
      <c r="F660" s="260"/>
      <c r="G660" s="260"/>
      <c r="H660" s="260"/>
      <c r="I660" s="260"/>
      <c r="J660" s="260"/>
      <c r="K660" s="259"/>
      <c r="L660" s="259"/>
    </row>
    <row r="661" spans="5:12" ht="15.75" customHeight="1" x14ac:dyDescent="0.25">
      <c r="E661" s="260"/>
      <c r="F661" s="260"/>
      <c r="G661" s="260"/>
      <c r="H661" s="260"/>
      <c r="I661" s="260"/>
      <c r="J661" s="260"/>
      <c r="K661" s="259"/>
      <c r="L661" s="259"/>
    </row>
    <row r="662" spans="5:12" ht="15.75" customHeight="1" x14ac:dyDescent="0.25">
      <c r="E662" s="260"/>
      <c r="F662" s="260"/>
      <c r="G662" s="260"/>
      <c r="H662" s="260"/>
      <c r="I662" s="260"/>
      <c r="J662" s="260"/>
      <c r="K662" s="259"/>
      <c r="L662" s="259"/>
    </row>
    <row r="663" spans="5:12" ht="15.75" customHeight="1" x14ac:dyDescent="0.25">
      <c r="E663" s="260"/>
      <c r="F663" s="260"/>
      <c r="G663" s="260"/>
      <c r="H663" s="260"/>
      <c r="I663" s="260"/>
      <c r="J663" s="260"/>
      <c r="K663" s="259"/>
      <c r="L663" s="259"/>
    </row>
    <row r="664" spans="5:12" ht="15.75" customHeight="1" x14ac:dyDescent="0.25">
      <c r="E664" s="260"/>
      <c r="F664" s="260"/>
      <c r="G664" s="260"/>
      <c r="H664" s="260"/>
      <c r="I664" s="260"/>
      <c r="J664" s="260"/>
      <c r="K664" s="259"/>
      <c r="L664" s="259"/>
    </row>
    <row r="665" spans="5:12" ht="15.75" customHeight="1" x14ac:dyDescent="0.25">
      <c r="E665" s="260"/>
      <c r="F665" s="260"/>
      <c r="G665" s="260"/>
      <c r="H665" s="260"/>
      <c r="I665" s="260"/>
      <c r="J665" s="260"/>
      <c r="K665" s="259"/>
      <c r="L665" s="259"/>
    </row>
    <row r="666" spans="5:12" ht="15.75" customHeight="1" x14ac:dyDescent="0.25">
      <c r="E666" s="260"/>
      <c r="F666" s="260"/>
      <c r="G666" s="260"/>
      <c r="H666" s="260"/>
      <c r="I666" s="260"/>
      <c r="J666" s="260"/>
      <c r="K666" s="259"/>
      <c r="L666" s="259"/>
    </row>
    <row r="667" spans="5:12" ht="15.75" customHeight="1" x14ac:dyDescent="0.25">
      <c r="E667" s="260"/>
      <c r="F667" s="260"/>
      <c r="G667" s="260"/>
      <c r="H667" s="260"/>
      <c r="I667" s="260"/>
      <c r="J667" s="260"/>
      <c r="K667" s="259"/>
      <c r="L667" s="259"/>
    </row>
    <row r="668" spans="5:12" ht="15.75" customHeight="1" x14ac:dyDescent="0.25">
      <c r="E668" s="260"/>
      <c r="F668" s="260"/>
      <c r="G668" s="260"/>
      <c r="H668" s="260"/>
      <c r="I668" s="260"/>
      <c r="J668" s="260"/>
      <c r="K668" s="259"/>
      <c r="L668" s="259"/>
    </row>
    <row r="669" spans="5:12" ht="15.75" customHeight="1" x14ac:dyDescent="0.25">
      <c r="E669" s="260"/>
      <c r="F669" s="260"/>
      <c r="G669" s="260"/>
      <c r="H669" s="260"/>
      <c r="I669" s="260"/>
      <c r="J669" s="260"/>
      <c r="K669" s="259"/>
      <c r="L669" s="259"/>
    </row>
    <row r="670" spans="5:12" ht="15.75" customHeight="1" x14ac:dyDescent="0.25">
      <c r="E670" s="260"/>
      <c r="F670" s="260"/>
      <c r="G670" s="260"/>
      <c r="H670" s="260"/>
      <c r="I670" s="260"/>
      <c r="J670" s="260"/>
      <c r="K670" s="259"/>
      <c r="L670" s="259"/>
    </row>
    <row r="671" spans="5:12" ht="15.75" customHeight="1" x14ac:dyDescent="0.25">
      <c r="E671" s="260"/>
      <c r="F671" s="260"/>
      <c r="G671" s="260"/>
      <c r="H671" s="260"/>
      <c r="I671" s="260"/>
      <c r="J671" s="260"/>
      <c r="K671" s="259"/>
      <c r="L671" s="259"/>
    </row>
    <row r="672" spans="5:12" ht="15.75" customHeight="1" x14ac:dyDescent="0.25">
      <c r="E672" s="260"/>
      <c r="F672" s="260"/>
      <c r="G672" s="260"/>
      <c r="H672" s="260"/>
      <c r="I672" s="260"/>
      <c r="J672" s="260"/>
      <c r="K672" s="259"/>
      <c r="L672" s="259"/>
    </row>
    <row r="673" spans="5:12" ht="15.75" customHeight="1" x14ac:dyDescent="0.25">
      <c r="E673" s="260"/>
      <c r="F673" s="260"/>
      <c r="G673" s="260"/>
      <c r="H673" s="260"/>
      <c r="I673" s="260"/>
      <c r="J673" s="260"/>
      <c r="K673" s="259"/>
      <c r="L673" s="259"/>
    </row>
    <row r="674" spans="5:12" ht="15.75" customHeight="1" x14ac:dyDescent="0.25">
      <c r="E674" s="260"/>
      <c r="F674" s="260"/>
      <c r="G674" s="260"/>
      <c r="H674" s="260"/>
      <c r="I674" s="260"/>
      <c r="J674" s="260"/>
      <c r="K674" s="259"/>
      <c r="L674" s="259"/>
    </row>
    <row r="675" spans="5:12" ht="15.75" customHeight="1" x14ac:dyDescent="0.25">
      <c r="E675" s="260"/>
      <c r="F675" s="260"/>
      <c r="G675" s="260"/>
      <c r="H675" s="260"/>
      <c r="I675" s="260"/>
      <c r="J675" s="260"/>
      <c r="K675" s="259"/>
      <c r="L675" s="259"/>
    </row>
    <row r="676" spans="5:12" ht="15.75" customHeight="1" x14ac:dyDescent="0.25">
      <c r="E676" s="260"/>
      <c r="F676" s="260"/>
      <c r="G676" s="260"/>
      <c r="H676" s="260"/>
      <c r="I676" s="260"/>
      <c r="J676" s="260"/>
      <c r="K676" s="259"/>
      <c r="L676" s="259"/>
    </row>
    <row r="677" spans="5:12" ht="15.75" customHeight="1" x14ac:dyDescent="0.25">
      <c r="E677" s="260"/>
      <c r="F677" s="260"/>
      <c r="G677" s="260"/>
      <c r="H677" s="260"/>
      <c r="I677" s="260"/>
      <c r="J677" s="260"/>
      <c r="K677" s="259"/>
      <c r="L677" s="259"/>
    </row>
    <row r="678" spans="5:12" ht="15.75" customHeight="1" x14ac:dyDescent="0.25">
      <c r="E678" s="260"/>
      <c r="F678" s="260"/>
      <c r="G678" s="260"/>
      <c r="H678" s="260"/>
      <c r="I678" s="260"/>
      <c r="J678" s="260"/>
      <c r="K678" s="259"/>
      <c r="L678" s="259"/>
    </row>
    <row r="679" spans="5:12" ht="15.75" customHeight="1" x14ac:dyDescent="0.25">
      <c r="E679" s="260"/>
      <c r="F679" s="260"/>
      <c r="G679" s="260"/>
      <c r="H679" s="260"/>
      <c r="I679" s="260"/>
      <c r="J679" s="260"/>
      <c r="K679" s="259"/>
      <c r="L679" s="259"/>
    </row>
    <row r="680" spans="5:12" ht="15.75" customHeight="1" x14ac:dyDescent="0.25">
      <c r="E680" s="260"/>
      <c r="F680" s="260"/>
      <c r="G680" s="260"/>
      <c r="H680" s="260"/>
      <c r="I680" s="260"/>
      <c r="J680" s="260"/>
      <c r="K680" s="259"/>
      <c r="L680" s="259"/>
    </row>
    <row r="681" spans="5:12" ht="15.75" customHeight="1" x14ac:dyDescent="0.25">
      <c r="E681" s="260"/>
      <c r="F681" s="260"/>
      <c r="G681" s="260"/>
      <c r="H681" s="260"/>
      <c r="I681" s="260"/>
      <c r="J681" s="260"/>
      <c r="K681" s="259"/>
      <c r="L681" s="259"/>
    </row>
    <row r="682" spans="5:12" ht="15.75" customHeight="1" x14ac:dyDescent="0.25">
      <c r="E682" s="260"/>
      <c r="F682" s="260"/>
      <c r="G682" s="260"/>
      <c r="H682" s="260"/>
      <c r="I682" s="260"/>
      <c r="J682" s="260"/>
      <c r="K682" s="259"/>
      <c r="L682" s="259"/>
    </row>
    <row r="683" spans="5:12" ht="15.75" customHeight="1" x14ac:dyDescent="0.25">
      <c r="E683" s="260"/>
      <c r="F683" s="260"/>
      <c r="G683" s="260"/>
      <c r="H683" s="260"/>
      <c r="I683" s="260"/>
      <c r="J683" s="260"/>
      <c r="K683" s="259"/>
      <c r="L683" s="259"/>
    </row>
    <row r="684" spans="5:12" ht="15.75" customHeight="1" x14ac:dyDescent="0.25">
      <c r="E684" s="260"/>
      <c r="F684" s="260"/>
      <c r="G684" s="260"/>
      <c r="H684" s="260"/>
      <c r="I684" s="260"/>
      <c r="J684" s="260"/>
      <c r="K684" s="259"/>
      <c r="L684" s="259"/>
    </row>
    <row r="685" spans="5:12" ht="15.75" customHeight="1" x14ac:dyDescent="0.25">
      <c r="E685" s="260"/>
      <c r="F685" s="260"/>
      <c r="G685" s="260"/>
      <c r="H685" s="260"/>
      <c r="I685" s="260"/>
      <c r="J685" s="260"/>
      <c r="K685" s="259"/>
      <c r="L685" s="259"/>
    </row>
    <row r="686" spans="5:12" ht="15.75" customHeight="1" x14ac:dyDescent="0.25">
      <c r="E686" s="260"/>
      <c r="F686" s="260"/>
      <c r="G686" s="260"/>
      <c r="H686" s="260"/>
      <c r="I686" s="260"/>
      <c r="J686" s="260"/>
      <c r="K686" s="259"/>
      <c r="L686" s="259"/>
    </row>
    <row r="687" spans="5:12" ht="15.75" customHeight="1" x14ac:dyDescent="0.25">
      <c r="E687" s="260"/>
      <c r="F687" s="260"/>
      <c r="G687" s="260"/>
      <c r="H687" s="260"/>
      <c r="I687" s="260"/>
      <c r="J687" s="260"/>
      <c r="K687" s="259"/>
      <c r="L687" s="259"/>
    </row>
    <row r="688" spans="5:12" ht="15.75" customHeight="1" x14ac:dyDescent="0.25">
      <c r="E688" s="260"/>
      <c r="F688" s="260"/>
      <c r="G688" s="260"/>
      <c r="H688" s="260"/>
      <c r="I688" s="260"/>
      <c r="J688" s="260"/>
      <c r="K688" s="259"/>
      <c r="L688" s="259"/>
    </row>
    <row r="689" spans="5:12" ht="15.75" customHeight="1" x14ac:dyDescent="0.25">
      <c r="E689" s="260"/>
      <c r="F689" s="260"/>
      <c r="G689" s="260"/>
      <c r="H689" s="260"/>
      <c r="I689" s="260"/>
      <c r="J689" s="260"/>
      <c r="K689" s="259"/>
      <c r="L689" s="259"/>
    </row>
    <row r="690" spans="5:12" ht="15.75" customHeight="1" x14ac:dyDescent="0.25">
      <c r="E690" s="260"/>
      <c r="F690" s="260"/>
      <c r="G690" s="260"/>
      <c r="H690" s="260"/>
      <c r="I690" s="260"/>
      <c r="J690" s="260"/>
      <c r="K690" s="259"/>
      <c r="L690" s="259"/>
    </row>
    <row r="691" spans="5:12" ht="15.75" customHeight="1" x14ac:dyDescent="0.25">
      <c r="E691" s="260"/>
      <c r="F691" s="260"/>
      <c r="G691" s="260"/>
      <c r="H691" s="260"/>
      <c r="I691" s="260"/>
      <c r="J691" s="260"/>
      <c r="K691" s="259"/>
      <c r="L691" s="259"/>
    </row>
    <row r="692" spans="5:12" ht="15.75" customHeight="1" x14ac:dyDescent="0.25">
      <c r="E692" s="260"/>
      <c r="F692" s="260"/>
      <c r="G692" s="260"/>
      <c r="H692" s="260"/>
      <c r="I692" s="260"/>
      <c r="J692" s="260"/>
      <c r="K692" s="259"/>
      <c r="L692" s="259"/>
    </row>
    <row r="693" spans="5:12" ht="15.75" customHeight="1" x14ac:dyDescent="0.25">
      <c r="E693" s="260"/>
      <c r="F693" s="260"/>
      <c r="G693" s="260"/>
      <c r="H693" s="260"/>
      <c r="I693" s="260"/>
      <c r="J693" s="260"/>
      <c r="K693" s="259"/>
      <c r="L693" s="259"/>
    </row>
    <row r="694" spans="5:12" ht="15.75" customHeight="1" x14ac:dyDescent="0.25">
      <c r="E694" s="260"/>
      <c r="F694" s="260"/>
      <c r="G694" s="260"/>
      <c r="H694" s="260"/>
      <c r="I694" s="260"/>
      <c r="J694" s="260"/>
      <c r="K694" s="259"/>
      <c r="L694" s="259"/>
    </row>
    <row r="695" spans="5:12" ht="15.75" customHeight="1" x14ac:dyDescent="0.25">
      <c r="E695" s="260"/>
      <c r="F695" s="260"/>
      <c r="G695" s="260"/>
      <c r="H695" s="260"/>
      <c r="I695" s="260"/>
      <c r="J695" s="260"/>
      <c r="K695" s="259"/>
      <c r="L695" s="259"/>
    </row>
    <row r="696" spans="5:12" ht="15.75" customHeight="1" x14ac:dyDescent="0.25">
      <c r="E696" s="260"/>
      <c r="F696" s="260"/>
      <c r="G696" s="260"/>
      <c r="H696" s="260"/>
      <c r="I696" s="260"/>
      <c r="J696" s="260"/>
      <c r="K696" s="259"/>
      <c r="L696" s="259"/>
    </row>
    <row r="697" spans="5:12" ht="15.75" customHeight="1" x14ac:dyDescent="0.25">
      <c r="E697" s="260"/>
      <c r="F697" s="260"/>
      <c r="G697" s="260"/>
      <c r="H697" s="260"/>
      <c r="I697" s="260"/>
      <c r="J697" s="260"/>
      <c r="K697" s="259"/>
      <c r="L697" s="259"/>
    </row>
    <row r="698" spans="5:12" ht="15.75" customHeight="1" x14ac:dyDescent="0.25">
      <c r="E698" s="260"/>
      <c r="F698" s="260"/>
      <c r="G698" s="260"/>
      <c r="H698" s="260"/>
      <c r="I698" s="260"/>
      <c r="J698" s="260"/>
      <c r="K698" s="259"/>
      <c r="L698" s="259"/>
    </row>
    <row r="699" spans="5:12" ht="15.75" customHeight="1" x14ac:dyDescent="0.25">
      <c r="E699" s="260"/>
      <c r="F699" s="260"/>
      <c r="G699" s="260"/>
      <c r="H699" s="260"/>
      <c r="I699" s="260"/>
      <c r="J699" s="260"/>
      <c r="K699" s="259"/>
      <c r="L699" s="259"/>
    </row>
    <row r="700" spans="5:12" ht="15.75" customHeight="1" x14ac:dyDescent="0.25">
      <c r="E700" s="260"/>
      <c r="F700" s="260"/>
      <c r="G700" s="260"/>
      <c r="H700" s="260"/>
      <c r="I700" s="260"/>
      <c r="J700" s="260"/>
      <c r="K700" s="259"/>
      <c r="L700" s="259"/>
    </row>
    <row r="701" spans="5:12" ht="15.75" customHeight="1" x14ac:dyDescent="0.25">
      <c r="E701" s="260"/>
      <c r="F701" s="260"/>
      <c r="G701" s="260"/>
      <c r="H701" s="260"/>
      <c r="I701" s="260"/>
      <c r="J701" s="260"/>
      <c r="K701" s="259"/>
      <c r="L701" s="259"/>
    </row>
    <row r="702" spans="5:12" ht="15.75" customHeight="1" x14ac:dyDescent="0.25">
      <c r="E702" s="260"/>
      <c r="F702" s="260"/>
      <c r="G702" s="260"/>
      <c r="H702" s="260"/>
      <c r="I702" s="260"/>
      <c r="J702" s="260"/>
      <c r="K702" s="259"/>
      <c r="L702" s="259"/>
    </row>
    <row r="703" spans="5:12" ht="15.75" customHeight="1" x14ac:dyDescent="0.25">
      <c r="E703" s="260"/>
      <c r="F703" s="260"/>
      <c r="G703" s="260"/>
      <c r="H703" s="260"/>
      <c r="I703" s="260"/>
      <c r="J703" s="260"/>
      <c r="K703" s="259"/>
      <c r="L703" s="259"/>
    </row>
    <row r="704" spans="5:12" ht="15.75" customHeight="1" x14ac:dyDescent="0.25">
      <c r="E704" s="260"/>
      <c r="F704" s="260"/>
      <c r="G704" s="260"/>
      <c r="H704" s="260"/>
      <c r="I704" s="260"/>
      <c r="J704" s="260"/>
      <c r="K704" s="259"/>
      <c r="L704" s="259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 x14ac:dyDescent="0.25"/>
  <cols>
    <col min="1" max="1" width="92" style="100" bestFit="1" customWidth="1"/>
    <col min="2" max="16384" width="9.140625" style="100"/>
  </cols>
  <sheetData>
    <row r="1" spans="1:1" x14ac:dyDescent="0.25">
      <c r="A1" s="101" t="s">
        <v>837</v>
      </c>
    </row>
    <row r="2" spans="1:1" x14ac:dyDescent="0.25">
      <c r="A2" s="101"/>
    </row>
    <row r="3" spans="1:1" x14ac:dyDescent="0.25">
      <c r="A3" s="102" t="s">
        <v>838</v>
      </c>
    </row>
    <row r="4" spans="1:1" x14ac:dyDescent="0.25">
      <c r="A4" s="103" t="s">
        <v>839</v>
      </c>
    </row>
    <row r="5" spans="1:1" x14ac:dyDescent="0.25">
      <c r="A5" s="101" t="s">
        <v>840</v>
      </c>
    </row>
    <row r="6" spans="1:1" x14ac:dyDescent="0.25">
      <c r="A6" s="101" t="s">
        <v>841</v>
      </c>
    </row>
    <row r="7" spans="1:1" x14ac:dyDescent="0.25">
      <c r="A7" s="101" t="s">
        <v>842</v>
      </c>
    </row>
    <row r="8" spans="1:1" x14ac:dyDescent="0.25">
      <c r="A8" s="101" t="s">
        <v>843</v>
      </c>
    </row>
    <row r="9" spans="1:1" x14ac:dyDescent="0.25">
      <c r="A9" s="101"/>
    </row>
    <row r="10" spans="1:1" x14ac:dyDescent="0.25">
      <c r="A10" s="102" t="s">
        <v>844</v>
      </c>
    </row>
    <row r="11" spans="1:1" x14ac:dyDescent="0.25">
      <c r="A11" s="103" t="s">
        <v>845</v>
      </c>
    </row>
    <row r="12" spans="1:1" x14ac:dyDescent="0.25">
      <c r="A12" s="101" t="s">
        <v>846</v>
      </c>
    </row>
    <row r="13" spans="1:1" x14ac:dyDescent="0.25">
      <c r="A13" s="101"/>
    </row>
    <row r="14" spans="1:1" x14ac:dyDescent="0.25">
      <c r="A14" s="102" t="s">
        <v>847</v>
      </c>
    </row>
    <row r="15" spans="1:1" x14ac:dyDescent="0.25">
      <c r="A15" s="101" t="s">
        <v>848</v>
      </c>
    </row>
    <row r="16" spans="1:1" x14ac:dyDescent="0.25">
      <c r="A16" s="101" t="s">
        <v>849</v>
      </c>
    </row>
    <row r="17" spans="1:1" x14ac:dyDescent="0.25">
      <c r="A17" s="101" t="s">
        <v>850</v>
      </c>
    </row>
    <row r="18" spans="1:1" x14ac:dyDescent="0.25">
      <c r="A18" s="101" t="s">
        <v>851</v>
      </c>
    </row>
    <row r="19" spans="1:1" x14ac:dyDescent="0.25">
      <c r="A19" s="101" t="s">
        <v>852</v>
      </c>
    </row>
    <row r="20" spans="1:1" x14ac:dyDescent="0.25">
      <c r="A20" s="101" t="s">
        <v>853</v>
      </c>
    </row>
    <row r="21" spans="1:1" x14ac:dyDescent="0.25">
      <c r="A21" s="101"/>
    </row>
    <row r="22" spans="1:1" x14ac:dyDescent="0.25">
      <c r="A22" s="102" t="s">
        <v>854</v>
      </c>
    </row>
    <row r="23" spans="1:1" x14ac:dyDescent="0.25">
      <c r="A23" s="101" t="s">
        <v>855</v>
      </c>
    </row>
    <row r="24" spans="1:1" x14ac:dyDescent="0.25">
      <c r="A24" s="101" t="s">
        <v>856</v>
      </c>
    </row>
    <row r="25" spans="1:1" x14ac:dyDescent="0.25">
      <c r="A25" s="101" t="s">
        <v>857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L55"/>
  <sheetViews>
    <sheetView workbookViewId="0"/>
  </sheetViews>
  <sheetFormatPr defaultRowHeight="15" x14ac:dyDescent="0.25"/>
  <cols>
    <col min="1" max="1" width="28" style="202" bestFit="1" customWidth="1"/>
    <col min="2" max="2" width="34.85546875" style="203" bestFit="1" customWidth="1"/>
    <col min="3" max="3" width="43" style="203" bestFit="1" customWidth="1"/>
    <col min="4" max="4" width="25.28515625" style="203" customWidth="1"/>
    <col min="5" max="5" width="34.85546875" style="203" bestFit="1" customWidth="1"/>
    <col min="6" max="6" width="41.5703125" style="203" bestFit="1" customWidth="1"/>
    <col min="7" max="7" width="33.140625" style="204" bestFit="1" customWidth="1"/>
    <col min="8" max="8" width="56.85546875" style="199" bestFit="1" customWidth="1"/>
    <col min="9" max="9" width="9.140625" style="197"/>
    <col min="10" max="10" width="102.28515625" style="197" bestFit="1" customWidth="1"/>
    <col min="11" max="11" width="35.7109375" style="197" bestFit="1" customWidth="1"/>
    <col min="12" max="16384" width="9.140625" style="197"/>
  </cols>
  <sheetData>
    <row r="1" spans="1:12" x14ac:dyDescent="0.25">
      <c r="A1" s="202" t="s">
        <v>858</v>
      </c>
      <c r="B1" s="203" t="s">
        <v>859</v>
      </c>
      <c r="C1" s="203" t="s">
        <v>860</v>
      </c>
      <c r="D1" s="203" t="s">
        <v>861</v>
      </c>
      <c r="E1" s="203" t="s">
        <v>862</v>
      </c>
      <c r="F1" s="203" t="s">
        <v>863</v>
      </c>
      <c r="G1" s="204" t="s">
        <v>864</v>
      </c>
      <c r="H1" s="199" t="s">
        <v>865</v>
      </c>
      <c r="J1" s="197" t="s">
        <v>866</v>
      </c>
      <c r="K1" s="197" t="s">
        <v>867</v>
      </c>
    </row>
    <row r="2" spans="1:12" x14ac:dyDescent="0.25">
      <c r="A2" s="202" t="s">
        <v>868</v>
      </c>
      <c r="B2" s="203">
        <v>1</v>
      </c>
      <c r="C2" s="203">
        <v>1</v>
      </c>
      <c r="D2" s="203">
        <v>1</v>
      </c>
      <c r="E2" s="203">
        <v>1</v>
      </c>
      <c r="F2" s="203">
        <v>1</v>
      </c>
      <c r="G2" s="204" t="s">
        <v>869</v>
      </c>
      <c r="H2" s="199">
        <v>2</v>
      </c>
      <c r="J2" s="205" t="s">
        <v>870</v>
      </c>
      <c r="K2" s="197" t="s">
        <v>871</v>
      </c>
      <c r="L2" s="197" t="s">
        <v>872</v>
      </c>
    </row>
    <row r="3" spans="1:12" x14ac:dyDescent="0.25">
      <c r="A3" s="202" t="s">
        <v>873</v>
      </c>
      <c r="B3" s="203" t="s">
        <v>874</v>
      </c>
      <c r="C3" s="203" t="s">
        <v>875</v>
      </c>
      <c r="D3" s="206" t="s">
        <v>874</v>
      </c>
      <c r="E3" s="206" t="s">
        <v>874</v>
      </c>
      <c r="F3" s="203" t="s">
        <v>876</v>
      </c>
      <c r="H3" s="199" t="s">
        <v>874</v>
      </c>
      <c r="J3" s="205" t="s">
        <v>877</v>
      </c>
      <c r="K3" s="197" t="s">
        <v>878</v>
      </c>
      <c r="L3" s="197" t="s">
        <v>879</v>
      </c>
    </row>
    <row r="4" spans="1:12" x14ac:dyDescent="0.25">
      <c r="A4" s="202" t="s">
        <v>880</v>
      </c>
      <c r="B4" s="203">
        <v>450</v>
      </c>
      <c r="C4" s="203">
        <v>450</v>
      </c>
      <c r="D4" s="203" t="s">
        <v>881</v>
      </c>
      <c r="E4" s="203">
        <v>285</v>
      </c>
      <c r="F4" s="203">
        <v>285</v>
      </c>
      <c r="G4" s="204">
        <v>300</v>
      </c>
      <c r="H4" s="199" t="s">
        <v>882</v>
      </c>
      <c r="J4" s="205" t="s">
        <v>883</v>
      </c>
      <c r="K4" s="197" t="s">
        <v>661</v>
      </c>
      <c r="L4" s="197" t="s">
        <v>884</v>
      </c>
    </row>
    <row r="5" spans="1:12" x14ac:dyDescent="0.25">
      <c r="A5" s="202" t="s">
        <v>885</v>
      </c>
      <c r="B5" s="203" t="s">
        <v>886</v>
      </c>
      <c r="C5" s="203" t="s">
        <v>887</v>
      </c>
      <c r="D5" s="203">
        <v>150</v>
      </c>
      <c r="E5" s="203" t="s">
        <v>876</v>
      </c>
      <c r="F5" s="203">
        <v>157</v>
      </c>
      <c r="G5" s="204">
        <v>120</v>
      </c>
      <c r="H5" s="199" t="s">
        <v>888</v>
      </c>
      <c r="J5" s="205" t="s">
        <v>889</v>
      </c>
      <c r="K5" s="197" t="s">
        <v>890</v>
      </c>
      <c r="L5" s="197" t="s">
        <v>891</v>
      </c>
    </row>
    <row r="6" spans="1:12" ht="15" customHeight="1" x14ac:dyDescent="0.25">
      <c r="A6" s="202" t="s">
        <v>892</v>
      </c>
      <c r="B6" s="203">
        <v>80</v>
      </c>
      <c r="C6" s="203">
        <v>100</v>
      </c>
      <c r="D6" s="203" t="s">
        <v>876</v>
      </c>
      <c r="E6" s="203" t="s">
        <v>876</v>
      </c>
      <c r="F6" s="203" t="s">
        <v>876</v>
      </c>
      <c r="G6" s="204">
        <v>60</v>
      </c>
      <c r="H6" s="199" t="s">
        <v>893</v>
      </c>
      <c r="J6" s="205" t="s">
        <v>894</v>
      </c>
      <c r="K6" s="197" t="s">
        <v>559</v>
      </c>
    </row>
    <row r="7" spans="1:12" x14ac:dyDescent="0.25">
      <c r="A7" s="202" t="s">
        <v>895</v>
      </c>
      <c r="B7" s="203" t="s">
        <v>896</v>
      </c>
      <c r="C7" s="203" t="s">
        <v>897</v>
      </c>
      <c r="D7" s="203" t="s">
        <v>898</v>
      </c>
      <c r="E7" s="203" t="s">
        <v>899</v>
      </c>
      <c r="F7" s="203" t="s">
        <v>900</v>
      </c>
      <c r="G7" s="204" t="s">
        <v>901</v>
      </c>
      <c r="H7" s="199" t="s">
        <v>902</v>
      </c>
      <c r="J7" s="205" t="s">
        <v>903</v>
      </c>
      <c r="K7" s="197" t="s">
        <v>904</v>
      </c>
      <c r="L7" s="197" t="s">
        <v>905</v>
      </c>
    </row>
    <row r="8" spans="1:12" x14ac:dyDescent="0.25">
      <c r="A8" s="202" t="s">
        <v>906</v>
      </c>
      <c r="B8" s="203" t="s">
        <v>907</v>
      </c>
      <c r="C8" s="203" t="s">
        <v>907</v>
      </c>
      <c r="D8" s="203" t="s">
        <v>801</v>
      </c>
      <c r="E8" s="203" t="s">
        <v>907</v>
      </c>
      <c r="F8" s="203" t="s">
        <v>907</v>
      </c>
      <c r="G8" s="204" t="s">
        <v>908</v>
      </c>
      <c r="H8" s="199" t="s">
        <v>909</v>
      </c>
      <c r="J8" s="205" t="s">
        <v>910</v>
      </c>
      <c r="K8" s="197" t="s">
        <v>911</v>
      </c>
      <c r="L8" s="197" t="s">
        <v>912</v>
      </c>
    </row>
    <row r="9" spans="1:12" x14ac:dyDescent="0.25">
      <c r="A9" s="202" t="s">
        <v>913</v>
      </c>
      <c r="B9" s="203" t="s">
        <v>914</v>
      </c>
      <c r="C9" s="203" t="s">
        <v>914</v>
      </c>
      <c r="D9" s="203" t="s">
        <v>915</v>
      </c>
      <c r="E9" s="203" t="s">
        <v>916</v>
      </c>
      <c r="F9" s="203" t="s">
        <v>917</v>
      </c>
      <c r="H9" s="199" t="s">
        <v>918</v>
      </c>
      <c r="J9" s="205" t="s">
        <v>919</v>
      </c>
      <c r="K9" s="197" t="s">
        <v>920</v>
      </c>
      <c r="L9" s="197" t="s">
        <v>921</v>
      </c>
    </row>
    <row r="10" spans="1:12" ht="15" customHeight="1" x14ac:dyDescent="0.25">
      <c r="A10" s="202" t="s">
        <v>922</v>
      </c>
      <c r="B10" s="207" t="s">
        <v>923</v>
      </c>
      <c r="C10" s="207" t="s">
        <v>924</v>
      </c>
      <c r="D10" s="207" t="s">
        <v>925</v>
      </c>
      <c r="E10" s="207" t="s">
        <v>926</v>
      </c>
      <c r="F10" s="203" t="s">
        <v>927</v>
      </c>
      <c r="G10" s="200" t="s">
        <v>928</v>
      </c>
      <c r="H10" s="199" t="s">
        <v>929</v>
      </c>
      <c r="J10" s="205" t="s">
        <v>930</v>
      </c>
      <c r="K10" s="197" t="s">
        <v>931</v>
      </c>
    </row>
    <row r="11" spans="1:12" x14ac:dyDescent="0.25">
      <c r="A11" s="202" t="s">
        <v>932</v>
      </c>
      <c r="B11" s="203" t="s">
        <v>933</v>
      </c>
      <c r="C11" s="203" t="s">
        <v>933</v>
      </c>
      <c r="D11" s="203" t="s">
        <v>934</v>
      </c>
      <c r="E11" s="203" t="s">
        <v>935</v>
      </c>
      <c r="F11" s="203" t="s">
        <v>936</v>
      </c>
      <c r="G11" s="204" t="s">
        <v>908</v>
      </c>
      <c r="H11" s="199" t="s">
        <v>933</v>
      </c>
      <c r="J11" s="205" t="s">
        <v>937</v>
      </c>
      <c r="K11" s="197" t="s">
        <v>931</v>
      </c>
      <c r="L11" s="197" t="s">
        <v>938</v>
      </c>
    </row>
    <row r="12" spans="1:12" x14ac:dyDescent="0.25">
      <c r="A12" s="208" t="s">
        <v>939</v>
      </c>
      <c r="B12" s="207" t="s">
        <v>940</v>
      </c>
      <c r="C12" s="207" t="s">
        <v>941</v>
      </c>
      <c r="D12" s="209" t="s">
        <v>942</v>
      </c>
      <c r="E12" s="207" t="s">
        <v>943</v>
      </c>
      <c r="F12" s="209" t="s">
        <v>944</v>
      </c>
      <c r="H12" s="199" t="s">
        <v>945</v>
      </c>
      <c r="J12" s="205" t="s">
        <v>946</v>
      </c>
      <c r="K12" s="197" t="s">
        <v>947</v>
      </c>
      <c r="L12" s="197" t="s">
        <v>948</v>
      </c>
    </row>
    <row r="13" spans="1:12" x14ac:dyDescent="0.25">
      <c r="A13" s="202" t="s">
        <v>949</v>
      </c>
      <c r="B13" s="203" t="s">
        <v>950</v>
      </c>
      <c r="C13" s="203" t="s">
        <v>950</v>
      </c>
      <c r="D13" s="203">
        <v>120</v>
      </c>
      <c r="E13" s="203" t="s">
        <v>876</v>
      </c>
      <c r="F13" s="203" t="s">
        <v>951</v>
      </c>
      <c r="G13" s="204" t="s">
        <v>952</v>
      </c>
      <c r="H13" s="199" t="s">
        <v>950</v>
      </c>
      <c r="J13" s="205" t="s">
        <v>953</v>
      </c>
      <c r="K13" s="197" t="s">
        <v>954</v>
      </c>
      <c r="L13" s="197" t="s">
        <v>955</v>
      </c>
    </row>
    <row r="14" spans="1:12" x14ac:dyDescent="0.25">
      <c r="A14" s="202" t="s">
        <v>956</v>
      </c>
      <c r="B14" s="203" t="s">
        <v>957</v>
      </c>
      <c r="C14" s="203" t="s">
        <v>957</v>
      </c>
      <c r="D14" s="203" t="s">
        <v>958</v>
      </c>
      <c r="E14" s="203" t="s">
        <v>959</v>
      </c>
      <c r="F14" s="203" t="s">
        <v>960</v>
      </c>
      <c r="G14" s="204" t="s">
        <v>961</v>
      </c>
      <c r="H14" s="199" t="s">
        <v>962</v>
      </c>
      <c r="J14" s="205" t="s">
        <v>963</v>
      </c>
      <c r="K14" s="197" t="s">
        <v>964</v>
      </c>
      <c r="L14" s="197" t="s">
        <v>965</v>
      </c>
    </row>
    <row r="15" spans="1:12" x14ac:dyDescent="0.25">
      <c r="A15" s="198" t="s">
        <v>966</v>
      </c>
      <c r="B15" s="203" t="s">
        <v>907</v>
      </c>
      <c r="C15" s="203" t="s">
        <v>907</v>
      </c>
      <c r="H15" s="199" t="s">
        <v>907</v>
      </c>
      <c r="J15" s="205" t="s">
        <v>967</v>
      </c>
      <c r="K15" s="197" t="s">
        <v>968</v>
      </c>
      <c r="L15" s="197" t="s">
        <v>969</v>
      </c>
    </row>
    <row r="16" spans="1:12" x14ac:dyDescent="0.25">
      <c r="A16" s="202" t="s">
        <v>970</v>
      </c>
      <c r="B16" s="203" t="s">
        <v>971</v>
      </c>
      <c r="C16" s="203" t="s">
        <v>972</v>
      </c>
      <c r="D16" s="203" t="s">
        <v>973</v>
      </c>
      <c r="E16" s="203" t="s">
        <v>974</v>
      </c>
      <c r="F16" s="203" t="s">
        <v>974</v>
      </c>
      <c r="H16" s="199" t="s">
        <v>975</v>
      </c>
      <c r="J16" s="205" t="s">
        <v>976</v>
      </c>
      <c r="K16" s="197" t="s">
        <v>977</v>
      </c>
      <c r="L16" s="197" t="s">
        <v>978</v>
      </c>
    </row>
    <row r="17" spans="1:12" ht="15" customHeight="1" x14ac:dyDescent="0.25">
      <c r="A17" s="202" t="s">
        <v>979</v>
      </c>
      <c r="B17" s="203" t="s">
        <v>980</v>
      </c>
      <c r="C17" s="203" t="s">
        <v>981</v>
      </c>
      <c r="D17" s="203" t="s">
        <v>982</v>
      </c>
      <c r="E17" s="203" t="s">
        <v>974</v>
      </c>
      <c r="F17" s="203" t="s">
        <v>974</v>
      </c>
      <c r="H17" s="199" t="s">
        <v>980</v>
      </c>
      <c r="J17" s="205" t="s">
        <v>983</v>
      </c>
      <c r="K17" s="197" t="s">
        <v>984</v>
      </c>
    </row>
    <row r="18" spans="1:12" x14ac:dyDescent="0.25">
      <c r="A18" s="202" t="s">
        <v>985</v>
      </c>
      <c r="B18" s="203" t="s">
        <v>986</v>
      </c>
      <c r="C18" s="203" t="s">
        <v>987</v>
      </c>
      <c r="D18" s="203" t="s">
        <v>988</v>
      </c>
      <c r="E18" s="203" t="s">
        <v>989</v>
      </c>
      <c r="F18" s="203" t="s">
        <v>990</v>
      </c>
      <c r="H18" s="199" t="s">
        <v>991</v>
      </c>
      <c r="J18" s="205" t="s">
        <v>992</v>
      </c>
      <c r="K18" s="197" t="s">
        <v>993</v>
      </c>
      <c r="L18" s="197" t="s">
        <v>994</v>
      </c>
    </row>
    <row r="19" spans="1:12" x14ac:dyDescent="0.25">
      <c r="A19" s="202" t="s">
        <v>995</v>
      </c>
      <c r="B19" s="203" t="s">
        <v>996</v>
      </c>
      <c r="C19" s="203" t="s">
        <v>996</v>
      </c>
      <c r="D19" s="203" t="s">
        <v>997</v>
      </c>
      <c r="E19" s="203" t="s">
        <v>998</v>
      </c>
      <c r="F19" s="203" t="s">
        <v>999</v>
      </c>
      <c r="G19" s="204" t="s">
        <v>997</v>
      </c>
      <c r="H19" s="204" t="s">
        <v>997</v>
      </c>
      <c r="J19" s="205" t="s">
        <v>1000</v>
      </c>
      <c r="K19" s="197" t="s">
        <v>1001</v>
      </c>
      <c r="L19" s="197" t="s">
        <v>1002</v>
      </c>
    </row>
    <row r="20" spans="1:12" x14ac:dyDescent="0.25">
      <c r="A20" s="198" t="s">
        <v>1003</v>
      </c>
      <c r="B20" s="199" t="s">
        <v>1004</v>
      </c>
      <c r="C20" s="199" t="s">
        <v>1005</v>
      </c>
      <c r="G20" s="204" t="s">
        <v>1006</v>
      </c>
      <c r="H20" s="199" t="s">
        <v>1007</v>
      </c>
      <c r="J20" s="205" t="s">
        <v>1008</v>
      </c>
      <c r="K20" s="197" t="s">
        <v>1009</v>
      </c>
      <c r="L20" s="197" t="s">
        <v>1010</v>
      </c>
    </row>
    <row r="21" spans="1:12" ht="15" customHeight="1" x14ac:dyDescent="0.25">
      <c r="A21" s="202" t="s">
        <v>1011</v>
      </c>
      <c r="B21" s="203" t="s">
        <v>1012</v>
      </c>
      <c r="C21" s="203" t="s">
        <v>1012</v>
      </c>
      <c r="D21" s="203" t="s">
        <v>1013</v>
      </c>
      <c r="E21" s="203" t="s">
        <v>1013</v>
      </c>
      <c r="G21" s="201" t="s">
        <v>1014</v>
      </c>
      <c r="H21" s="199" t="s">
        <v>1015</v>
      </c>
      <c r="J21" s="205" t="s">
        <v>1016</v>
      </c>
      <c r="K21" s="197" t="s">
        <v>1017</v>
      </c>
    </row>
    <row r="22" spans="1:12" x14ac:dyDescent="0.25">
      <c r="A22" s="202" t="s">
        <v>1018</v>
      </c>
      <c r="B22" s="203" t="s">
        <v>1019</v>
      </c>
      <c r="C22" s="203" t="s">
        <v>1020</v>
      </c>
      <c r="D22" s="203" t="s">
        <v>1013</v>
      </c>
      <c r="E22" s="203" t="s">
        <v>1013</v>
      </c>
      <c r="F22" s="203" t="s">
        <v>1013</v>
      </c>
      <c r="G22" s="204" t="s">
        <v>1021</v>
      </c>
      <c r="H22" s="199" t="s">
        <v>1022</v>
      </c>
      <c r="J22" s="205" t="s">
        <v>1023</v>
      </c>
      <c r="K22" s="197" t="s">
        <v>1024</v>
      </c>
      <c r="L22" s="197" t="s">
        <v>1025</v>
      </c>
    </row>
    <row r="23" spans="1:12" x14ac:dyDescent="0.25">
      <c r="A23" s="202" t="s">
        <v>1026</v>
      </c>
      <c r="B23" s="203" t="s">
        <v>1012</v>
      </c>
      <c r="C23" s="203" t="s">
        <v>1012</v>
      </c>
      <c r="D23" s="203" t="s">
        <v>1013</v>
      </c>
      <c r="E23" s="203" t="s">
        <v>1013</v>
      </c>
      <c r="F23" s="203" t="s">
        <v>1013</v>
      </c>
      <c r="G23" s="204" t="s">
        <v>1027</v>
      </c>
      <c r="H23" s="199" t="s">
        <v>1012</v>
      </c>
      <c r="J23" s="205" t="s">
        <v>1028</v>
      </c>
      <c r="K23" s="197" t="s">
        <v>1029</v>
      </c>
      <c r="L23" s="197" t="s">
        <v>1030</v>
      </c>
    </row>
    <row r="24" spans="1:12" x14ac:dyDescent="0.25">
      <c r="A24" s="202" t="s">
        <v>1031</v>
      </c>
      <c r="B24" s="203" t="s">
        <v>1012</v>
      </c>
      <c r="C24" s="203" t="s">
        <v>1012</v>
      </c>
      <c r="D24" s="203" t="s">
        <v>876</v>
      </c>
      <c r="E24" s="203" t="s">
        <v>907</v>
      </c>
      <c r="H24" s="199" t="s">
        <v>1012</v>
      </c>
      <c r="J24" s="205" t="s">
        <v>1032</v>
      </c>
      <c r="K24" s="197" t="s">
        <v>1033</v>
      </c>
      <c r="L24" s="197" t="s">
        <v>1034</v>
      </c>
    </row>
    <row r="25" spans="1:12" x14ac:dyDescent="0.25">
      <c r="A25" s="202" t="s">
        <v>1035</v>
      </c>
      <c r="B25" s="203">
        <v>0.05</v>
      </c>
      <c r="C25" s="203">
        <v>0.05</v>
      </c>
      <c r="D25" s="203" t="s">
        <v>876</v>
      </c>
      <c r="E25" s="203" t="s">
        <v>876</v>
      </c>
      <c r="G25" s="204">
        <v>0.05</v>
      </c>
      <c r="H25" s="199">
        <v>0.04</v>
      </c>
      <c r="J25" s="205" t="s">
        <v>1036</v>
      </c>
      <c r="K25" s="197" t="s">
        <v>1037</v>
      </c>
      <c r="L25" s="197" t="s">
        <v>1030</v>
      </c>
    </row>
    <row r="26" spans="1:12" x14ac:dyDescent="0.25">
      <c r="A26" s="202" t="s">
        <v>1038</v>
      </c>
      <c r="B26" s="203" t="s">
        <v>1012</v>
      </c>
      <c r="C26" s="203" t="s">
        <v>1039</v>
      </c>
      <c r="D26" s="203" t="s">
        <v>876</v>
      </c>
      <c r="E26" s="203" t="s">
        <v>1040</v>
      </c>
      <c r="G26" s="204" t="s">
        <v>1041</v>
      </c>
      <c r="H26" s="199" t="s">
        <v>907</v>
      </c>
      <c r="J26" s="205" t="s">
        <v>1042</v>
      </c>
      <c r="K26" s="197" t="s">
        <v>1043</v>
      </c>
      <c r="L26" s="197" t="s">
        <v>1030</v>
      </c>
    </row>
    <row r="27" spans="1:12" x14ac:dyDescent="0.25">
      <c r="A27" s="202" t="s">
        <v>1044</v>
      </c>
      <c r="B27" s="203" t="s">
        <v>1045</v>
      </c>
      <c r="C27" s="203" t="s">
        <v>1045</v>
      </c>
      <c r="D27" s="203" t="s">
        <v>876</v>
      </c>
      <c r="E27" s="203" t="s">
        <v>1046</v>
      </c>
      <c r="H27" s="203" t="s">
        <v>1045</v>
      </c>
      <c r="J27" s="205" t="s">
        <v>1047</v>
      </c>
      <c r="K27" s="197" t="s">
        <v>1048</v>
      </c>
      <c r="L27" s="197" t="s">
        <v>1030</v>
      </c>
    </row>
    <row r="28" spans="1:12" x14ac:dyDescent="0.25">
      <c r="A28" s="202" t="s">
        <v>1049</v>
      </c>
      <c r="B28" s="203" t="s">
        <v>1050</v>
      </c>
      <c r="C28" s="203" t="s">
        <v>1050</v>
      </c>
      <c r="D28" s="203" t="s">
        <v>876</v>
      </c>
      <c r="E28" s="203" t="s">
        <v>1051</v>
      </c>
      <c r="G28" s="203" t="s">
        <v>1052</v>
      </c>
      <c r="H28" s="199" t="s">
        <v>1050</v>
      </c>
      <c r="J28" s="205" t="s">
        <v>1053</v>
      </c>
      <c r="K28" s="197" t="s">
        <v>1054</v>
      </c>
      <c r="L28" s="197" t="s">
        <v>1030</v>
      </c>
    </row>
    <row r="29" spans="1:12" ht="15" customHeight="1" x14ac:dyDescent="0.25">
      <c r="A29" s="202" t="s">
        <v>1055</v>
      </c>
      <c r="B29" s="203" t="s">
        <v>1056</v>
      </c>
      <c r="C29" s="203" t="s">
        <v>1057</v>
      </c>
      <c r="D29" s="203" t="s">
        <v>1058</v>
      </c>
      <c r="E29" s="203" t="s">
        <v>1056</v>
      </c>
      <c r="G29" s="204" t="s">
        <v>1059</v>
      </c>
      <c r="H29" s="199" t="s">
        <v>1060</v>
      </c>
      <c r="J29" s="205" t="s">
        <v>1061</v>
      </c>
      <c r="K29" s="197" t="s">
        <v>1062</v>
      </c>
    </row>
    <row r="30" spans="1:12" x14ac:dyDescent="0.25">
      <c r="A30" s="202" t="s">
        <v>931</v>
      </c>
      <c r="B30" s="203" t="s">
        <v>1063</v>
      </c>
      <c r="C30" s="203" t="s">
        <v>1064</v>
      </c>
      <c r="D30" s="203" t="s">
        <v>1058</v>
      </c>
      <c r="E30" s="203" t="s">
        <v>876</v>
      </c>
      <c r="G30" s="204" t="s">
        <v>1027</v>
      </c>
      <c r="H30" s="199" t="s">
        <v>1065</v>
      </c>
      <c r="J30" s="205" t="s">
        <v>1066</v>
      </c>
      <c r="K30" s="197" t="s">
        <v>1067</v>
      </c>
      <c r="L30" s="197" t="s">
        <v>1068</v>
      </c>
    </row>
    <row r="31" spans="1:12" x14ac:dyDescent="0.25">
      <c r="A31" s="202" t="s">
        <v>1069</v>
      </c>
      <c r="B31" s="203" t="s">
        <v>1070</v>
      </c>
      <c r="C31" s="203" t="s">
        <v>1070</v>
      </c>
      <c r="D31" s="203" t="s">
        <v>1058</v>
      </c>
      <c r="E31" s="203" t="s">
        <v>876</v>
      </c>
      <c r="G31" s="204" t="s">
        <v>1071</v>
      </c>
      <c r="H31" s="203" t="s">
        <v>1070</v>
      </c>
      <c r="J31" s="205" t="s">
        <v>1072</v>
      </c>
      <c r="K31" s="197" t="s">
        <v>1073</v>
      </c>
      <c r="L31" s="197" t="s">
        <v>1074</v>
      </c>
    </row>
    <row r="32" spans="1:12" x14ac:dyDescent="0.25">
      <c r="A32" s="202" t="s">
        <v>1075</v>
      </c>
      <c r="B32" s="203" t="s">
        <v>1076</v>
      </c>
      <c r="C32" s="203" t="s">
        <v>1076</v>
      </c>
      <c r="D32" s="203" t="s">
        <v>1058</v>
      </c>
      <c r="E32" s="203" t="s">
        <v>876</v>
      </c>
      <c r="G32" s="204" t="s">
        <v>1077</v>
      </c>
      <c r="H32" s="199" t="s">
        <v>1078</v>
      </c>
      <c r="J32" s="205" t="s">
        <v>1079</v>
      </c>
      <c r="K32" s="197" t="s">
        <v>1080</v>
      </c>
      <c r="L32" s="197" t="s">
        <v>1081</v>
      </c>
    </row>
    <row r="33" spans="1:12" x14ac:dyDescent="0.25">
      <c r="A33" s="202" t="s">
        <v>1082</v>
      </c>
      <c r="B33" s="203" t="s">
        <v>1083</v>
      </c>
      <c r="C33" s="203" t="s">
        <v>1084</v>
      </c>
      <c r="D33" s="203" t="s">
        <v>1058</v>
      </c>
      <c r="E33" s="203" t="s">
        <v>1085</v>
      </c>
      <c r="G33" s="204" t="s">
        <v>1086</v>
      </c>
      <c r="H33" s="199" t="s">
        <v>1087</v>
      </c>
      <c r="J33" s="205" t="s">
        <v>1088</v>
      </c>
      <c r="K33" s="197" t="s">
        <v>1089</v>
      </c>
      <c r="L33" s="197" t="s">
        <v>1030</v>
      </c>
    </row>
    <row r="34" spans="1:12" x14ac:dyDescent="0.25">
      <c r="A34" s="202" t="s">
        <v>1090</v>
      </c>
      <c r="B34" s="203" t="s">
        <v>1091</v>
      </c>
      <c r="C34" s="203" t="s">
        <v>1092</v>
      </c>
      <c r="D34" s="203">
        <v>1000</v>
      </c>
      <c r="E34" s="203">
        <v>1200</v>
      </c>
      <c r="F34" s="203">
        <v>1700</v>
      </c>
      <c r="G34" s="204">
        <v>10305</v>
      </c>
      <c r="H34" s="199">
        <v>9800</v>
      </c>
      <c r="J34" s="205" t="s">
        <v>1093</v>
      </c>
      <c r="K34" s="197" t="s">
        <v>1094</v>
      </c>
      <c r="L34" s="197" t="s">
        <v>1095</v>
      </c>
    </row>
    <row r="35" spans="1:12" ht="15" customHeight="1" x14ac:dyDescent="0.25">
      <c r="A35" s="202" t="s">
        <v>1096</v>
      </c>
      <c r="B35" s="203">
        <v>1.75</v>
      </c>
      <c r="C35" s="203">
        <v>1.75</v>
      </c>
      <c r="D35" s="203">
        <v>1.75</v>
      </c>
      <c r="E35" s="203">
        <v>1.75</v>
      </c>
      <c r="F35" s="203">
        <v>1.75</v>
      </c>
      <c r="G35" s="204">
        <v>2.85</v>
      </c>
      <c r="H35" s="199">
        <v>1.75</v>
      </c>
      <c r="K35" s="197" t="s">
        <v>1097</v>
      </c>
    </row>
    <row r="36" spans="1:12" x14ac:dyDescent="0.25">
      <c r="K36" s="197" t="s">
        <v>1098</v>
      </c>
      <c r="L36" s="197" t="s">
        <v>1030</v>
      </c>
    </row>
    <row r="37" spans="1:12" x14ac:dyDescent="0.25">
      <c r="K37" s="197" t="s">
        <v>1099</v>
      </c>
      <c r="L37" s="197" t="s">
        <v>1100</v>
      </c>
    </row>
    <row r="38" spans="1:12" x14ac:dyDescent="0.25">
      <c r="K38" s="197" t="s">
        <v>1101</v>
      </c>
    </row>
    <row r="39" spans="1:12" x14ac:dyDescent="0.25">
      <c r="K39" s="197" t="s">
        <v>1102</v>
      </c>
      <c r="L39" s="197" t="s">
        <v>1103</v>
      </c>
    </row>
    <row r="40" spans="1:12" x14ac:dyDescent="0.25">
      <c r="K40" s="197" t="s">
        <v>1104</v>
      </c>
      <c r="L40" s="197" t="s">
        <v>1030</v>
      </c>
    </row>
    <row r="41" spans="1:12" x14ac:dyDescent="0.25">
      <c r="K41" s="197" t="s">
        <v>1105</v>
      </c>
      <c r="L41" s="197" t="s">
        <v>1106</v>
      </c>
    </row>
    <row r="42" spans="1:12" x14ac:dyDescent="0.25">
      <c r="K42" s="197" t="s">
        <v>1107</v>
      </c>
      <c r="L42" s="197" t="s">
        <v>1030</v>
      </c>
    </row>
    <row r="43" spans="1:12" x14ac:dyDescent="0.25">
      <c r="K43" s="197" t="s">
        <v>1108</v>
      </c>
      <c r="L43" s="197" t="s">
        <v>1030</v>
      </c>
    </row>
    <row r="44" spans="1:12" x14ac:dyDescent="0.25">
      <c r="K44" s="197" t="s">
        <v>1109</v>
      </c>
    </row>
    <row r="45" spans="1:12" x14ac:dyDescent="0.25">
      <c r="K45" s="197" t="s">
        <v>1110</v>
      </c>
      <c r="L45" s="197" t="s">
        <v>1111</v>
      </c>
    </row>
    <row r="46" spans="1:12" x14ac:dyDescent="0.25">
      <c r="K46" s="197" t="s">
        <v>1112</v>
      </c>
      <c r="L46" s="197" t="s">
        <v>1113</v>
      </c>
    </row>
    <row r="47" spans="1:12" x14ac:dyDescent="0.25">
      <c r="K47" s="197" t="s">
        <v>1114</v>
      </c>
      <c r="L47" s="197" t="s">
        <v>1115</v>
      </c>
    </row>
    <row r="48" spans="1:12" x14ac:dyDescent="0.25">
      <c r="K48" s="197" t="s">
        <v>1116</v>
      </c>
      <c r="L48" s="197" t="s">
        <v>1117</v>
      </c>
    </row>
    <row r="49" spans="11:12" x14ac:dyDescent="0.25">
      <c r="K49" s="197" t="s">
        <v>1118</v>
      </c>
      <c r="L49" s="197" t="s">
        <v>1030</v>
      </c>
    </row>
    <row r="50" spans="11:12" x14ac:dyDescent="0.25">
      <c r="K50" s="197" t="s">
        <v>1119</v>
      </c>
      <c r="L50" s="197" t="s">
        <v>1120</v>
      </c>
    </row>
    <row r="51" spans="11:12" x14ac:dyDescent="0.25">
      <c r="K51" s="197" t="s">
        <v>1121</v>
      </c>
      <c r="L51" s="197" t="s">
        <v>1030</v>
      </c>
    </row>
    <row r="52" spans="11:12" x14ac:dyDescent="0.25">
      <c r="K52" s="197" t="s">
        <v>1122</v>
      </c>
    </row>
    <row r="53" spans="11:12" x14ac:dyDescent="0.25">
      <c r="K53" s="197" t="s">
        <v>1123</v>
      </c>
      <c r="L53" s="197" t="s">
        <v>1124</v>
      </c>
    </row>
    <row r="54" spans="11:12" x14ac:dyDescent="0.25">
      <c r="K54" s="197" t="s">
        <v>1125</v>
      </c>
      <c r="L54" s="197" t="s">
        <v>1126</v>
      </c>
    </row>
    <row r="55" spans="11:12" x14ac:dyDescent="0.25">
      <c r="K55" s="197" t="s">
        <v>1127</v>
      </c>
      <c r="L55" s="197" t="s">
        <v>1128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1"/>
  <sheetViews>
    <sheetView workbookViewId="0"/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1129</v>
      </c>
      <c r="B1" t="s">
        <v>1130</v>
      </c>
      <c r="C1" t="s">
        <v>1131</v>
      </c>
      <c r="D1" t="s">
        <v>1132</v>
      </c>
    </row>
    <row r="2" spans="1:4" ht="14.25" customHeight="1" x14ac:dyDescent="0.25">
      <c r="A2" t="s">
        <v>1133</v>
      </c>
      <c r="B2" t="s">
        <v>1134</v>
      </c>
      <c r="C2" s="107" t="s">
        <v>1135</v>
      </c>
    </row>
    <row r="3" spans="1:4" x14ac:dyDescent="0.25">
      <c r="A3" s="1" t="s">
        <v>1136</v>
      </c>
      <c r="B3" s="1" t="s">
        <v>1137</v>
      </c>
      <c r="C3" s="93" t="s">
        <v>1135</v>
      </c>
    </row>
    <row r="4" spans="1:4" x14ac:dyDescent="0.25">
      <c r="A4" s="1" t="s">
        <v>1138</v>
      </c>
      <c r="B4" t="s">
        <v>1137</v>
      </c>
      <c r="C4" t="s">
        <v>357</v>
      </c>
    </row>
    <row r="5" spans="1:4" x14ac:dyDescent="0.25">
      <c r="A5" t="s">
        <v>1139</v>
      </c>
      <c r="B5" t="s">
        <v>1140</v>
      </c>
      <c r="C5" s="119" t="s">
        <v>1135</v>
      </c>
    </row>
    <row r="6" spans="1:4" x14ac:dyDescent="0.25">
      <c r="A6" s="1" t="s">
        <v>1141</v>
      </c>
      <c r="B6" t="s">
        <v>1142</v>
      </c>
    </row>
    <row r="7" spans="1:4" x14ac:dyDescent="0.25">
      <c r="A7" s="1" t="s">
        <v>1143</v>
      </c>
      <c r="B7" s="1" t="s">
        <v>1134</v>
      </c>
    </row>
    <row r="8" spans="1:4" x14ac:dyDescent="0.25">
      <c r="A8" t="s">
        <v>1144</v>
      </c>
      <c r="B8" t="s">
        <v>1134</v>
      </c>
    </row>
    <row r="9" spans="1:4" x14ac:dyDescent="0.25">
      <c r="A9" s="249" t="s">
        <v>1181</v>
      </c>
      <c r="B9" s="1" t="s">
        <v>1134</v>
      </c>
    </row>
    <row r="10" spans="1:4" x14ac:dyDescent="0.25">
      <c r="A10" s="1" t="s">
        <v>1182</v>
      </c>
      <c r="B10" s="1" t="s">
        <v>1134</v>
      </c>
    </row>
    <row r="11" spans="1:4" x14ac:dyDescent="0.25">
      <c r="A11" s="1" t="s">
        <v>1185</v>
      </c>
      <c r="B11" s="1" t="s">
        <v>1134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360</v>
      </c>
      <c r="B1" s="3" t="s">
        <v>1145</v>
      </c>
      <c r="C1" s="3" t="s">
        <v>361</v>
      </c>
      <c r="D1" s="3" t="s">
        <v>7</v>
      </c>
      <c r="E1" s="3" t="s">
        <v>1146</v>
      </c>
    </row>
    <row r="2" spans="1:5" x14ac:dyDescent="0.25">
      <c r="A2" s="109" t="s">
        <v>1147</v>
      </c>
      <c r="B2" s="109"/>
      <c r="C2" s="109"/>
      <c r="D2" s="109"/>
      <c r="E2" s="109"/>
    </row>
    <row r="3" spans="1:5" x14ac:dyDescent="0.25">
      <c r="A3" t="s">
        <v>1148</v>
      </c>
    </row>
    <row r="4" spans="1:5" x14ac:dyDescent="0.25">
      <c r="A4" t="s">
        <v>1149</v>
      </c>
    </row>
    <row r="5" spans="1:5" x14ac:dyDescent="0.25">
      <c r="A5" t="s">
        <v>1150</v>
      </c>
    </row>
    <row r="6" spans="1:5" x14ac:dyDescent="0.25">
      <c r="A6" t="s">
        <v>1151</v>
      </c>
      <c r="B6">
        <v>1</v>
      </c>
      <c r="C6" t="s">
        <v>1152</v>
      </c>
      <c r="E6" s="98" t="s">
        <v>1153</v>
      </c>
    </row>
    <row r="7" spans="1:5" x14ac:dyDescent="0.25">
      <c r="A7" t="s">
        <v>1154</v>
      </c>
      <c r="C7" t="s">
        <v>1155</v>
      </c>
    </row>
    <row r="8" spans="1:5" ht="16.5" customHeight="1" x14ac:dyDescent="0.25"/>
    <row r="9" spans="1:5" x14ac:dyDescent="0.25">
      <c r="A9" t="s">
        <v>1156</v>
      </c>
    </row>
    <row r="11" spans="1:5" x14ac:dyDescent="0.25">
      <c r="A11" s="4" t="s">
        <v>1157</v>
      </c>
    </row>
    <row r="12" spans="1:5" x14ac:dyDescent="0.25">
      <c r="A12" t="s">
        <v>1158</v>
      </c>
    </row>
    <row r="13" spans="1:5" x14ac:dyDescent="0.25">
      <c r="A13" t="s">
        <v>1159</v>
      </c>
    </row>
    <row r="14" spans="1:5" x14ac:dyDescent="0.25">
      <c r="A14" t="s">
        <v>1160</v>
      </c>
      <c r="C14" s="4" t="s">
        <v>1161</v>
      </c>
    </row>
    <row r="15" spans="1:5" x14ac:dyDescent="0.25">
      <c r="A15" t="s">
        <v>1162</v>
      </c>
      <c r="C15" t="s">
        <v>1163</v>
      </c>
    </row>
    <row r="17" spans="1:5" x14ac:dyDescent="0.25">
      <c r="A17" t="s">
        <v>1164</v>
      </c>
      <c r="B17">
        <v>1</v>
      </c>
    </row>
    <row r="18" spans="1:5" x14ac:dyDescent="0.25">
      <c r="A18" s="4" t="s">
        <v>1165</v>
      </c>
      <c r="B18">
        <v>1</v>
      </c>
    </row>
    <row r="19" spans="1:5" x14ac:dyDescent="0.25">
      <c r="A19" s="106" t="s">
        <v>1166</v>
      </c>
      <c r="E19" s="98" t="s">
        <v>1167</v>
      </c>
    </row>
    <row r="21" spans="1:5" ht="15.75" x14ac:dyDescent="0.25">
      <c r="A21" s="110" t="s">
        <v>1168</v>
      </c>
    </row>
    <row r="22" spans="1:5" x14ac:dyDescent="0.25">
      <c r="A22" t="s">
        <v>1169</v>
      </c>
      <c r="B22">
        <v>1</v>
      </c>
      <c r="E22" s="4" t="s">
        <v>1170</v>
      </c>
    </row>
    <row r="23" spans="1:5" x14ac:dyDescent="0.25">
      <c r="A23" t="s">
        <v>1171</v>
      </c>
      <c r="B23">
        <v>1</v>
      </c>
      <c r="E23" s="98" t="s">
        <v>1172</v>
      </c>
    </row>
    <row r="24" spans="1:5" ht="14.25" customHeight="1" x14ac:dyDescent="0.25"/>
    <row r="29" spans="1:5" ht="15.75" x14ac:dyDescent="0.25">
      <c r="A29" s="110" t="s">
        <v>1173</v>
      </c>
    </row>
    <row r="30" spans="1:5" x14ac:dyDescent="0.25">
      <c r="A30" t="s">
        <v>1174</v>
      </c>
      <c r="B30" t="s">
        <v>1175</v>
      </c>
      <c r="C30" t="s">
        <v>1176</v>
      </c>
      <c r="D30" t="s">
        <v>1177</v>
      </c>
      <c r="E30" s="79" t="s">
        <v>1178</v>
      </c>
    </row>
    <row r="31" spans="1:5" ht="15.75" x14ac:dyDescent="0.25">
      <c r="A31" s="108" t="s">
        <v>1179</v>
      </c>
      <c r="B31">
        <v>1</v>
      </c>
      <c r="E31" t="s">
        <v>1180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2026-05-27T20:19:27Z</cp:lastPrinted>
  <dcterms:created xsi:type="dcterms:W3CDTF">2021-11-13T13:18:32Z</dcterms:created>
  <dcterms:modified xsi:type="dcterms:W3CDTF">2026-05-28T15:49:04Z</dcterms:modified>
  <cp:category/>
  <cp:contentStatus/>
</cp:coreProperties>
</file>