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3027" documentId="8_{63A4C33B-DB7D-4B96-8F5C-2848B14821C5}" xr6:coauthVersionLast="47" xr6:coauthVersionMax="47" xr10:uidLastSave="{0AD8E064-0347-4E62-B62D-5DAB7F11EF24}"/>
  <bookViews>
    <workbookView xWindow="28680" yWindow="-45" windowWidth="29040" windowHeight="16440" firstSheet="3" activeTab="4" xr2:uid="{00000000-000D-0000-FFFF-FFFF00000000}"/>
  </bookViews>
  <sheets>
    <sheet name="Full BOM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Chamber connections" sheetId="35" r:id="rId10"/>
    <sheet name="To Do" sheetId="34" r:id="rId11"/>
    <sheet name="MISC" sheetId="30" r:id="rId12"/>
  </sheets>
  <externalReferences>
    <externalReference r:id="rId13"/>
  </externalReferences>
  <definedNames>
    <definedName name="_xlnm._FilterDatabase" localSheetId="0" hidden="1">'Full BOM'!$A$1:$L$145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67" i="43" l="1"/>
  <c r="G46" i="43"/>
  <c r="G47" i="43"/>
  <c r="G44" i="43"/>
  <c r="G45" i="43"/>
  <c r="G96" i="43"/>
  <c r="G57" i="43"/>
  <c r="G56" i="43"/>
  <c r="G54" i="43"/>
  <c r="G55" i="43"/>
  <c r="G48" i="43"/>
  <c r="G49" i="43"/>
  <c r="G50" i="43"/>
  <c r="G51" i="43"/>
  <c r="G52" i="43"/>
  <c r="G53" i="43"/>
  <c r="G42" i="43"/>
  <c r="G32" i="43"/>
  <c r="G33" i="43"/>
  <c r="G34" i="43"/>
  <c r="G35" i="43"/>
  <c r="G36" i="43"/>
  <c r="G37" i="43"/>
  <c r="G38" i="43"/>
  <c r="G39" i="43"/>
  <c r="G40" i="43"/>
  <c r="G41" i="43"/>
  <c r="G29" i="43"/>
  <c r="G30" i="43"/>
  <c r="G31" i="43"/>
  <c r="G26" i="43"/>
  <c r="G27" i="43"/>
  <c r="G28" i="43"/>
  <c r="G43" i="43"/>
  <c r="G107" i="43"/>
  <c r="G103" i="43"/>
  <c r="G98" i="43"/>
  <c r="G11" i="43"/>
  <c r="G138" i="43"/>
  <c r="G133" i="43"/>
  <c r="G134" i="43"/>
  <c r="G135" i="43"/>
  <c r="G136" i="43"/>
  <c r="G137" i="43"/>
  <c r="G105" i="43"/>
  <c r="G15" i="43"/>
  <c r="G144" i="43"/>
  <c r="G143" i="43"/>
  <c r="G142" i="43"/>
  <c r="G130" i="43"/>
  <c r="G141" i="43"/>
  <c r="G140" i="43"/>
  <c r="G139" i="43"/>
  <c r="G129" i="43"/>
  <c r="G128" i="43"/>
  <c r="G127" i="43"/>
  <c r="G126" i="43"/>
  <c r="G125" i="43"/>
  <c r="G124" i="43"/>
  <c r="G123" i="43"/>
  <c r="G122" i="43"/>
  <c r="G121" i="43"/>
  <c r="G120" i="43"/>
  <c r="G119" i="43"/>
  <c r="G118" i="43"/>
  <c r="G117" i="43"/>
  <c r="G116" i="43"/>
  <c r="G115" i="43"/>
  <c r="G114" i="43"/>
  <c r="G113" i="43"/>
  <c r="G112" i="43"/>
  <c r="G111" i="43"/>
  <c r="G110" i="43"/>
  <c r="G109" i="43"/>
  <c r="G108" i="43"/>
  <c r="G106" i="43"/>
  <c r="G104" i="43"/>
  <c r="G102" i="43"/>
  <c r="G101" i="43"/>
  <c r="G100" i="43"/>
  <c r="G99" i="43"/>
  <c r="G97" i="43"/>
  <c r="G92" i="43"/>
  <c r="G91" i="43"/>
  <c r="G90" i="43"/>
  <c r="G88" i="43"/>
  <c r="G87" i="43"/>
  <c r="G86" i="43"/>
  <c r="G93" i="43"/>
  <c r="G89" i="43"/>
  <c r="G85" i="43"/>
  <c r="G84" i="43"/>
  <c r="G80" i="43"/>
  <c r="G83" i="43"/>
  <c r="G82" i="43"/>
  <c r="G81" i="43"/>
  <c r="G79" i="43"/>
  <c r="G78" i="43"/>
  <c r="G77" i="43"/>
  <c r="G76" i="43"/>
  <c r="G95" i="43"/>
  <c r="G94" i="43"/>
  <c r="G75" i="43"/>
  <c r="G74" i="43"/>
  <c r="G73" i="43"/>
  <c r="G72" i="43"/>
  <c r="G71" i="43"/>
  <c r="G70" i="43"/>
  <c r="G69" i="43"/>
  <c r="G68" i="43"/>
  <c r="G131" i="43"/>
  <c r="G132" i="43"/>
  <c r="G66" i="43"/>
  <c r="G65" i="43"/>
  <c r="G64" i="43"/>
  <c r="G63" i="43"/>
  <c r="G61" i="43"/>
  <c r="G62" i="43"/>
  <c r="G60" i="43"/>
  <c r="G59" i="43"/>
  <c r="G25" i="43"/>
  <c r="G24" i="43"/>
  <c r="G23" i="43"/>
  <c r="G22" i="43"/>
  <c r="G21" i="43"/>
  <c r="G19" i="43"/>
  <c r="G18" i="43"/>
  <c r="G17" i="43"/>
  <c r="G16" i="43"/>
  <c r="G14" i="43"/>
  <c r="G13" i="43"/>
  <c r="G12" i="43"/>
  <c r="G20" i="43"/>
  <c r="G58" i="43"/>
  <c r="G10" i="43"/>
  <c r="G9" i="43"/>
  <c r="G8" i="43"/>
  <c r="G7" i="43"/>
  <c r="G4" i="43"/>
  <c r="G2" i="43"/>
  <c r="G6" i="43"/>
  <c r="G5" i="43"/>
  <c r="G3" i="43"/>
  <c r="G145" i="43" l="1"/>
</calcChain>
</file>

<file path=xl/sharedStrings.xml><?xml version="1.0" encoding="utf-8"?>
<sst xmlns="http://schemas.openxmlformats.org/spreadsheetml/2006/main" count="1584" uniqueCount="711">
  <si>
    <t>Part Type</t>
  </si>
  <si>
    <t>Part</t>
  </si>
  <si>
    <t>Cut length</t>
  </si>
  <si>
    <t>Quantity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</si>
  <si>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</si>
  <si>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</si>
  <si>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</si>
  <si>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</si>
  <si>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</si>
  <si>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</si>
  <si>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</si>
  <si>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</si>
  <si>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Bearing</t>
  </si>
  <si>
    <t>04.5mm Bearing Ball</t>
  </si>
  <si>
    <t>OD: 4.5mm G100 - N: 10PCS</t>
  </si>
  <si>
    <t xml:space="preserve">
Gosenballs </t>
  </si>
  <si>
    <t>05x16x5 Bearing 625ZZ</t>
  </si>
  <si>
    <t>625ZZ - 10PCS</t>
  </si>
  <si>
    <t>APE</t>
  </si>
  <si>
    <t>06x17x6 Bearing F606ZZ</t>
  </si>
  <si>
    <t>F606ZZ - 10PCS</t>
  </si>
  <si>
    <t xml:space="preserve">
APE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</si>
  <si>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</si>
  <si>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</si>
  <si>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</si>
  <si>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</si>
  <si>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</si>
  <si>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</si>
  <si>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</si>
  <si>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</si>
  <si>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</si>
  <si>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</si>
  <si>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 Mechanical 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</si>
  <si>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</si>
  <si>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</si>
  <si>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</si>
  <si>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</si>
  <si>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</si>
  <si>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Mellow LLL Plus Filament Buffer</t>
  </si>
  <si>
    <t>Color: LLL Plus Buffer</t>
  </si>
  <si>
    <t xml:space="preserve">DHT 22 temp/humid sensor </t>
  </si>
  <si>
    <t>C: 1PC DHT22 AM2302</t>
  </si>
  <si>
    <t>Wxinko ES</t>
  </si>
  <si>
    <t>ESP32 + Expansion Board</t>
  </si>
  <si>
    <t>ESP32 + Expansion Board Combo</t>
  </si>
  <si>
    <t xml:space="preserve">EZ-Electro </t>
  </si>
  <si>
    <t>Fan - CPAP Blower Robo</t>
  </si>
  <si>
    <t>FAN - STYTJ02YM</t>
  </si>
  <si>
    <t>MIMI Robot Store</t>
  </si>
  <si>
    <t xml:space="preserve">Fan Dual Ball Bearing 4010 </t>
  </si>
  <si>
    <t>Size: 24V</t>
  </si>
  <si>
    <t>GX20 flange mount &amp; Plug 10pin</t>
  </si>
  <si>
    <t>Color: 10Pin</t>
  </si>
  <si>
    <t>MannHwa </t>
  </si>
  <si>
    <t>GX20 flange mount &amp; Plug 6pin</t>
  </si>
  <si>
    <t>Color: 6Pin</t>
  </si>
  <si>
    <t>Heater - Cartridge Heater 24v 70W</t>
  </si>
  <si>
    <t>Heater - PTC 24V 300W dbx</t>
  </si>
  <si>
    <t>Color: 24V 300W</t>
  </si>
  <si>
    <t>Tony Tang Store</t>
  </si>
  <si>
    <t>Heater Pad - 300x300 750w</t>
  </si>
  <si>
    <t>300x300 750W - 120V/220V - NO GLUE!</t>
  </si>
  <si>
    <t>Keenovo</t>
  </si>
  <si>
    <t>Load Cell 5kg</t>
  </si>
  <si>
    <t>Adafruit Industries LLC 4541</t>
  </si>
  <si>
    <t xml:space="preserve">Digikey 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</si>
  <si>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</si>
  <si>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</si>
  <si>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</si>
  <si>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</si>
  <si>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</si>
  <si>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</si>
  <si>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</si>
  <si>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Temp Sensor PT 1000</t>
  </si>
  <si>
    <t>HT PT1000 Thermistor</t>
  </si>
  <si>
    <t xml:space="preserve">Cable Brown 18AWG  200C 600V </t>
  </si>
  <si>
    <t>Color: Brown L: 1M S: 18 AWG</t>
  </si>
  <si>
    <t>CHYAM V Store</t>
  </si>
  <si>
    <t xml:space="preserve">Cable  Blue 18AWG  200C 600V </t>
  </si>
  <si>
    <t>Color: Blue L: 1M S: 18 AWG</t>
  </si>
  <si>
    <t xml:space="preserve">Cable  Green 18AWG  200C 600V  </t>
  </si>
  <si>
    <t>Cable 2:1 Heat Shrink Tube 3mm</t>
  </si>
  <si>
    <t>Color: black - ID: 3mm - L: 1M</t>
  </si>
  <si>
    <t xml:space="preserve">SkyCable store </t>
  </si>
  <si>
    <t>Cable 2:1 Heat Shrink Tube 4mm</t>
  </si>
  <si>
    <t>Color: black - ID: 4mm - L: 1M</t>
  </si>
  <si>
    <t>Cable 2:1 Heat Shrink Tube 8mm</t>
  </si>
  <si>
    <t>Color: black - ID: 8mm - L: 1M</t>
  </si>
  <si>
    <t>Cable White 16AWG</t>
  </si>
  <si>
    <t>Color: White - L: 5M - S: 16AWG</t>
  </si>
  <si>
    <t>Cable Black  20AWG</t>
  </si>
  <si>
    <t>Color: Black - L: 2M - S: 20AWG</t>
  </si>
  <si>
    <t>Cable Blue 20AWG</t>
  </si>
  <si>
    <t>Color: Blue - L: 2M - S: 20AWG</t>
  </si>
  <si>
    <t>Cable Green 20AWG</t>
  </si>
  <si>
    <t>Color: Green - L: 2M - S: 20AWG</t>
  </si>
  <si>
    <t>Cable Red 20AWG</t>
  </si>
  <si>
    <t>Color: Red - L: 2M - S: 20AWG</t>
  </si>
  <si>
    <t>Cable Black 24AWG</t>
  </si>
  <si>
    <t>Color: Black - L: 5M - S: 24AWG</t>
  </si>
  <si>
    <t>Cable Blue 24AWG</t>
  </si>
  <si>
    <t>Color: Blue - L: 5M - S: 24AWG</t>
  </si>
  <si>
    <t>Cable Green 24AWG</t>
  </si>
  <si>
    <t>Color: Green - L: 5M - S: 24AWG</t>
  </si>
  <si>
    <t>Cable Red 24AWG</t>
  </si>
  <si>
    <t>Color: Red - L: 5M - S: 24AWG</t>
  </si>
  <si>
    <t>Cable White 24AWG</t>
  </si>
  <si>
    <t>Color: White - L: 5M - S: 24AWG</t>
  </si>
  <si>
    <t xml:space="preserve">Cable PET Braid sleeve </t>
  </si>
  <si>
    <t>Color: Black Silver - L: 5M</t>
  </si>
  <si>
    <t>Connector JST PH 6P FM  Cable size  24 to 32</t>
  </si>
  <si>
    <t>C: Straight pin socket PQ: 10set Pins: 6P</t>
  </si>
  <si>
    <t>ZSDZFYLLK</t>
  </si>
  <si>
    <t>HDC-HE-4core heavy-duty connector female</t>
  </si>
  <si>
    <t>Color: 4 female core</t>
  </si>
  <si>
    <t>Shop4055013 </t>
  </si>
  <si>
    <t>HDC-HE-4core heavy-duty connector male</t>
  </si>
  <si>
    <t>Color: 4 male core</t>
  </si>
  <si>
    <t>HDC-HE-10core heavy-duty connector female</t>
  </si>
  <si>
    <t>Color: 10 female core</t>
  </si>
  <si>
    <t>HDC-HE-10core heavy-duty connector male</t>
  </si>
  <si>
    <t>Color: 10 male core</t>
  </si>
  <si>
    <t>PSU 12V DC  35W meanwell</t>
  </si>
  <si>
    <t>Output Voltage: LRS-35-12</t>
  </si>
  <si>
    <t>MEAN WELL CHINA</t>
  </si>
  <si>
    <t>PSU 24V DC 350W meanwell</t>
  </si>
  <si>
    <t>Output Voltage: LRS-350-24 (24V)</t>
  </si>
  <si>
    <t>Power IEC extension lead</t>
  </si>
  <si>
    <t>Cable length: 1m - Color: Black</t>
  </si>
  <si>
    <t>Shop5884151</t>
  </si>
  <si>
    <t>Power Fuse 10A</t>
  </si>
  <si>
    <t>486-3322-ND</t>
  </si>
  <si>
    <t>Digikey</t>
  </si>
  <si>
    <t>Power Fuse holder 15A</t>
  </si>
  <si>
    <t>2298-PMA-DB-04-Q1S-ND</t>
  </si>
  <si>
    <t>Power IEC + switch AC 15A </t>
  </si>
  <si>
    <t>CCM1916-ND</t>
  </si>
  <si>
    <t>Solid State Relay</t>
  </si>
  <si>
    <t>DC5-24V Solid State Relay</t>
  </si>
  <si>
    <t>Control Board Super8/Duet 3 6hc</t>
  </si>
  <si>
    <t>Color: Duet 3 6HC</t>
  </si>
  <si>
    <t>XJW TECH</t>
  </si>
  <si>
    <t>DIN Rail + terminal block kit  UK2.5</t>
  </si>
  <si>
    <t>Din Rail Terminal Block</t>
  </si>
  <si>
    <t>Lighting - 24v led strip 5M</t>
  </si>
  <si>
    <t>Color: DC 24V - L: 5M</t>
  </si>
  <si>
    <t>Dengsum</t>
  </si>
  <si>
    <t>Fastener</t>
  </si>
  <si>
    <t>05x10 D5 Shaft Collar DIN 705</t>
  </si>
  <si>
    <t>ID: 5x10x6xM3</t>
  </si>
  <si>
    <t>Hui Xing Hardware</t>
  </si>
  <si>
    <t>Kinematics</t>
  </si>
  <si>
    <t>GT1.5 Timing Belt AB EPDM 9mm</t>
  </si>
  <si>
    <t>W: 9mm-EPDM L: 5M</t>
  </si>
  <si>
    <t>POWGE</t>
  </si>
  <si>
    <t>GT1.5 Timing Pulley 26T 11mm</t>
  </si>
  <si>
    <t>BD: 5mm-Pulley BW: 10mm T: 26T</t>
  </si>
  <si>
    <t>GT2 Gear 20T(5mm)-80T(5mm) - W: 6-200</t>
  </si>
  <si>
    <t>BD: 20T(5mm)-80T(5mm) - W: 6mm-200</t>
  </si>
  <si>
    <t>GT2 Pulley 20T 11mm</t>
  </si>
  <si>
    <t>BD: 5mm BW: 10mm N: 10PCS</t>
  </si>
  <si>
    <t>GT2 Timing Belt Z EPDM 9mm</t>
  </si>
  <si>
    <t>W: red 9mm-EPDM L: 5M</t>
  </si>
  <si>
    <t>Magnet</t>
  </si>
  <si>
    <t>Magnet 06x05 SamCo HT</t>
  </si>
  <si>
    <t>Color: 6x5mm (10Pcs)</t>
  </si>
  <si>
    <t>Superb HW Store</t>
  </si>
  <si>
    <t>Magnet 20mm 10kg</t>
  </si>
  <si>
    <t>Color: 6PCS S: A20</t>
  </si>
  <si>
    <t xml:space="preserve">
SZ-Ming Store</t>
  </si>
  <si>
    <t>Magnet Keeper 20x3</t>
  </si>
  <si>
    <t>Size: 5pcs M4</t>
  </si>
  <si>
    <t>TINGOO HS</t>
  </si>
  <si>
    <t>Magnet -Buildplate 15x3 SmCo</t>
  </si>
  <si>
    <t>Color: 50pcs 15x3mm</t>
  </si>
  <si>
    <t>HW Hardware Store</t>
  </si>
  <si>
    <t>Nut</t>
  </si>
  <si>
    <t>M3 Hammer Nut</t>
  </si>
  <si>
    <t>Color: 20-M3</t>
  </si>
  <si>
    <t>BULK-MAN</t>
  </si>
  <si>
    <t>M3 Nut DIN 934</t>
  </si>
  <si>
    <t>S: 25pcs M3</t>
  </si>
  <si>
    <t>M3 Nut Locknut DIN 985</t>
  </si>
  <si>
    <t>S: 10pcs M3</t>
  </si>
  <si>
    <t>M4 Nut DIN 934</t>
  </si>
  <si>
    <t>S: 25pcs M4</t>
  </si>
  <si>
    <t>M4 Nut Locknut</t>
  </si>
  <si>
    <t>S: 10pcs M4</t>
  </si>
  <si>
    <t>M5 Hammer Nut</t>
  </si>
  <si>
    <t>Color: 20-M5</t>
  </si>
  <si>
    <t>M5 Nut DIN 934</t>
  </si>
  <si>
    <t>S: 25pcs M5</t>
  </si>
  <si>
    <t>M5 Nut Locknut</t>
  </si>
  <si>
    <t>S: 10pcs M5</t>
  </si>
  <si>
    <t>Plumbing</t>
  </si>
  <si>
    <t>LC - 04mm ID Barb 1/4"</t>
  </si>
  <si>
    <t>S: 4mm Barb - TS: 1/4"</t>
  </si>
  <si>
    <t xml:space="preserve">
EES Handle Store</t>
  </si>
  <si>
    <t>LC - Extruder radiator 30x30x9.5</t>
  </si>
  <si>
    <t>Color: 30x30</t>
  </si>
  <si>
    <t xml:space="preserve">
Cynzo</t>
  </si>
  <si>
    <t>LC - Fan - 120mm</t>
  </si>
  <si>
    <t>Color: P16-b-1fan</t>
  </si>
  <si>
    <t>PADO OS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</si>
  <si>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</si>
  <si>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</si>
  <si>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</si>
  <si>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</si>
  <si>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</si>
  <si>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</si>
  <si>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</si>
  <si>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</si>
  <si>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</si>
  <si>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</si>
  <si>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</si>
  <si>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Tubing 4x6 mm IDxOD  5M</t>
  </si>
  <si>
    <t>C: 4x6mm - L: 5M</t>
  </si>
  <si>
    <t>ANHI Store</t>
  </si>
  <si>
    <t>Profile</t>
  </si>
  <si>
    <t>15x15x1 Aluminum Tube L: 230mm</t>
  </si>
  <si>
    <t>L: 500mm - S: 15x15x1mm</t>
  </si>
  <si>
    <t xml:space="preserve">	18th Gw Store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</si>
  <si>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</si>
  <si>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</si>
  <si>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</si>
  <si>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</si>
  <si>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</si>
  <si>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</si>
  <si>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</si>
  <si>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</si>
  <si>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</si>
  <si>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</si>
  <si>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</si>
  <si>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</si>
  <si>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</si>
  <si>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</si>
  <si>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</si>
  <si>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</si>
  <si>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</si>
  <si>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</si>
  <si>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</si>
  <si>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</si>
  <si>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</si>
  <si>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</si>
  <si>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</si>
  <si>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350x350x8 Cast AL 5083 - Buildplate</t>
  </si>
  <si>
    <t>Source locally or ask MELLOW</t>
  </si>
  <si>
    <t>TBD</t>
  </si>
  <si>
    <t>Plate - AL  for DIN/SSR 180 x 150 x3mm</t>
  </si>
  <si>
    <t>Color: 200x200mm - S: 3mm 1pc</t>
  </si>
  <si>
    <t>18th Gw store</t>
  </si>
  <si>
    <t>Screw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</si>
  <si>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</si>
  <si>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</si>
  <si>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</si>
  <si>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</si>
  <si>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</si>
  <si>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</si>
  <si>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</si>
  <si>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</si>
  <si>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</si>
  <si>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</si>
  <si>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</si>
  <si>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</si>
  <si>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</si>
  <si>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</si>
  <si>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</si>
  <si>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</si>
  <si>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</si>
  <si>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</si>
  <si>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</si>
  <si>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</si>
  <si>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</si>
  <si>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</si>
  <si>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</si>
  <si>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</si>
  <si>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</si>
  <si>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</si>
  <si>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</si>
  <si>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</si>
  <si>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</si>
  <si>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</si>
  <si>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</si>
  <si>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</si>
  <si>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</si>
  <si>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</si>
  <si>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</si>
  <si>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</si>
  <si>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</si>
  <si>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</si>
  <si>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</si>
  <si>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</si>
  <si>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</si>
  <si>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</si>
  <si>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S: 10Pcs M5 - L: 20mm</t>
  </si>
  <si>
    <t>M5x30 BH ISO 7380</t>
  </si>
  <si>
    <t>S: 10pcs M5 - L: 30mm</t>
  </si>
  <si>
    <t>M5x30 HEX ISO 4017 DIN 933</t>
  </si>
  <si>
    <t>S: 10Pcs M5 - L: 30mm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</si>
  <si>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</si>
  <si>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</si>
  <si>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</si>
  <si>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</si>
  <si>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</si>
  <si>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</si>
  <si>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Shaft</t>
  </si>
  <si>
    <t>03x25 Bearing shaft</t>
  </si>
  <si>
    <t>D: 10PCS M3 - L: 25mm</t>
  </si>
  <si>
    <t>05x40 Bearing Shaft</t>
  </si>
  <si>
    <t>S: 5x40 - 20PCS</t>
  </si>
  <si>
    <t>HE Material Store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</si>
  <si>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</si>
  <si>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</si>
  <si>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</si>
  <si>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</si>
  <si>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</si>
  <si>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</si>
  <si>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 Stainless Steel Rod - Door Link</t>
  </si>
  <si>
    <t>L: 400 D: 8mm</t>
  </si>
  <si>
    <t>YUNSHUO</t>
  </si>
  <si>
    <t>Spring</t>
  </si>
  <si>
    <t xml:space="preserve">07x10 Spring 0.4 WD </t>
  </si>
  <si>
    <t>L: 10mm(10pcs) - WD: 0.4 - OD: 7mm</t>
  </si>
  <si>
    <t>AZ-hw Store</t>
  </si>
  <si>
    <t>Toolpart</t>
  </si>
  <si>
    <t>CPAP Part Fan Tube 125C+</t>
  </si>
  <si>
    <t>PFA HT CPAP TUBE</t>
  </si>
  <si>
    <t>YouQin5 Store</t>
  </si>
  <si>
    <t>Extruder - BIQU H2 V2X</t>
  </si>
  <si>
    <t>BTT H2 V2X Extruder</t>
  </si>
  <si>
    <t>Big Tree Tech</t>
  </si>
  <si>
    <t>Heater Block Copper NF-Crazy</t>
  </si>
  <si>
    <t>NF-Crazy Heater Block</t>
  </si>
  <si>
    <t>Mothend V2</t>
  </si>
  <si>
    <t>PCBWay</t>
  </si>
  <si>
    <t>PCB way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</si>
  <si>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</si>
  <si>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</si>
  <si>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</si>
  <si>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</si>
  <si>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</si>
  <si>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</si>
  <si>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V6 Bimetal Heatbreak</t>
  </si>
  <si>
    <t>Color: Bi-Metal Short</t>
  </si>
  <si>
    <t>Lerge</t>
  </si>
  <si>
    <t>Washer</t>
  </si>
  <si>
    <t>05x08x1 Precision Shim</t>
  </si>
  <si>
    <t>M5x8x1mm - 50PCS</t>
  </si>
  <si>
    <t>06x12x1 Precision Shim</t>
  </si>
  <si>
    <t>ID: M6x12x50PCS OD: 1mm</t>
  </si>
  <si>
    <t>08x12x1 Precision Shim</t>
  </si>
  <si>
    <t>ID: M8x12x50PCS OD: 1mm</t>
  </si>
  <si>
    <t>M3 Washer DIN 125</t>
  </si>
  <si>
    <t>ID: M3 50pcs</t>
  </si>
  <si>
    <t>M4 Washer DIN 125</t>
  </si>
  <si>
    <t>ID: M4 50pcs</t>
  </si>
  <si>
    <t>M5 Washer DIN 125</t>
  </si>
  <si>
    <t>ID: M5 50pcs</t>
  </si>
  <si>
    <t>Price exl Taxes</t>
  </si>
  <si>
    <t>*shipping cost may vary</t>
  </si>
  <si>
    <t>Support Links:</t>
  </si>
  <si>
    <t>Part name</t>
  </si>
  <si>
    <t>Description</t>
  </si>
  <si>
    <t>BOM Quantity</t>
  </si>
  <si>
    <t>Order Info</t>
  </si>
  <si>
    <t>Development Team</t>
  </si>
  <si>
    <t>Buy Me a Coffee</t>
  </si>
  <si>
    <t>2020 T-Slot Profile</t>
  </si>
  <si>
    <t>X Top Rear</t>
  </si>
  <si>
    <t>Roy Berntsen - NO</t>
  </si>
  <si>
    <t>By Patreon</t>
  </si>
  <si>
    <t>Z Center Rear</t>
  </si>
  <si>
    <t>Mark Bridgewater - NZ</t>
  </si>
  <si>
    <t>By PayPal</t>
  </si>
  <si>
    <t>Z Center Rear Top</t>
  </si>
  <si>
    <t>Chris Lombardi - US</t>
  </si>
  <si>
    <t>2040 T-Slot Profile</t>
  </si>
  <si>
    <t>X Length Profile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</si>
  <si>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</si>
  <si>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</si>
  <si>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</si>
  <si>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</si>
  <si>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</si>
  <si>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</si>
  <si>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</si>
  <si>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See Full BOM</t>
  </si>
  <si>
    <t>M5 WASHER DIN 125</t>
  </si>
  <si>
    <t>V2 Center Z Support Bracket_1x</t>
  </si>
  <si>
    <t>Print</t>
  </si>
  <si>
    <t>V2 DoorStop_4x</t>
  </si>
  <si>
    <t>Print/Buy</t>
  </si>
  <si>
    <t>V2 Leg Base_4x</t>
  </si>
  <si>
    <t>V2 Leg Nut_4x</t>
  </si>
  <si>
    <t>Shim</t>
  </si>
  <si>
    <t>20x20x1 X Axis AL Tube 410</t>
  </si>
  <si>
    <t>GT1.5 Pulley 26T 11mm</t>
  </si>
  <si>
    <t>Gear</t>
  </si>
  <si>
    <t>GT1.5 Timing Belt AB</t>
  </si>
  <si>
    <t>Belt</t>
  </si>
  <si>
    <t>M3 Nut Hammer Nut</t>
  </si>
  <si>
    <t>M3 Nut Lock Nut DIN 985</t>
  </si>
  <si>
    <t>M3 Washer  DIN 125 ISO 7089</t>
  </si>
  <si>
    <t>M5 LOCK NUT</t>
  </si>
  <si>
    <t>M5 Nut DIN</t>
  </si>
  <si>
    <t>Bolt</t>
  </si>
  <si>
    <t>MGN12H 400</t>
  </si>
  <si>
    <t>MGN9H 400</t>
  </si>
  <si>
    <t>Nema 17 48 S55</t>
  </si>
  <si>
    <t>V2 AB Brace_1x</t>
  </si>
  <si>
    <t>V2 AB Idler Spacer_4x</t>
  </si>
  <si>
    <t>V2 Brace Bearing Buddy_2x</t>
  </si>
  <si>
    <t>V2 Idler Bracket Front A_1X</t>
  </si>
  <si>
    <t>V2 Idler Bracket Front B_1X</t>
  </si>
  <si>
    <t>V2 Idler Bracket Rear AB_2X</t>
  </si>
  <si>
    <t>V2 Idler Tension Tower_A_1x</t>
  </si>
  <si>
    <t>V2 Idler Tension Tower_B_1x</t>
  </si>
  <si>
    <t>V2 Motor Bracket AB</t>
  </si>
  <si>
    <t>V2 Tension Fork Smooth_2x</t>
  </si>
  <si>
    <t>V2 Toolhead_1x</t>
  </si>
  <si>
    <t>See Toolhead BOM</t>
  </si>
  <si>
    <t>V2 Y Carrier A_1x</t>
  </si>
  <si>
    <t>V2 Y Carrier B_1x</t>
  </si>
  <si>
    <t>CPAP Tube HT</t>
  </si>
  <si>
    <t>Extruder radiator 30x30x9.5</t>
  </si>
  <si>
    <t>Fan 24V  - CPAP  cooler 4010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</si>
  <si>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</si>
  <si>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</si>
  <si>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</si>
  <si>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</si>
  <si>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</si>
  <si>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</si>
  <si>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</si>
  <si>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</si>
  <si>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</si>
  <si>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</si>
  <si>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</si>
  <si>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</si>
  <si>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</si>
  <si>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</si>
  <si>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</si>
  <si>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</si>
  <si>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</si>
  <si>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Valkyrie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</si>
  <si>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</si>
  <si>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</si>
  <si>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</si>
  <si>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</si>
  <si>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</si>
  <si>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</si>
  <si>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 xml:space="preserve">GT2 EPDM 10mm +135℃ </t>
  </si>
  <si>
    <t>GT2 Gears 20T(5mm)-80T(5mm) - W: 6-200</t>
  </si>
  <si>
    <t>M3 Nut Lock Nut</t>
  </si>
  <si>
    <t>M3 Washer DIN 433 ISO 7092</t>
  </si>
  <si>
    <t>M3x20 SH DIN 912 ISO 4762</t>
  </si>
  <si>
    <t>M4 D5 L55 Shoulder Screw</t>
  </si>
  <si>
    <t>M4 LOCK NUT</t>
  </si>
  <si>
    <t>M4 Ø10 Ball tapped</t>
  </si>
  <si>
    <t>M5x20 HEX DIN 933 ISO 4017</t>
  </si>
  <si>
    <t>Magnet -Buildplate</t>
  </si>
  <si>
    <t>15x3 SmCo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</si>
  <si>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</si>
  <si>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</si>
  <si>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</si>
  <si>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</si>
  <si>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</si>
  <si>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</si>
  <si>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</si>
  <si>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</si>
  <si>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</si>
  <si>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</si>
  <si>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</si>
  <si>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</si>
  <si>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</si>
  <si>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</si>
  <si>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</si>
  <si>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</si>
  <si>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</si>
  <si>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</si>
  <si>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</si>
  <si>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</si>
  <si>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</si>
  <si>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</si>
  <si>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</si>
  <si>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300x300x3mm - PC Window Sheet</t>
  </si>
  <si>
    <t>Polycarbonate 3mm</t>
  </si>
  <si>
    <t>Electronics</t>
  </si>
  <si>
    <t xml:space="preserve">M3 Washer DIN 125 </t>
  </si>
  <si>
    <t xml:space="preserve">M3x05 Set Screw DIN 913 </t>
  </si>
  <si>
    <t>Set screw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</si>
  <si>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</si>
  <si>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</si>
  <si>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</si>
  <si>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</si>
  <si>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</si>
  <si>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</si>
  <si>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</si>
  <si>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</si>
  <si>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</si>
  <si>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 12 mm</t>
  </si>
  <si>
    <t>Source Locally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</si>
  <si>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</si>
  <si>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</si>
  <si>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</si>
  <si>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</si>
  <si>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</si>
  <si>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</si>
  <si>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</si>
  <si>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</si>
  <si>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</si>
  <si>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</si>
  <si>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</si>
  <si>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</si>
  <si>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</si>
  <si>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</si>
  <si>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</si>
  <si>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</si>
  <si>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</si>
  <si>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</si>
  <si>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</si>
  <si>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</si>
  <si>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</si>
  <si>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</si>
  <si>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</si>
  <si>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</si>
  <si>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</si>
  <si>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</si>
  <si>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</si>
  <si>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</si>
  <si>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</si>
  <si>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</si>
  <si>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</si>
  <si>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</si>
  <si>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</si>
  <si>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</si>
  <si>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</si>
  <si>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</si>
  <si>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</si>
  <si>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</si>
  <si>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</si>
  <si>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</si>
  <si>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PTFE Gland washer</t>
  </si>
  <si>
    <t>V2 Window Frame Inner_2x</t>
  </si>
  <si>
    <t>V2 Window Frame Outer_1x</t>
  </si>
  <si>
    <t>Pack Order Quantity</t>
  </si>
  <si>
    <t>Unit Price</t>
  </si>
  <si>
    <t>Line Price</t>
  </si>
  <si>
    <t xml:space="preserve">05x08x1 Precision Shim </t>
  </si>
  <si>
    <t>6</t>
  </si>
  <si>
    <t>DBX Drawer Slides 11435A14</t>
  </si>
  <si>
    <t>DHT 22/BME 280 temp/humid sensor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</si>
  <si>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</si>
  <si>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</si>
  <si>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</si>
  <si>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</si>
  <si>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</si>
  <si>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</si>
  <si>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</si>
  <si>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</si>
  <si>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</si>
  <si>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</si>
  <si>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</si>
  <si>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MDF/PLYWOOD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</si>
  <si>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</si>
  <si>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</si>
  <si>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</si>
  <si>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</si>
  <si>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</si>
  <si>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</si>
  <si>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</si>
  <si>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</si>
  <si>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</si>
  <si>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</si>
  <si>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</si>
  <si>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</si>
  <si>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</si>
  <si>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</si>
  <si>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</si>
  <si>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</si>
  <si>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</si>
  <si>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</si>
  <si>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</si>
  <si>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</si>
  <si>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</si>
  <si>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</si>
  <si>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</si>
  <si>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V2 Loadcell amplifier Buddy_1x</t>
  </si>
  <si>
    <t>I appreciate any support of the development:</t>
  </si>
  <si>
    <t>Lead Engineering Designer</t>
  </si>
  <si>
    <t>Co Designer/Consultant</t>
  </si>
  <si>
    <t>Technical Consultant</t>
  </si>
  <si>
    <t>LC - 1/4" Barb - 4mm</t>
  </si>
  <si>
    <t>Barb for 4mm ID tube</t>
  </si>
  <si>
    <t>P67D DC 12V LC pump</t>
  </si>
  <si>
    <t>LC - Radiator Fan - 120mm</t>
  </si>
  <si>
    <t>LC - Tubing 4x6mm IDxOD</t>
  </si>
  <si>
    <t>Color: 4x6 5 meter</t>
  </si>
  <si>
    <t>M3x08 SH DIN 912</t>
  </si>
  <si>
    <t>V2 LC Flowmeter Buddy_1x</t>
  </si>
  <si>
    <t xml:space="preserve">Print </t>
  </si>
  <si>
    <t>V2 Pump Bracket A_1x</t>
  </si>
  <si>
    <t>V2 Pump bracket B_1x</t>
  </si>
  <si>
    <t>V2 Radiator Bracket_2x</t>
  </si>
  <si>
    <t>I appreciate all support of the development: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</si>
  <si>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</si>
  <si>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</si>
  <si>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</si>
  <si>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</si>
  <si>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</si>
  <si>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</si>
  <si>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</si>
  <si>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</si>
  <si>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Cable Green</t>
  </si>
  <si>
    <t>Cable Loom</t>
  </si>
  <si>
    <t xml:space="preserve">Cable Red </t>
  </si>
  <si>
    <t>Cable White</t>
  </si>
  <si>
    <t>AWG 16</t>
  </si>
  <si>
    <t xml:space="preserve">Cables connector JST PH 6w + crimps </t>
  </si>
  <si>
    <t>jst PH  Cable size  24 to 32</t>
  </si>
  <si>
    <t>Chamber Heater??</t>
  </si>
  <si>
    <t>Super8 or Duet 3 6HC</t>
  </si>
  <si>
    <t>Plate - Aluminium  for DIN/SSR</t>
  </si>
  <si>
    <t>180x150x3mm</t>
  </si>
  <si>
    <t>Power Main</t>
  </si>
  <si>
    <t>Power Drybox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</si>
  <si>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</si>
  <si>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</si>
  <si>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</si>
  <si>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</si>
  <si>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</si>
  <si>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</si>
  <si>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</si>
  <si>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PSU Buddy_1x</t>
  </si>
  <si>
    <t>Retrieving data. Wait a few seconds and try to cut or copy again.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</si>
  <si>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</si>
  <si>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</si>
  <si>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</si>
  <si>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</si>
  <si>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</si>
  <si>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</si>
  <si>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</si>
  <si>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</si>
  <si>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</si>
  <si>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</si>
  <si>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</si>
  <si>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</si>
  <si>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</si>
  <si>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</si>
  <si>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</si>
  <si>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</si>
  <si>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</si>
  <si>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</si>
  <si>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</si>
  <si>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</si>
  <si>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</si>
  <si>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</si>
  <si>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</si>
  <si>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</si>
  <si>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</si>
  <si>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</si>
  <si>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</si>
  <si>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</si>
  <si>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 xml:space="preserve">Things still to do </t>
  </si>
  <si>
    <t xml:space="preserve">owner </t>
  </si>
  <si>
    <t>status</t>
  </si>
  <si>
    <t xml:space="preserve">options </t>
  </si>
  <si>
    <t xml:space="preserve">Find HT magnets for door  ( might have to make a holder for SMCO's instead of pot magnets) </t>
  </si>
  <si>
    <t>mark/Roy</t>
  </si>
  <si>
    <t>going to use Nynodinum for now</t>
  </si>
  <si>
    <t>20mm neodynium POT magnet in the oven at 115C for 2 hours it seems ok,</t>
  </si>
  <si>
    <t xml:space="preserve">Finish Fitstone Docking Station </t>
  </si>
  <si>
    <t>Roy</t>
  </si>
  <si>
    <t xml:space="preserve">in Design </t>
  </si>
  <si>
    <t xml:space="preserve">Finish Brushing Station </t>
  </si>
  <si>
    <t xml:space="preserve">Test new  CPAP fan  </t>
  </si>
  <si>
    <t>Mark</t>
  </si>
  <si>
    <t>tested</t>
  </si>
  <si>
    <t>will need external fan 4020  to keep PCB cool</t>
  </si>
  <si>
    <t xml:space="preserve">Cpap  duct  redesign </t>
  </si>
  <si>
    <t xml:space="preserve">Roy </t>
  </si>
  <si>
    <t>needs printing /testing / In progress</t>
  </si>
  <si>
    <t xml:space="preserve">cpap fan modeled </t>
  </si>
  <si>
    <t xml:space="preserve">magnet layout on heated bed  </t>
  </si>
  <si>
    <t xml:space="preserve">mark </t>
  </si>
  <si>
    <t>completed</t>
  </si>
  <si>
    <t xml:space="preserve">Test new Chamber  Heater &amp; Fan </t>
  </si>
  <si>
    <t xml:space="preserve">In testing </t>
  </si>
  <si>
    <t>Mark to Find  HT Fan for chamber heater  or use external motor  as per Roys previous design.</t>
  </si>
  <si>
    <t>New  Flintstone probe  BOM to be updated.</t>
  </si>
  <si>
    <t>Hotend BOM to be completed in Tool head.</t>
  </si>
  <si>
    <t xml:space="preserve">Dry Box BOM  to be finalised. </t>
  </si>
  <si>
    <t xml:space="preserve">completed </t>
  </si>
  <si>
    <t xml:space="preserve">Electrical BOM  to be completed </t>
  </si>
  <si>
    <t xml:space="preserve">ESP32  buddy </t>
  </si>
  <si>
    <t xml:space="preserve">Load cell amplifier buddy </t>
  </si>
  <si>
    <t>mark</t>
  </si>
  <si>
    <t xml:space="preserve">finally  finish the Hardware BOM  when all above done </t>
  </si>
  <si>
    <r>
      <rPr>
        <sz val="11"/>
        <color rgb="FF000000"/>
        <rFont val="Calibri"/>
        <family val="2"/>
      </rPr>
      <t>update  Git Hub  pre release  B</t>
    </r>
    <r>
      <rPr>
        <b/>
        <sz val="11"/>
        <color rgb="FF000000"/>
        <rFont val="Calibri"/>
        <family val="2"/>
      </rPr>
      <t xml:space="preserve">OM </t>
    </r>
  </si>
  <si>
    <t>Quantity M</t>
  </si>
  <si>
    <t>Column1</t>
  </si>
  <si>
    <t>Column2</t>
  </si>
  <si>
    <t xml:space="preserve">EPDM foam </t>
  </si>
  <si>
    <t>Door seal / Dry Box</t>
  </si>
  <si>
    <t xml:space="preserve">Tools required </t>
  </si>
  <si>
    <t xml:space="preserve">Square </t>
  </si>
  <si>
    <t>Allen keys</t>
  </si>
  <si>
    <t xml:space="preserve">steel Rule or  Equiverlant </t>
  </si>
  <si>
    <t xml:space="preserve">G or F clamp </t>
  </si>
  <si>
    <t>Spanner  AF</t>
  </si>
  <si>
    <t xml:space="preserve">Drill and drill bits </t>
  </si>
  <si>
    <t xml:space="preserve">solder iron and solder </t>
  </si>
  <si>
    <t xml:space="preserve">crimp tool for  control board connection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</si>
</sst>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</numFmts>
  <fonts count="39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b/>
      <u/>
      <sz val="11"/>
      <name val="Calibri"/>
      <family val="2"/>
    </font>
    <font>
      <sz val="11"/>
      <name val="Calibri"/>
      <family val="2"/>
      <scheme val="minor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b/>
      <sz val="11"/>
      <color rgb="FF000000"/>
      <name val="Inherit"/>
      <charset val="1"/>
    </font>
    <font>
      <sz val="12"/>
      <color rgb="FF0070C0"/>
      <name val="Calibri"/>
      <family val="2"/>
      <scheme val="minor"/>
    </font>
    <font>
      <sz val="11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</borders>
  <cellStyleXfs count="11">
    <xf numFmtId="0" fontId="0" fillId="0" borderId="0"/>
    <xf numFmtId="0" fontId="13" fillId="0" borderId="0" applyNumberFormat="0" applyFill="0" applyBorder="0" applyAlignment="0" applyProtection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4" fillId="0" borderId="0"/>
  </cellStyleXfs>
  <cellXfs count="184">
    <xf numFmtId="0" fontId="0" fillId="0" borderId="0" xfId="0"/>
    <xf numFmtId="0" fontId="12" fillId="0" borderId="0" xfId="0" applyFont="1"/>
    <xf numFmtId="0" fontId="10" fillId="0" borderId="0" xfId="2"/>
    <xf numFmtId="0" fontId="6" fillId="0" borderId="0" xfId="7"/>
    <xf numFmtId="0" fontId="0" fillId="0" borderId="0" xfId="7" applyFont="1"/>
    <xf numFmtId="0" fontId="19" fillId="0" borderId="11" xfId="5" applyFont="1" applyBorder="1"/>
    <xf numFmtId="0" fontId="0" fillId="0" borderId="0" xfId="0" applyAlignment="1">
      <alignment wrapText="1"/>
    </xf>
    <xf numFmtId="0" fontId="22" fillId="0" borderId="0" xfId="0" applyFont="1"/>
    <xf numFmtId="0" fontId="20" fillId="0" borderId="0" xfId="0" applyFont="1"/>
    <xf numFmtId="0" fontId="0" fillId="2" borderId="0" xfId="0" applyFill="1"/>
    <xf numFmtId="0" fontId="0" fillId="3" borderId="0" xfId="0" applyFill="1"/>
    <xf numFmtId="0" fontId="24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13" fillId="0" borderId="0" xfId="1" applyAlignment="1">
      <alignment wrapText="1"/>
    </xf>
    <xf numFmtId="49" fontId="10" fillId="0" borderId="0" xfId="2" applyNumberFormat="1" applyAlignment="1">
      <alignment wrapText="1"/>
    </xf>
    <xf numFmtId="0" fontId="3" fillId="0" borderId="0" xfId="8" applyFont="1"/>
    <xf numFmtId="0" fontId="3" fillId="0" borderId="0" xfId="8" applyFont="1" applyAlignment="1">
      <alignment horizontal="left"/>
    </xf>
    <xf numFmtId="0" fontId="12" fillId="0" borderId="0" xfId="0" applyFont="1" applyAlignment="1">
      <alignment horizontal="left"/>
    </xf>
    <xf numFmtId="0" fontId="19" fillId="0" borderId="0" xfId="8" applyFont="1"/>
    <xf numFmtId="0" fontId="11" fillId="0" borderId="0" xfId="0" applyFont="1"/>
    <xf numFmtId="0" fontId="26" fillId="0" borderId="0" xfId="1" applyFont="1" applyBorder="1"/>
    <xf numFmtId="0" fontId="0" fillId="0" borderId="0" xfId="0" applyAlignment="1">
      <alignment vertical="top"/>
    </xf>
    <xf numFmtId="0" fontId="12" fillId="0" borderId="0" xfId="0" applyFont="1" applyAlignment="1">
      <alignment vertical="top"/>
    </xf>
    <xf numFmtId="0" fontId="14" fillId="0" borderId="0" xfId="0" applyFont="1" applyAlignment="1">
      <alignment vertical="top"/>
    </xf>
    <xf numFmtId="1" fontId="10" fillId="0" borderId="0" xfId="2" applyNumberFormat="1"/>
    <xf numFmtId="0" fontId="28" fillId="0" borderId="0" xfId="1" applyFont="1" applyBorder="1"/>
    <xf numFmtId="166" fontId="0" fillId="0" borderId="0" xfId="0" applyNumberFormat="1" applyAlignment="1">
      <alignment vertical="top"/>
    </xf>
    <xf numFmtId="0" fontId="16" fillId="0" borderId="0" xfId="1" applyFont="1" applyBorder="1"/>
    <xf numFmtId="0" fontId="30" fillId="0" borderId="0" xfId="2" applyFont="1"/>
    <xf numFmtId="0" fontId="12" fillId="0" borderId="4" xfId="0" applyFont="1" applyBorder="1" applyAlignment="1">
      <alignment vertical="top"/>
    </xf>
    <xf numFmtId="165" fontId="0" fillId="0" borderId="0" xfId="0" applyNumberFormat="1" applyAlignment="1">
      <alignment vertical="top"/>
    </xf>
    <xf numFmtId="0" fontId="0" fillId="0" borderId="4" xfId="0" applyBorder="1"/>
    <xf numFmtId="0" fontId="12" fillId="0" borderId="0" xfId="7" applyFont="1"/>
    <xf numFmtId="49" fontId="10" fillId="0" borderId="1" xfId="2" applyNumberFormat="1" applyBorder="1" applyAlignment="1">
      <alignment wrapText="1"/>
    </xf>
    <xf numFmtId="0" fontId="12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0" fillId="0" borderId="4" xfId="2" applyNumberFormat="1" applyBorder="1" applyAlignment="1">
      <alignment wrapText="1"/>
    </xf>
    <xf numFmtId="0" fontId="6" fillId="0" borderId="4" xfId="7" applyBorder="1"/>
    <xf numFmtId="165" fontId="10" fillId="0" borderId="0" xfId="2" applyNumberFormat="1" applyAlignment="1">
      <alignment vertical="top"/>
    </xf>
    <xf numFmtId="0" fontId="10" fillId="0" borderId="4" xfId="2" applyBorder="1"/>
    <xf numFmtId="0" fontId="0" fillId="0" borderId="0" xfId="9" applyFont="1" applyAlignment="1">
      <alignment vertical="top"/>
    </xf>
    <xf numFmtId="0" fontId="12" fillId="0" borderId="4" xfId="7" applyFont="1" applyBorder="1"/>
    <xf numFmtId="0" fontId="0" fillId="0" borderId="4" xfId="7" applyFont="1" applyBorder="1"/>
    <xf numFmtId="1" fontId="10" fillId="3" borderId="0" xfId="2" applyNumberFormat="1" applyFill="1"/>
    <xf numFmtId="0" fontId="16" fillId="0" borderId="0" xfId="1" applyFont="1"/>
    <xf numFmtId="0" fontId="0" fillId="0" borderId="0" xfId="2" applyFont="1"/>
    <xf numFmtId="1" fontId="16" fillId="0" borderId="0" xfId="1" applyNumberFormat="1" applyFont="1" applyFill="1" applyBorder="1" applyAlignment="1">
      <alignment horizontal="center" vertical="top"/>
    </xf>
    <xf numFmtId="0" fontId="16" fillId="0" borderId="0" xfId="1" applyFont="1" applyFill="1"/>
    <xf numFmtId="0" fontId="0" fillId="0" borderId="4" xfId="2" applyFont="1" applyBorder="1"/>
    <xf numFmtId="0" fontId="35" fillId="0" borderId="0" xfId="0" applyFont="1"/>
    <xf numFmtId="0" fontId="16" fillId="3" borderId="0" xfId="1" applyFont="1" applyFill="1" applyBorder="1"/>
    <xf numFmtId="0" fontId="21" fillId="0" borderId="4" xfId="0" applyFont="1" applyBorder="1"/>
    <xf numFmtId="0" fontId="16" fillId="0" borderId="0" xfId="1" applyFont="1" applyFill="1" applyBorder="1" applyAlignment="1">
      <alignment vertical="top"/>
    </xf>
    <xf numFmtId="0" fontId="0" fillId="0" borderId="0" xfId="7" applyFont="1" applyAlignment="1">
      <alignment vertical="top"/>
    </xf>
    <xf numFmtId="0" fontId="28" fillId="3" borderId="0" xfId="1" applyFont="1" applyFill="1" applyBorder="1" applyAlignment="1">
      <alignment vertical="top"/>
    </xf>
    <xf numFmtId="0" fontId="36" fillId="0" borderId="0" xfId="0" applyFont="1"/>
    <xf numFmtId="0" fontId="2" fillId="0" borderId="0" xfId="0" applyFont="1" applyAlignment="1">
      <alignment vertical="top"/>
    </xf>
    <xf numFmtId="0" fontId="13" fillId="0" borderId="0" xfId="1" applyBorder="1"/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0" fontId="18" fillId="0" borderId="0" xfId="0" applyFont="1" applyAlignment="1">
      <alignment vertical="top"/>
    </xf>
    <xf numFmtId="0" fontId="6" fillId="0" borderId="0" xfId="7" applyAlignment="1">
      <alignment vertical="top"/>
    </xf>
    <xf numFmtId="0" fontId="5" fillId="0" borderId="0" xfId="9" applyAlignment="1">
      <alignment vertical="top"/>
    </xf>
    <xf numFmtId="0" fontId="10" fillId="0" borderId="0" xfId="2" applyAlignment="1">
      <alignment vertical="top"/>
    </xf>
    <xf numFmtId="0" fontId="0" fillId="0" borderId="4" xfId="0" applyBorder="1" applyAlignment="1">
      <alignment vertical="top"/>
    </xf>
    <xf numFmtId="0" fontId="7" fillId="0" borderId="0" xfId="5" applyAlignment="1">
      <alignment vertical="top"/>
    </xf>
    <xf numFmtId="0" fontId="21" fillId="0" borderId="0" xfId="0" applyFont="1"/>
    <xf numFmtId="0" fontId="21" fillId="0" borderId="0" xfId="0" applyFont="1" applyAlignment="1">
      <alignment vertical="top"/>
    </xf>
    <xf numFmtId="0" fontId="12" fillId="0" borderId="0" xfId="6" applyFont="1" applyAlignment="1">
      <alignment vertical="top"/>
    </xf>
    <xf numFmtId="0" fontId="0" fillId="0" borderId="0" xfId="6" applyFont="1" applyAlignment="1">
      <alignment vertical="top"/>
    </xf>
    <xf numFmtId="0" fontId="6" fillId="0" borderId="0" xfId="6" applyAlignment="1">
      <alignment vertical="top"/>
    </xf>
    <xf numFmtId="0" fontId="20" fillId="0" borderId="0" xfId="7" applyFont="1" applyAlignment="1">
      <alignment vertical="top"/>
    </xf>
    <xf numFmtId="0" fontId="8" fillId="0" borderId="0" xfId="4" applyAlignment="1">
      <alignment vertical="top"/>
    </xf>
    <xf numFmtId="0" fontId="21" fillId="0" borderId="0" xfId="7" applyFont="1" applyAlignment="1">
      <alignment vertical="top"/>
    </xf>
    <xf numFmtId="0" fontId="6" fillId="0" borderId="0" xfId="8" applyAlignment="1">
      <alignment vertical="top"/>
    </xf>
    <xf numFmtId="0" fontId="16" fillId="0" borderId="0" xfId="0" applyFont="1" applyAlignment="1">
      <alignment vertical="top"/>
    </xf>
    <xf numFmtId="0" fontId="20" fillId="0" borderId="0" xfId="0" applyFont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0" fillId="0" borderId="12" xfId="0" applyBorder="1" applyAlignment="1">
      <alignment vertical="top"/>
    </xf>
    <xf numFmtId="0" fontId="18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3" fontId="0" fillId="0" borderId="6" xfId="0" applyNumberFormat="1" applyBorder="1" applyAlignment="1">
      <alignment vertical="top"/>
    </xf>
    <xf numFmtId="165" fontId="0" fillId="0" borderId="6" xfId="0" applyNumberFormat="1" applyBorder="1" applyAlignment="1">
      <alignment vertical="top"/>
    </xf>
    <xf numFmtId="164" fontId="17" fillId="0" borderId="0" xfId="0" applyNumberFormat="1" applyFont="1" applyAlignment="1">
      <alignment vertical="top"/>
    </xf>
    <xf numFmtId="164" fontId="37" fillId="0" borderId="0" xfId="0" applyNumberFormat="1" applyFont="1" applyAlignment="1">
      <alignment vertical="top"/>
    </xf>
    <xf numFmtId="0" fontId="17" fillId="0" borderId="8" xfId="0" applyFont="1" applyBorder="1" applyAlignment="1">
      <alignment vertical="top"/>
    </xf>
    <xf numFmtId="0" fontId="14" fillId="0" borderId="9" xfId="0" applyFont="1" applyBorder="1" applyAlignment="1">
      <alignment vertical="top"/>
    </xf>
    <xf numFmtId="0" fontId="17" fillId="0" borderId="9" xfId="0" applyFont="1" applyBorder="1" applyAlignment="1">
      <alignment vertical="top"/>
    </xf>
    <xf numFmtId="166" fontId="17" fillId="0" borderId="9" xfId="0" applyNumberFormat="1" applyFont="1" applyBorder="1" applyAlignment="1">
      <alignment vertical="top"/>
    </xf>
    <xf numFmtId="167" fontId="17" fillId="0" borderId="9" xfId="0" applyNumberFormat="1" applyFont="1" applyBorder="1" applyAlignment="1">
      <alignment vertical="top"/>
    </xf>
    <xf numFmtId="0" fontId="17" fillId="0" borderId="10" xfId="0" applyFont="1" applyBorder="1" applyAlignment="1">
      <alignment horizontal="left" vertical="top"/>
    </xf>
    <xf numFmtId="0" fontId="15" fillId="0" borderId="0" xfId="0" applyFont="1" applyAlignment="1">
      <alignment vertical="top"/>
    </xf>
    <xf numFmtId="0" fontId="12" fillId="0" borderId="0" xfId="2" applyFont="1" applyAlignment="1">
      <alignment vertical="top"/>
    </xf>
    <xf numFmtId="0" fontId="12" fillId="0" borderId="0" xfId="2" applyFont="1"/>
    <xf numFmtId="0" fontId="0" fillId="0" borderId="5" xfId="0" applyBorder="1"/>
    <xf numFmtId="0" fontId="1" fillId="0" borderId="0" xfId="2" applyFont="1"/>
    <xf numFmtId="49" fontId="1" fillId="0" borderId="0" xfId="2" applyNumberFormat="1" applyFont="1" applyAlignment="1">
      <alignment wrapText="1"/>
    </xf>
    <xf numFmtId="0" fontId="20" fillId="0" borderId="4" xfId="0" applyFont="1" applyBorder="1" applyAlignment="1">
      <alignment wrapText="1"/>
    </xf>
    <xf numFmtId="0" fontId="0" fillId="0" borderId="0" xfId="0" applyBorder="1"/>
    <xf numFmtId="0" fontId="25" fillId="0" borderId="5" xfId="0" applyFont="1" applyBorder="1"/>
    <xf numFmtId="0" fontId="20" fillId="0" borderId="0" xfId="0" applyFont="1" applyBorder="1" applyAlignment="1">
      <alignment wrapText="1"/>
    </xf>
    <xf numFmtId="0" fontId="1" fillId="3" borderId="0" xfId="2" applyFont="1" applyFill="1"/>
    <xf numFmtId="49" fontId="1" fillId="0" borderId="5" xfId="2" applyNumberFormat="1" applyFont="1" applyBorder="1" applyAlignment="1">
      <alignment wrapText="1"/>
    </xf>
    <xf numFmtId="0" fontId="12" fillId="0" borderId="0" xfId="0" applyFont="1" applyBorder="1"/>
    <xf numFmtId="1" fontId="10" fillId="0" borderId="0" xfId="2" applyNumberFormat="1" applyBorder="1"/>
    <xf numFmtId="0" fontId="6" fillId="0" borderId="0" xfId="7" applyBorder="1"/>
    <xf numFmtId="0" fontId="12" fillId="0" borderId="0" xfId="0" applyFont="1" applyBorder="1" applyAlignment="1">
      <alignment vertical="top"/>
    </xf>
    <xf numFmtId="0" fontId="12" fillId="0" borderId="0" xfId="7" applyFont="1" applyBorder="1"/>
    <xf numFmtId="0" fontId="12" fillId="0" borderId="12" xfId="0" applyFont="1" applyBorder="1"/>
    <xf numFmtId="0" fontId="12" fillId="0" borderId="6" xfId="0" applyFont="1" applyBorder="1"/>
    <xf numFmtId="1" fontId="10" fillId="0" borderId="6" xfId="2" applyNumberFormat="1" applyBorder="1"/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3" fillId="0" borderId="3" xfId="0" applyFont="1" applyBorder="1" applyAlignment="1">
      <alignment horizontal="center"/>
    </xf>
    <xf numFmtId="0" fontId="1" fillId="0" borderId="0" xfId="8" applyFont="1"/>
    <xf numFmtId="0" fontId="26" fillId="0" borderId="0" xfId="1" applyFont="1"/>
    <xf numFmtId="0" fontId="10" fillId="0" borderId="0" xfId="2" applyFill="1"/>
    <xf numFmtId="1" fontId="10" fillId="0" borderId="0" xfId="2" applyNumberFormat="1" applyFill="1"/>
    <xf numFmtId="0" fontId="16" fillId="0" borderId="0" xfId="1" applyFont="1" applyFill="1" applyBorder="1"/>
    <xf numFmtId="0" fontId="13" fillId="0" borderId="0" xfId="1" applyFill="1" applyAlignment="1">
      <alignment wrapText="1"/>
    </xf>
    <xf numFmtId="0" fontId="0" fillId="0" borderId="0" xfId="0" applyFill="1" applyAlignment="1">
      <alignment vertical="top"/>
    </xf>
    <xf numFmtId="165" fontId="0" fillId="0" borderId="0" xfId="0" applyNumberFormat="1" applyFont="1" applyFill="1" applyAlignment="1">
      <alignment vertical="top"/>
    </xf>
    <xf numFmtId="1" fontId="30" fillId="0" borderId="0" xfId="1" applyNumberFormat="1" applyFont="1" applyFill="1" applyBorder="1" applyAlignment="1">
      <alignment horizontal="center" vertical="top"/>
    </xf>
    <xf numFmtId="0" fontId="0" fillId="0" borderId="0" xfId="2" applyFont="1" applyFill="1"/>
    <xf numFmtId="0" fontId="1" fillId="0" borderId="0" xfId="7" applyFont="1"/>
    <xf numFmtId="49" fontId="34" fillId="0" borderId="13" xfId="0" applyNumberFormat="1" applyFont="1" applyBorder="1" applyAlignment="1">
      <alignment vertical="top"/>
    </xf>
    <xf numFmtId="0" fontId="34" fillId="4" borderId="13" xfId="0" applyFont="1" applyFill="1" applyBorder="1" applyAlignment="1">
      <alignment wrapText="1"/>
    </xf>
    <xf numFmtId="0" fontId="34" fillId="0" borderId="13" xfId="0" applyFont="1" applyBorder="1"/>
    <xf numFmtId="0" fontId="38" fillId="0" borderId="13" xfId="0" applyFont="1" applyFill="1" applyBorder="1" applyAlignment="1">
      <alignment wrapText="1"/>
    </xf>
    <xf numFmtId="49" fontId="21" fillId="0" borderId="13" xfId="0" applyNumberFormat="1" applyFont="1" applyBorder="1"/>
    <xf numFmtId="0" fontId="15" fillId="0" borderId="13" xfId="0" applyFont="1" applyBorder="1"/>
    <xf numFmtId="49" fontId="34" fillId="0" borderId="15" xfId="0" applyNumberFormat="1" applyFont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8" fillId="0" borderId="0" xfId="1" applyFont="1" applyFill="1" applyBorder="1"/>
    <xf numFmtId="0" fontId="29" fillId="0" borderId="0" xfId="1" applyFont="1" applyBorder="1"/>
    <xf numFmtId="0" fontId="27" fillId="0" borderId="0" xfId="1" applyFont="1" applyFill="1" applyBorder="1" applyAlignment="1">
      <alignment vertical="top"/>
    </xf>
    <xf numFmtId="0" fontId="28" fillId="0" borderId="6" xfId="1" applyFont="1" applyBorder="1"/>
    <xf numFmtId="0" fontId="17" fillId="0" borderId="7" xfId="0" applyFont="1" applyBorder="1" applyAlignment="1">
      <alignment horizontal="left" vertical="top"/>
    </xf>
    <xf numFmtId="49" fontId="1" fillId="0" borderId="8" xfId="2" applyNumberFormat="1" applyFont="1" applyBorder="1" applyAlignment="1">
      <alignment wrapText="1"/>
    </xf>
    <xf numFmtId="49" fontId="1" fillId="0" borderId="9" xfId="2" applyNumberFormat="1" applyFont="1" applyBorder="1" applyAlignment="1">
      <alignment wrapText="1"/>
    </xf>
    <xf numFmtId="0" fontId="1" fillId="0" borderId="9" xfId="2" applyFont="1" applyBorder="1"/>
    <xf numFmtId="0" fontId="1" fillId="0" borderId="16" xfId="0" applyFont="1" applyBorder="1"/>
    <xf numFmtId="0" fontId="1" fillId="0" borderId="0" xfId="7" applyFont="1" applyAlignment="1">
      <alignment vertical="top"/>
    </xf>
    <xf numFmtId="49" fontId="15" fillId="0" borderId="14" xfId="0" applyNumberFormat="1" applyFont="1" applyBorder="1" applyAlignment="1">
      <alignment vertical="top"/>
    </xf>
    <xf numFmtId="49" fontId="1" fillId="0" borderId="13" xfId="0" applyNumberFormat="1" applyFont="1" applyBorder="1" applyAlignment="1">
      <alignment vertical="top"/>
    </xf>
    <xf numFmtId="49" fontId="15" fillId="0" borderId="13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49" fontId="21" fillId="0" borderId="13" xfId="0" applyNumberFormat="1" applyFont="1" applyBorder="1" applyAlignment="1">
      <alignment vertical="top"/>
    </xf>
    <xf numFmtId="0" fontId="1" fillId="0" borderId="0" xfId="2" applyFont="1" applyAlignment="1">
      <alignment vertical="top"/>
    </xf>
    <xf numFmtId="0" fontId="1" fillId="0" borderId="0" xfId="5" applyFont="1" applyAlignment="1">
      <alignment vertical="top"/>
    </xf>
    <xf numFmtId="49" fontId="1" fillId="0" borderId="13" xfId="0" applyNumberFormat="1" applyFont="1" applyBorder="1"/>
    <xf numFmtId="0" fontId="20" fillId="0" borderId="0" xfId="0" applyFont="1" applyAlignment="1">
      <alignment wrapText="1"/>
    </xf>
    <xf numFmtId="0" fontId="21" fillId="0" borderId="13" xfId="0" applyFont="1" applyBorder="1" applyAlignment="1">
      <alignment wrapText="1"/>
    </xf>
    <xf numFmtId="0" fontId="1" fillId="0" borderId="13" xfId="2" applyFont="1" applyBorder="1"/>
    <xf numFmtId="1" fontId="1" fillId="0" borderId="0" xfId="2" applyNumberFormat="1" applyFont="1"/>
    <xf numFmtId="0" fontId="1" fillId="0" borderId="0" xfId="6" applyFont="1" applyAlignment="1">
      <alignment vertical="top"/>
    </xf>
    <xf numFmtId="0" fontId="21" fillId="0" borderId="0" xfId="0" applyFont="1" applyAlignment="1">
      <alignment wrapText="1"/>
    </xf>
    <xf numFmtId="0" fontId="1" fillId="0" borderId="0" xfId="2" applyFont="1" applyAlignment="1">
      <alignment wrapText="1"/>
    </xf>
    <xf numFmtId="0" fontId="1" fillId="0" borderId="13" xfId="2" applyFont="1" applyBorder="1" applyAlignment="1">
      <alignment wrapText="1"/>
    </xf>
    <xf numFmtId="0" fontId="1" fillId="0" borderId="0" xfId="2" applyFont="1" applyFill="1" applyAlignment="1">
      <alignment wrapText="1"/>
    </xf>
    <xf numFmtId="1" fontId="1" fillId="0" borderId="0" xfId="2" applyNumberFormat="1" applyFont="1" applyFill="1"/>
    <xf numFmtId="0" fontId="1" fillId="0" borderId="0" xfId="4" applyFont="1" applyAlignment="1">
      <alignment vertical="top"/>
    </xf>
    <xf numFmtId="49" fontId="30" fillId="0" borderId="13" xfId="0" applyNumberFormat="1" applyFont="1" applyBorder="1" applyAlignment="1">
      <alignment vertical="top"/>
    </xf>
    <xf numFmtId="0" fontId="20" fillId="0" borderId="4" xfId="0" applyFont="1" applyBorder="1" applyAlignment="1">
      <alignment vertical="top"/>
    </xf>
    <xf numFmtId="49" fontId="34" fillId="0" borderId="13" xfId="0" applyNumberFormat="1" applyFont="1" applyBorder="1"/>
    <xf numFmtId="1" fontId="20" fillId="0" borderId="0" xfId="1" applyNumberFormat="1" applyFont="1" applyFill="1" applyBorder="1" applyAlignment="1">
      <alignment horizontal="center" vertical="top"/>
    </xf>
    <xf numFmtId="0" fontId="1" fillId="0" borderId="0" xfId="0" applyFont="1" applyAlignment="1">
      <alignment vertical="top"/>
    </xf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left"/>
    </xf>
    <xf numFmtId="49" fontId="1" fillId="0" borderId="0" xfId="2" applyNumberFormat="1" applyFont="1" applyBorder="1" applyAlignment="1">
      <alignment wrapText="1"/>
    </xf>
    <xf numFmtId="0" fontId="1" fillId="0" borderId="0" xfId="7" applyFont="1" applyBorder="1"/>
    <xf numFmtId="0" fontId="1" fillId="0" borderId="0" xfId="2" applyFont="1" applyAlignment="1">
      <alignment horizontal="right"/>
    </xf>
    <xf numFmtId="0" fontId="1" fillId="0" borderId="4" xfId="6" applyFont="1" applyBorder="1" applyAlignment="1">
      <alignment vertical="top"/>
    </xf>
    <xf numFmtId="0" fontId="1" fillId="0" borderId="4" xfId="2" applyFont="1" applyBorder="1"/>
    <xf numFmtId="0" fontId="21" fillId="0" borderId="0" xfId="2" applyFont="1"/>
    <xf numFmtId="0" fontId="1" fillId="0" borderId="4" xfId="9" applyFont="1" applyBorder="1" applyAlignment="1">
      <alignment vertical="top"/>
    </xf>
    <xf numFmtId="0" fontId="20" fillId="0" borderId="0" xfId="0" applyFont="1" applyBorder="1"/>
    <xf numFmtId="0" fontId="20" fillId="0" borderId="5" xfId="0" applyFont="1" applyBorder="1"/>
    <xf numFmtId="0" fontId="20" fillId="0" borderId="12" xfId="0" applyFont="1" applyBorder="1" applyAlignment="1">
      <alignment wrapText="1"/>
    </xf>
    <xf numFmtId="0" fontId="20" fillId="0" borderId="6" xfId="0" applyFont="1" applyBorder="1" applyAlignment="1">
      <alignment wrapText="1"/>
    </xf>
    <xf numFmtId="0" fontId="20" fillId="0" borderId="6" xfId="0" applyFont="1" applyBorder="1"/>
    <xf numFmtId="0" fontId="20" fillId="0" borderId="7" xfId="0" applyFont="1" applyBorder="1"/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65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numFmt numFmtId="165" formatCode="_-[$$-409]* #,##0_ ;_-[$$-409]* \-#,##0\ ;_-[$$-409]* &quot;-&quot;_ ;_-@_ "/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u/>
        <color rgb="FF00B0F0"/>
        <family val="2"/>
      </font>
      <numFmt numFmtId="1" formatCode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strike val="0"/>
        <outline val="0"/>
        <shadow val="0"/>
        <vertAlign val="baseline"/>
        <sz val="11"/>
        <color rgb="FF00B0F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u/>
        <vertAlign val="baseline"/>
        <sz val="11"/>
        <color rgb="FF00B0F0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5</xdr:row>
      <xdr:rowOff>19050</xdr:rowOff>
    </xdr:from>
    <xdr:to>
      <xdr:col>0</xdr:col>
      <xdr:colOff>910500</xdr:colOff>
      <xdr:row>8</xdr:row>
      <xdr:rowOff>167550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CA1BA99-ED61-4C05-BBF1-25FF55366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62050"/>
          <a:ext cx="720000" cy="720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5</xdr:row>
      <xdr:rowOff>19050</xdr:rowOff>
    </xdr:from>
    <xdr:to>
      <xdr:col>0</xdr:col>
      <xdr:colOff>909586</xdr:colOff>
      <xdr:row>8</xdr:row>
      <xdr:rowOff>166636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E30F7B-3D7E-43B9-98A4-2CA2F70303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62050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5</xdr:row>
      <xdr:rowOff>19050</xdr:rowOff>
    </xdr:from>
    <xdr:to>
      <xdr:col>0</xdr:col>
      <xdr:colOff>909586</xdr:colOff>
      <xdr:row>8</xdr:row>
      <xdr:rowOff>166636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472CCCF-96D1-4167-A405-CB32BA3AF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62050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66675</xdr:colOff>
      <xdr:row>5</xdr:row>
      <xdr:rowOff>0</xdr:rowOff>
    </xdr:from>
    <xdr:to>
      <xdr:col>6</xdr:col>
      <xdr:colOff>23761</xdr:colOff>
      <xdr:row>8</xdr:row>
      <xdr:rowOff>147586</xdr:rowOff>
    </xdr:to>
    <xdr:pic>
      <xdr:nvPicPr>
        <xdr:cNvPr id="176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9D6CDFA-41FB-442A-B769-F46C150DC3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38850" y="1143000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5</xdr:row>
      <xdr:rowOff>19050</xdr:rowOff>
    </xdr:from>
    <xdr:to>
      <xdr:col>0</xdr:col>
      <xdr:colOff>909586</xdr:colOff>
      <xdr:row>8</xdr:row>
      <xdr:rowOff>166636</xdr:rowOff>
    </xdr:to>
    <xdr:pic>
      <xdr:nvPicPr>
        <xdr:cNvPr id="3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C17C2A1-F56F-4CCB-832A-B56F1B61C2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238250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66675</xdr:colOff>
      <xdr:row>5</xdr:row>
      <xdr:rowOff>0</xdr:rowOff>
    </xdr:from>
    <xdr:to>
      <xdr:col>6</xdr:col>
      <xdr:colOff>23761</xdr:colOff>
      <xdr:row>8</xdr:row>
      <xdr:rowOff>147586</xdr:rowOff>
    </xdr:to>
    <xdr:pic>
      <xdr:nvPicPr>
        <xdr:cNvPr id="4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6BFACE-1375-42BE-8F2A-B55CB779F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38850" y="1143000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5</xdr:row>
      <xdr:rowOff>47625</xdr:rowOff>
    </xdr:from>
    <xdr:to>
      <xdr:col>0</xdr:col>
      <xdr:colOff>910500</xdr:colOff>
      <xdr:row>9</xdr:row>
      <xdr:rowOff>5625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70B9A01-64CA-4B8E-8353-C88F4FB87B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5</xdr:col>
      <xdr:colOff>66675</xdr:colOff>
      <xdr:row>5</xdr:row>
      <xdr:rowOff>0</xdr:rowOff>
    </xdr:from>
    <xdr:to>
      <xdr:col>6</xdr:col>
      <xdr:colOff>23761</xdr:colOff>
      <xdr:row>8</xdr:row>
      <xdr:rowOff>147586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B8D56DB-1943-49BC-86B0-8B8A27B8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953250" y="1219200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1381125</xdr:colOff>
      <xdr:row>46</xdr:row>
      <xdr:rowOff>28575</xdr:rowOff>
    </xdr:from>
    <xdr:to>
      <xdr:col>1</xdr:col>
      <xdr:colOff>2043975</xdr:colOff>
      <xdr:row>49</xdr:row>
      <xdr:rowOff>177075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D91243-7713-4D69-B940-D1D26C00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71650" y="9382125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46</xdr:row>
      <xdr:rowOff>28575</xdr:rowOff>
    </xdr:from>
    <xdr:to>
      <xdr:col>2</xdr:col>
      <xdr:colOff>916323</xdr:colOff>
      <xdr:row>49</xdr:row>
      <xdr:rowOff>177075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C9079C-6EAA-459A-8E3A-671BA1FDF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05100" y="9382125"/>
          <a:ext cx="802023" cy="720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47625</xdr:colOff>
      <xdr:row>18</xdr:row>
      <xdr:rowOff>28575</xdr:rowOff>
    </xdr:from>
    <xdr:to>
      <xdr:col>3</xdr:col>
      <xdr:colOff>729525</xdr:colOff>
      <xdr:row>21</xdr:row>
      <xdr:rowOff>177075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8F99501-C4E7-45E5-8B7A-A1E580D3C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52800" y="4029075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4</xdr:col>
      <xdr:colOff>257175</xdr:colOff>
      <xdr:row>18</xdr:row>
      <xdr:rowOff>28575</xdr:rowOff>
    </xdr:from>
    <xdr:to>
      <xdr:col>4</xdr:col>
      <xdr:colOff>1059198</xdr:colOff>
      <xdr:row>21</xdr:row>
      <xdr:rowOff>177075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3519A5-51EA-4F5A-9C21-91BCC5599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52925" y="4029075"/>
          <a:ext cx="802023" cy="7200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38100</xdr:colOff>
      <xdr:row>45</xdr:row>
      <xdr:rowOff>28575</xdr:rowOff>
    </xdr:from>
    <xdr:to>
      <xdr:col>4</xdr:col>
      <xdr:colOff>24675</xdr:colOff>
      <xdr:row>47</xdr:row>
      <xdr:rowOff>167550</xdr:rowOff>
    </xdr:to>
    <xdr:pic>
      <xdr:nvPicPr>
        <xdr:cNvPr id="11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CE6E9F-117D-4FA1-9833-6D127B8A4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0" y="8296275"/>
          <a:ext cx="720000" cy="720000"/>
        </a:xfrm>
        <a:prstGeom prst="rect">
          <a:avLst/>
        </a:prstGeom>
      </xdr:spPr>
    </xdr:pic>
    <xdr:clientData/>
  </xdr:twoCellAnchor>
  <xdr:twoCellAnchor editAs="oneCell">
    <xdr:from>
      <xdr:col>4</xdr:col>
      <xdr:colOff>342900</xdr:colOff>
      <xdr:row>45</xdr:row>
      <xdr:rowOff>28575</xdr:rowOff>
    </xdr:from>
    <xdr:to>
      <xdr:col>5</xdr:col>
      <xdr:colOff>24675</xdr:colOff>
      <xdr:row>47</xdr:row>
      <xdr:rowOff>167550</xdr:rowOff>
    </xdr:to>
    <xdr:pic>
      <xdr:nvPicPr>
        <xdr:cNvPr id="1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23945AB-8B2D-405C-8476-BEA5020495E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14875" y="8296275"/>
          <a:ext cx="720000" cy="7200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W%20Full%20BO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W Full BOM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L144" totalsRowShown="0" dataDxfId="96" headerRowBorderDxfId="94" tableBorderDxfId="95" headerRowCellStyle="Normal 2">
  <autoFilter ref="A1:L144" xr:uid="{00000000-000C-0000-FFFF-FFFF00000000}"/>
  <sortState xmlns:xlrd2="http://schemas.microsoft.com/office/spreadsheetml/2017/richdata2" ref="A2:L144">
    <sortCondition ref="A1:A144"/>
  </sortState>
  <tableColumns count="12">
    <tableColumn id="3" xr3:uid="{E596F2F7-CDFF-486E-86F5-053FDD2A2A5C}" name="Part Type" dataDxfId="93"/>
    <tableColumn id="4" xr3:uid="{21BB2F02-45DC-4E39-9123-FC046A8DFC11}" name="Part" dataDxfId="92"/>
    <tableColumn id="1" xr3:uid="{277C1F1F-DAAE-4C91-9EDC-C8D501677DE9}" name="Cut length" dataDxfId="91" dataCellStyle="Normal 7"/>
    <tableColumn id="7" xr3:uid="{47852F97-FC81-4943-BFF5-71D7E867A237}" name="Quantity Required" dataDxfId="90"/>
    <tableColumn id="5" xr3:uid="{5C2A44A8-DE4F-4B5A-930C-443716E7E898}" name="Pack Order Qty" dataDxfId="89"/>
    <tableColumn id="8" xr3:uid="{07FAA242-B582-4790-9720-A5DC124D6B2D}" name="Pack Price $USD" dataDxfId="88"/>
    <tableColumn id="10" xr3:uid="{B3F33643-2531-4917-B84D-BE4983A99A8C}" name="*Cost Price $USD" dataDxfId="87">
      <calculatedColumnFormula>E2*F2</calculatedColumnFormula>
    </tableColumn>
    <tableColumn id="2" xr3:uid="{2B3304EF-95F3-4EA3-9A24-E520BCF247B0}" name="Order Link" dataDxfId="86" dataCellStyle="Hyperlink"/>
    <tableColumn id="12" xr3:uid="{53A14610-D497-4DD1-8CFF-F20E191D3317}" name="Supplier" dataDxfId="85"/>
    <tableColumn id="11" xr3:uid="{A7F10A10-A127-43E0-B65C-9F538B8DD15E}" name="Qty in a Pack" dataDxfId="84" dataCellStyle="Hyperlink"/>
    <tableColumn id="13" xr3:uid="{DE4564AA-6825-49A5-B67A-A550AFECDCA7}" name="DIN" dataDxfId="83"/>
    <tableColumn id="14" xr3:uid="{63E8BC06-DC55-407C-B167-F3CA5B6EBA86}" name="ISO" dataDxfId="8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F19" totalsRowShown="0" headerRowDxfId="81" dataDxfId="80" tableBorderDxfId="79" headerRowCellStyle="Normal 2">
  <autoFilter ref="B1:F19" xr:uid="{9FCF4A79-156B-41FF-A555-9328C94776F1}"/>
  <sortState xmlns:xlrd2="http://schemas.microsoft.com/office/spreadsheetml/2017/richdata2" ref="B2:F19">
    <sortCondition ref="B1:B19"/>
  </sortState>
  <tableColumns count="5">
    <tableColumn id="1" xr3:uid="{12342F44-8220-45C2-AC30-328741D516AB}" name="Part name" dataDxfId="78"/>
    <tableColumn id="3" xr3:uid="{2385B826-F8C8-4362-89A6-95A38D685D6B}" name="Description" dataDxfId="77"/>
    <tableColumn id="4" xr3:uid="{0FBBE615-D864-4E30-B741-3BE35C30458E}" name="Cut length" dataDxfId="76" dataCellStyle="Normal 8"/>
    <tableColumn id="2" xr3:uid="{59176566-F320-409F-9AA9-17486015A49A}" name="BOM Quantity" dataDxfId="75"/>
    <tableColumn id="6" xr3:uid="{CCC7B1CB-77FB-4FB8-8D31-F5E969E2025F}" name="Order Info" dataDxfId="7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E38" totalsRowShown="0" headerRowDxfId="73" tableBorderDxfId="72" headerRowCellStyle="Normal 2" dataCellStyle="Normal 2">
  <autoFilter ref="B1:E38" xr:uid="{BAD2131D-41B2-42EA-A67B-FBB781AD12E7}"/>
  <sortState xmlns:xlrd2="http://schemas.microsoft.com/office/spreadsheetml/2017/richdata2" ref="B2:E38">
    <sortCondition ref="B1:B38"/>
  </sortState>
  <tableColumns count="4">
    <tableColumn id="1" xr3:uid="{C5533925-B810-4F05-9221-5D5DC08A3846}" name="Part name" totalsRowDxfId="71" dataCellStyle="Normal 2" totalsRowCellStyle="Normal 2"/>
    <tableColumn id="7" xr3:uid="{13C33B91-92BB-4F0B-8B89-D7D5416E5479}" name="Description" totalsRowDxfId="70" dataCellStyle="Normal 2" totalsRowCellStyle="Normal 2"/>
    <tableColumn id="2" xr3:uid="{684CEE11-8A68-45FD-871F-FFCFA808FEBD}" name="BOM Quantity" dataDxfId="68" totalsRowDxfId="69" dataCellStyle="Normal 2" totalsRowCellStyle="Normal 8"/>
    <tableColumn id="4" xr3:uid="{E9FF35DD-5C19-4CD6-B2A5-9BA584311B2C}" name="Order Info" dataDxfId="66" totalsRowDxfId="67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E25" totalsRowShown="0" headerRowDxfId="65" tableBorderDxfId="64" headerRowCellStyle="Normal 2" dataCellStyle="Normal 2">
  <autoFilter ref="B1:E25" xr:uid="{BAD2131D-41B2-42EA-A67B-FBB781AD12E7}"/>
  <sortState xmlns:xlrd2="http://schemas.microsoft.com/office/spreadsheetml/2017/richdata2" ref="B2:E25">
    <sortCondition ref="B1:B25"/>
  </sortState>
  <tableColumns count="4">
    <tableColumn id="1" xr3:uid="{0F292740-142C-4538-B6E0-04426284E315}" name="Part name" totalsRowDxfId="63" dataCellStyle="Normal 2" totalsRowCellStyle="Normal 2"/>
    <tableColumn id="7" xr3:uid="{150C9F57-34E9-40EB-9D7E-4F2F4DC1A13F}" name="Description" totalsRowDxfId="62" totalsRowCellStyle="Normal 2"/>
    <tableColumn id="2" xr3:uid="{A7D6434D-4498-49EB-9D73-D244744029D3}" name="BOM Quantity" dataDxfId="60" totalsRowDxfId="61" dataCellStyle="Normal 2" totalsRowCellStyle="Normal 8"/>
    <tableColumn id="4" xr3:uid="{FF1A4F3C-3F6C-446F-8B08-526D78BC282C}" name="Order Info" dataDxfId="58" totalsRowDxfId="5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8:E38" totalsRowShown="0" headerRowDxfId="57" tableBorderDxfId="56" headerRowCellStyle="Normal 2" dataCellStyle="Normal 2">
  <autoFilter ref="B28:E38" xr:uid="{DA456747-D398-4471-8B86-AB700DA339AD}"/>
  <sortState xmlns:xlrd2="http://schemas.microsoft.com/office/spreadsheetml/2017/richdata2" ref="B29:E38">
    <sortCondition ref="B28:B38"/>
  </sortState>
  <tableColumns count="4">
    <tableColumn id="1" xr3:uid="{B397B237-34CC-4F05-A03A-172D9B10CC01}" name="Part name" totalsRowDxfId="55" dataCellStyle="Normal 2" totalsRowCellStyle="Normal 2"/>
    <tableColumn id="7" xr3:uid="{A1AF3E5A-9878-43E6-8325-6EA13891B687}" name="Description" totalsRowDxfId="54" totalsRowCellStyle="Normal 2"/>
    <tableColumn id="2" xr3:uid="{1585E650-1008-4DC9-8D1C-8F6E78001D58}" name="BOM Quantity" dataDxfId="52" totalsRowDxfId="53" dataCellStyle="Normal 2" totalsRowCellStyle="Normal 8"/>
    <tableColumn id="3" xr3:uid="{ADE9D739-BE2E-40A8-B630-52455BDE475A}" name="Order Info" dataDxfId="50" totalsRowDxfId="51" dataCellStyle="Hyperlink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E45" totalsRowShown="0" headerRowDxfId="49" tableBorderDxfId="48" headerRowCellStyle="Normal 2" dataCellStyle="Normal 2">
  <autoFilter ref="B1:E45" xr:uid="{BAD2131D-41B2-42EA-A67B-FBB781AD12E7}"/>
  <sortState xmlns:xlrd2="http://schemas.microsoft.com/office/spreadsheetml/2017/richdata2" ref="B2:E45">
    <sortCondition ref="B1:B45"/>
  </sortState>
  <tableColumns count="4">
    <tableColumn id="1" xr3:uid="{1CE47076-A60D-4220-8B3D-C6D4BAFB1164}" name="Part name" totalsRowDxfId="47" dataCellStyle="Normal 2" totalsRowCellStyle="Normal 2"/>
    <tableColumn id="7" xr3:uid="{D41EBA7C-1A32-4553-871C-D0C5C96C9E90}" name="Description" totalsRowDxfId="46" dataCellStyle="Normal 2" totalsRowCellStyle="Normal 2"/>
    <tableColumn id="2" xr3:uid="{1A8F0BE6-05F1-4339-9CFB-0F9B7B4E13D4}" name="BOM Quantity" dataDxfId="44" totalsRowDxfId="45" dataCellStyle="Normal 2" totalsRowCellStyle="Normal 8"/>
    <tableColumn id="4" xr3:uid="{14C615EF-C31C-45BB-88C1-5213D1ACC6A2}" name="Order Info" dataDxfId="42" totalsRowDxfId="43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E75" totalsRowShown="0" headerRowDxfId="41" tableBorderDxfId="40" headerRowCellStyle="Normal 2" dataCellStyle="Normal 2">
  <autoFilter ref="B1:E75" xr:uid="{BAD2131D-41B2-42EA-A67B-FBB781AD12E7}"/>
  <sortState xmlns:xlrd2="http://schemas.microsoft.com/office/spreadsheetml/2017/richdata2" ref="B2:E75">
    <sortCondition ref="B1:B75"/>
  </sortState>
  <tableColumns count="4">
    <tableColumn id="1" xr3:uid="{FEDEBDB4-D2A0-4044-865C-6B89D3CC7592}" name="Part name" totalsRowDxfId="39" dataCellStyle="Normal 2" totalsRowCellStyle="Normal 2"/>
    <tableColumn id="7" xr3:uid="{4C265877-F081-4975-80F2-6B962EBD7F5B}" name="Description" totalsRowDxfId="38" dataCellStyle="Normal 2" totalsRowCellStyle="Normal 2"/>
    <tableColumn id="2" xr3:uid="{C58356B1-645B-4209-9365-0DE732AD7AAF}" name="BOM Quantity" dataDxfId="36" totalsRowDxfId="37" dataCellStyle="Normal 2" totalsRowCellStyle="Normal 8"/>
    <tableColumn id="4" xr3:uid="{65CB8442-0C8A-4A55-B125-1BD6513667D6}" name="Order Info" dataDxfId="34" totalsRowDxfId="3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H45" totalsRowShown="0" headerRowDxfId="33" tableBorderDxfId="32" headerRowCellStyle="Normal 2" dataCellStyle="Normal 2">
  <autoFilter ref="B1:H45" xr:uid="{BAD2131D-41B2-42EA-A67B-FBB781AD12E7}"/>
  <sortState xmlns:xlrd2="http://schemas.microsoft.com/office/spreadsheetml/2017/richdata2" ref="B2:H45">
    <sortCondition ref="B1:B45"/>
  </sortState>
  <tableColumns count="7">
    <tableColumn id="1" xr3:uid="{3C370705-9D71-4B07-907E-72DEACEAFBA2}" name="Part name" totalsRowDxfId="31" dataCellStyle="Normal 2" totalsRowCellStyle="Normal 2"/>
    <tableColumn id="7" xr3:uid="{D11DB86B-2519-40CE-A3B1-2DFF1E8D8BAF}" name="Description" totalsRowDxfId="30" dataCellStyle="Normal 2" totalsRowCellStyle="Normal 2"/>
    <tableColumn id="2" xr3:uid="{030B0BC7-E7B6-43C0-9200-DE84B404D5FA}" name="BOM Quantity" dataDxfId="28" totalsRowDxfId="29" dataCellStyle="Normal 2" totalsRowCellStyle="Normal 8"/>
    <tableColumn id="3" xr3:uid="{A472BF48-B40D-4380-B6F3-AD3E859AB7D4}" name="Pack Order Quantity" dataDxfId="26" totalsRowDxfId="27" dataCellStyle="Normal 2" totalsRowCellStyle="Normal 8"/>
    <tableColumn id="4" xr3:uid="{4041BC3F-9B73-4D61-84F6-39A371AED494}" name="Order Info" dataDxfId="24" totalsRowDxfId="25" dataCellStyle="Normal 2" totalsRowCellStyle="Normal 8"/>
    <tableColumn id="5" xr3:uid="{C55F0AD7-0E4E-4EB1-93B1-E67300D22740}" name="Unit Price" dataDxfId="22" totalsRowDxfId="23" dataCellStyle="Normal 2" totalsRowCellStyle="Normal 8"/>
    <tableColumn id="6" xr3:uid="{E06FBE61-2628-4CBF-ABC1-B2AFE6287D9A}" name="Line Price" dataDxfId="20" totalsRowDxfId="21" dataCellStyle="Normal 2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E18" totalsRowShown="0" headerRowDxfId="19" tableBorderDxfId="18" headerRowCellStyle="Normal 2" dataCellStyle="Normal 2">
  <autoFilter ref="B1:E18" xr:uid="{BAD2131D-41B2-42EA-A67B-FBB781AD12E7}"/>
  <sortState xmlns:xlrd2="http://schemas.microsoft.com/office/spreadsheetml/2017/richdata2" ref="B2:E18">
    <sortCondition ref="B1:B18"/>
  </sortState>
  <tableColumns count="4">
    <tableColumn id="1" xr3:uid="{D7153C23-8479-4254-BF69-2A4089CB71C0}" name="Part name" totalsRowDxfId="17" dataCellStyle="Normal 2" totalsRowCellStyle="Normal 2"/>
    <tableColumn id="7" xr3:uid="{5CF4E952-095C-46AE-A57F-99A26E57C478}" name="Description" totalsRowDxfId="16" dataCellStyle="Normal 2" totalsRowCellStyle="Normal 2"/>
    <tableColumn id="2" xr3:uid="{8AE4D1C0-7F70-4D1E-B6EC-42038CE642DF}" name="BOM Quantity" dataDxfId="14" totalsRowDxfId="15" dataCellStyle="Normal 2" totalsRowCellStyle="Normal 8"/>
    <tableColumn id="4" xr3:uid="{5FA22CB9-365D-4406-90AA-1375A1464EDC}" name="Order Info" dataDxfId="12" totalsRowDxfId="1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E44" totalsRowShown="0" headerRowDxfId="11" tableBorderDxfId="10" headerRowCellStyle="Normal 2" dataCellStyle="Normal 2">
  <autoFilter ref="B1:E44" xr:uid="{BAD2131D-41B2-42EA-A67B-FBB781AD12E7}"/>
  <sortState xmlns:xlrd2="http://schemas.microsoft.com/office/spreadsheetml/2017/richdata2" ref="B2:E44">
    <sortCondition ref="B1:B44"/>
  </sortState>
  <tableColumns count="4">
    <tableColumn id="1" xr3:uid="{E0A0C165-2589-4FA7-A356-93EEE88B2095}" name="Part name" totalsRowDxfId="9" dataCellStyle="Normal 2" totalsRowCellStyle="Normal 2"/>
    <tableColumn id="7" xr3:uid="{49376C16-406D-4D5F-8B92-3BFE5FB962B9}" name="Description" totalsRowDxfId="8" dataCellStyle="Normal 2" totalsRowCellStyle="Normal 2"/>
    <tableColumn id="2" xr3:uid="{6252F354-5A67-4DD7-A1AA-3DADB5EF6BF7}" name="BOM Quantity" dataDxfId="6" totalsRowDxfId="7" dataCellStyle="Normal 2" totalsRowCellStyle="Normal 8"/>
    <tableColumn id="4" xr3:uid="{A5B8DC3B-9D4F-4B03-877B-EA360C82CDF3}" name="Order Info" dataDxfId="4" totalsRowDxfId="5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A2:D26" totalsRowShown="0">
  <autoFilter ref="A2:D26" xr:uid="{CD3A9734-505A-4671-9A99-A5AD0241BC9E}"/>
  <tableColumns count="4">
    <tableColumn id="1" xr3:uid="{8F04C4EB-A680-469A-88ED-4273832B70AF}" name="Pin #" dataDxfId="3"/>
    <tableColumn id="2" xr3:uid="{B8C131DA-A4D9-4F02-8FF8-BEC8A246B232}" name="Voltage" dataDxfId="2"/>
    <tableColumn id="3" xr3:uid="{2BE108EC-DC74-4753-9C2F-DD3CBA203E0E}" name="Wire Size Type" dataDxfId="1"/>
    <tableColumn id="4" xr3:uid="{E530F612-D9CA-42AF-B8BF-BDE36218865A}" name="Device 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mGH8Fj" TargetMode="External"/><Relationship Id="rId63" Type="http://schemas.openxmlformats.org/officeDocument/2006/relationships/hyperlink" Target="https://s.click.aliexpress.com/e/_c3CkSQT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1BjXN" TargetMode="External"/><Relationship Id="rId107" Type="http://schemas.openxmlformats.org/officeDocument/2006/relationships/hyperlink" Target="https://s.click.aliexpress.com/e/_c3KpXEQ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PWO6CN" TargetMode="External"/><Relationship Id="rId53" Type="http://schemas.openxmlformats.org/officeDocument/2006/relationships/hyperlink" Target="https://s.click.aliexpress.com/e/_c2wZSX8N" TargetMode="External"/><Relationship Id="rId74" Type="http://schemas.openxmlformats.org/officeDocument/2006/relationships/hyperlink" Target="https://www.aliexpress.com/item/1005008848776055.html" TargetMode="External"/><Relationship Id="rId128" Type="http://schemas.openxmlformats.org/officeDocument/2006/relationships/hyperlink" Target="https://s.click.aliexpress.com/e/_c3Ou6gqJ" TargetMode="External"/><Relationship Id="rId149" Type="http://schemas.openxmlformats.org/officeDocument/2006/relationships/table" Target="../tables/table1.xm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wmkaMH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TqIw33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7g5ZPJ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ISQAPh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www.aliexpress.com/item/1005007567533885.html" TargetMode="External"/><Relationship Id="rId139" Type="http://schemas.openxmlformats.org/officeDocument/2006/relationships/hyperlink" Target="https://s.click.aliexpress.com/e/_c4nPpAD9" TargetMode="External"/><Relationship Id="rId80" Type="http://schemas.openxmlformats.org/officeDocument/2006/relationships/hyperlink" Target="https://s.click.aliexpress.com/e/_c3bbKMFL" TargetMode="External"/><Relationship Id="rId85" Type="http://schemas.openxmlformats.org/officeDocument/2006/relationships/hyperlink" Target="https://s.click.aliexpress.com/e/_c3gsXE2t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dOzG6h" TargetMode="External"/><Relationship Id="rId38" Type="http://schemas.openxmlformats.org/officeDocument/2006/relationships/hyperlink" Target="https://s.click.aliexpress.com/e/_c3DnGI3T" TargetMode="External"/><Relationship Id="rId59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3" Type="http://schemas.openxmlformats.org/officeDocument/2006/relationships/hyperlink" Target="https://s.click.aliexpress.com/e/_c2v1mREz" TargetMode="External"/><Relationship Id="rId108" Type="http://schemas.openxmlformats.org/officeDocument/2006/relationships/hyperlink" Target="https://www.aliexpress.com/item/1005004714550250.html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4chvTmb" TargetMode="External"/><Relationship Id="rId54" Type="http://schemas.openxmlformats.org/officeDocument/2006/relationships/hyperlink" Target="https://s.click.aliexpress.com/e/_c4WLi6cd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www.aliexpress.com/item/1005008848776055.html" TargetMode="External"/><Relationship Id="rId91" Type="http://schemas.openxmlformats.org/officeDocument/2006/relationships/hyperlink" Target="https://s.click.aliexpress.com/e/_c3cl4lSV" TargetMode="External"/><Relationship Id="rId96" Type="http://schemas.openxmlformats.org/officeDocument/2006/relationships/hyperlink" Target="https://s.click.aliexpress.com/e/_c3h7Zh5j" TargetMode="External"/><Relationship Id="rId140" Type="http://schemas.openxmlformats.org/officeDocument/2006/relationships/hyperlink" Target="https://s.click.aliexpress.com/e/_c38RQspz" TargetMode="External"/><Relationship Id="rId145" Type="http://schemas.openxmlformats.org/officeDocument/2006/relationships/hyperlink" Target="https://s.click.aliexpress.com/e/_c3ISQAPh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3p4OtLd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Fj3Z4D" TargetMode="External"/><Relationship Id="rId60" Type="http://schemas.openxmlformats.org/officeDocument/2006/relationships/hyperlink" Target="https://www.digikey.co.nz/en/products/detail/sparkfun-electronics/13879/6202732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LzJrff" TargetMode="External"/><Relationship Id="rId86" Type="http://schemas.openxmlformats.org/officeDocument/2006/relationships/hyperlink" Target="https://s.click.aliexpress.com/e/_c3jfSpKV" TargetMode="External"/><Relationship Id="rId130" Type="http://schemas.openxmlformats.org/officeDocument/2006/relationships/hyperlink" Target="https://www.digikey.co.nz/en/products/detail/te-connectivity-corcom-filters/1-1609112-2/2292077" TargetMode="External"/><Relationship Id="rId135" Type="http://schemas.openxmlformats.org/officeDocument/2006/relationships/hyperlink" Target="https://s.click.aliexpress.com/e/_c4SPo8x7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www.aliexpress.com/item/1005008848776055.html" TargetMode="External"/><Relationship Id="rId109" Type="http://schemas.openxmlformats.org/officeDocument/2006/relationships/hyperlink" Target="https://s.click.aliexpress.com/e/_c3Rt5HhD" TargetMode="External"/><Relationship Id="rId34" Type="http://schemas.openxmlformats.org/officeDocument/2006/relationships/hyperlink" Target="https://s.click.aliexpress.com/e/_c4EuleVP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www.aliexpress.com/item/1005003495377989.html" TargetMode="External"/><Relationship Id="rId76" Type="http://schemas.openxmlformats.org/officeDocument/2006/relationships/hyperlink" Target="https://s.click.aliexpress.com/e/_c3jfSpKV" TargetMode="External"/><Relationship Id="rId97" Type="http://schemas.openxmlformats.org/officeDocument/2006/relationships/hyperlink" Target="https://s.click.aliexpress.com/e/_c4EuleVP" TargetMode="External"/><Relationship Id="rId104" Type="http://schemas.openxmlformats.org/officeDocument/2006/relationships/hyperlink" Target="https://s.click.aliexpress.com/e/_c42QxBlt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38RQspz" TargetMode="External"/><Relationship Id="rId146" Type="http://schemas.openxmlformats.org/officeDocument/2006/relationships/hyperlink" Target="https://ko-fi.com/pro3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jfSpKV" TargetMode="External"/><Relationship Id="rId92" Type="http://schemas.openxmlformats.org/officeDocument/2006/relationships/hyperlink" Target="https://s.click.aliexpress.com/e/_c4kcgpWl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tOygL7" TargetMode="External"/><Relationship Id="rId45" Type="http://schemas.openxmlformats.org/officeDocument/2006/relationships/hyperlink" Target="https://s.click.aliexpress.com/e/_c3SWMl29" TargetMode="External"/><Relationship Id="rId66" Type="http://schemas.openxmlformats.org/officeDocument/2006/relationships/hyperlink" Target="https://s.click.aliexpress.com/e/_c3cl4lSV" TargetMode="External"/><Relationship Id="rId87" Type="http://schemas.openxmlformats.org/officeDocument/2006/relationships/hyperlink" Target="https://s.click.aliexpress.com/e/_c3gsXE2t" TargetMode="External"/><Relationship Id="rId110" Type="http://schemas.openxmlformats.org/officeDocument/2006/relationships/hyperlink" Target="https://s.click.aliexpress.com/e/_c3gux3Hv" TargetMode="External"/><Relationship Id="rId115" Type="http://schemas.openxmlformats.org/officeDocument/2006/relationships/hyperlink" Target="https://s.click.aliexpress.com/e/_c3p4OtLd" TargetMode="External"/><Relationship Id="rId131" Type="http://schemas.openxmlformats.org/officeDocument/2006/relationships/hyperlink" Target="https://www.digikey.co.nz/en/products/detail/optifuse/PMA-DB-04-Q1S/13146953" TargetMode="External"/><Relationship Id="rId136" Type="http://schemas.openxmlformats.org/officeDocument/2006/relationships/hyperlink" Target="https://s.click.aliexpress.com/e/_c43Ypp7z" TargetMode="External"/><Relationship Id="rId61" Type="http://schemas.openxmlformats.org/officeDocument/2006/relationships/hyperlink" Target="https://s.click.aliexpress.com/e/_c4kcgpWl" TargetMode="External"/><Relationship Id="rId82" Type="http://schemas.openxmlformats.org/officeDocument/2006/relationships/hyperlink" Target="https://s.click.aliexpress.com/e/_c3w69LJf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2uyw02v" TargetMode="External"/><Relationship Id="rId56" Type="http://schemas.openxmlformats.org/officeDocument/2006/relationships/hyperlink" Target="https://s.click.aliexpress.com/e/_c2zAwdsp" TargetMode="External"/><Relationship Id="rId77" Type="http://schemas.openxmlformats.org/officeDocument/2006/relationships/hyperlink" Target="https://s.click.aliexpress.com/e/_c4050O4H" TargetMode="External"/><Relationship Id="rId100" Type="http://schemas.openxmlformats.org/officeDocument/2006/relationships/hyperlink" Target="https://www.pcbway.com/" TargetMode="External"/><Relationship Id="rId105" Type="http://schemas.openxmlformats.org/officeDocument/2006/relationships/hyperlink" Target="https://s.click.aliexpress.com/e/_c31WIyQR" TargetMode="External"/><Relationship Id="rId126" Type="http://schemas.openxmlformats.org/officeDocument/2006/relationships/hyperlink" Target="https://s.click.aliexpress.com/e/_c4dxXCIr" TargetMode="External"/><Relationship Id="rId147" Type="http://schemas.openxmlformats.org/officeDocument/2006/relationships/hyperlink" Target="https://s.click.aliexpress.com/e/_c3vMW7A7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rtJlUD" TargetMode="External"/><Relationship Id="rId72" Type="http://schemas.openxmlformats.org/officeDocument/2006/relationships/hyperlink" Target="https://s.click.aliexpress.com/e/_c3jfSpKV" TargetMode="External"/><Relationship Id="rId93" Type="http://schemas.openxmlformats.org/officeDocument/2006/relationships/hyperlink" Target="https://s.click.aliexpress.com/e/_c3wmkaMH" TargetMode="External"/><Relationship Id="rId98" Type="http://schemas.openxmlformats.org/officeDocument/2006/relationships/hyperlink" Target="https://s.click.aliexpress.com/e/_c4tOygL7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38RQspz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DnGI3T" TargetMode="External"/><Relationship Id="rId116" Type="http://schemas.openxmlformats.org/officeDocument/2006/relationships/hyperlink" Target="https://s.click.aliexpress.com/e/_c3p4OtLd" TargetMode="External"/><Relationship Id="rId137" Type="http://schemas.openxmlformats.org/officeDocument/2006/relationships/hyperlink" Target="https://s.click.aliexpress.com/e/_c2uZPf8t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cdEeg9" TargetMode="External"/><Relationship Id="rId62" Type="http://schemas.openxmlformats.org/officeDocument/2006/relationships/hyperlink" Target="https://s.click.aliexpress.com/e/_c30wfREH" TargetMode="External"/><Relationship Id="rId83" Type="http://schemas.openxmlformats.org/officeDocument/2006/relationships/hyperlink" Target="https://s.click.aliexpress.com/e/_c3GrYLJR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www.digikey.co.nz/en/products/detail/schurter-inc/8020-5078/658833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seEKjb" TargetMode="External"/><Relationship Id="rId57" Type="http://schemas.openxmlformats.org/officeDocument/2006/relationships/hyperlink" Target="https://s.click.aliexpress.com/e/_c3WyUNHL" TargetMode="External"/><Relationship Id="rId106" Type="http://schemas.openxmlformats.org/officeDocument/2006/relationships/hyperlink" Target="https://s.click.aliexpress.com/e/_c3uKfoUb" TargetMode="External"/><Relationship Id="rId127" Type="http://schemas.openxmlformats.org/officeDocument/2006/relationships/hyperlink" Target="https://www.aliexpress.com/item/1005007376443518.html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4E1qB2Z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2zvHf0p" TargetMode="External"/><Relationship Id="rId94" Type="http://schemas.openxmlformats.org/officeDocument/2006/relationships/hyperlink" Target="https://s.click.aliexpress.com/e/_c4kcgpWl" TargetMode="External"/><Relationship Id="rId99" Type="http://schemas.openxmlformats.org/officeDocument/2006/relationships/hyperlink" Target="https://s.click.aliexpress.com/e/_c3dOeMYH" TargetMode="External"/><Relationship Id="rId101" Type="http://schemas.openxmlformats.org/officeDocument/2006/relationships/hyperlink" Target="https://s.click.aliexpress.com/e/_c4UAsjvZ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8RQspz" TargetMode="External"/><Relationship Id="rId148" Type="http://schemas.openxmlformats.org/officeDocument/2006/relationships/printerSettings" Target="../printerSettings/printerSettings1.bin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gsXE2t" TargetMode="External"/><Relationship Id="rId89" Type="http://schemas.openxmlformats.org/officeDocument/2006/relationships/hyperlink" Target="https://s.click.aliexpress.com/e/_c3cl4lSV" TargetMode="External"/><Relationship Id="rId112" Type="http://schemas.openxmlformats.org/officeDocument/2006/relationships/hyperlink" Target="https://s.click.aliexpress.com/e/_c3fEINlt" TargetMode="External"/><Relationship Id="rId133" Type="http://schemas.openxmlformats.org/officeDocument/2006/relationships/hyperlink" Target="https://s.click.aliexpress.com/e/_c2zl7Px5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wmkaMH" TargetMode="External"/><Relationship Id="rId58" Type="http://schemas.openxmlformats.org/officeDocument/2006/relationships/hyperlink" Target="https://s.click.aliexpress.com/e/_c3WyUNHL" TargetMode="External"/><Relationship Id="rId79" Type="http://schemas.openxmlformats.org/officeDocument/2006/relationships/hyperlink" Target="https://s.click.aliexpress.com/e/_c4lkbEC5" TargetMode="External"/><Relationship Id="rId102" Type="http://schemas.openxmlformats.org/officeDocument/2006/relationships/hyperlink" Target="https://s.click.aliexpress.com/e/_c2v1mREz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cl4lSV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E1qB2Z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s.click.aliexpress.com/e/_c4rtJlUD" TargetMode="External"/><Relationship Id="rId7" Type="http://schemas.openxmlformats.org/officeDocument/2006/relationships/hyperlink" Target="https://s.click.aliexpress.com/e/_c2wZSX8N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s.click.aliexpress.com/e/_c4rtJlUD" TargetMode="External"/><Relationship Id="rId1" Type="http://schemas.openxmlformats.org/officeDocument/2006/relationships/hyperlink" Target="https://s.click.aliexpress.com/e/_c4rtJlUD" TargetMode="External"/><Relationship Id="rId6" Type="http://schemas.openxmlformats.org/officeDocument/2006/relationships/hyperlink" Target="https://s.click.aliexpress.com/e/_c4rtJlUD" TargetMode="External"/><Relationship Id="rId1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hyperlink" Target="https://s.click.aliexpress.com/e/_c4rtJlUD" TargetMode="External"/><Relationship Id="rId10" Type="http://schemas.openxmlformats.org/officeDocument/2006/relationships/hyperlink" Target="https://www.patreon.com/pro3d" TargetMode="External"/><Relationship Id="rId4" Type="http://schemas.openxmlformats.org/officeDocument/2006/relationships/hyperlink" Target="https://s.click.aliexpress.com/e/_c4rtJlUD" TargetMode="External"/><Relationship Id="rId9" Type="http://schemas.openxmlformats.org/officeDocument/2006/relationships/hyperlink" Target="https://ko-fi.com/pro3d" TargetMode="External"/><Relationship Id="rId1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hyperlink" Target="https://ko-fi.com/pro3d" TargetMode="External"/><Relationship Id="rId7" Type="http://schemas.openxmlformats.org/officeDocument/2006/relationships/drawing" Target="../drawings/drawing2.xml"/><Relationship Id="rId2" Type="http://schemas.openxmlformats.org/officeDocument/2006/relationships/hyperlink" Target="https://s.click.aliexpress.com/e/_c3PWO6CN" TargetMode="External"/><Relationship Id="rId1" Type="http://schemas.openxmlformats.org/officeDocument/2006/relationships/hyperlink" Target="https://s.click.aliexpress.com/e/_c4dOzG6h" TargetMode="External"/><Relationship Id="rId6" Type="http://schemas.openxmlformats.org/officeDocument/2006/relationships/printerSettings" Target="../printerSettings/printerSettings3.bin"/><Relationship Id="rId5" Type="http://schemas.openxmlformats.org/officeDocument/2006/relationships/hyperlink" Target="https://www.paypal.com/donate/?hosted_button_id=LZ7RAQGSE4SS8" TargetMode="External"/><Relationship Id="rId4" Type="http://schemas.openxmlformats.org/officeDocument/2006/relationships/hyperlink" Target="https://www.patreon.com/pro3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dOzG6h" TargetMode="External"/><Relationship Id="rId13" Type="http://schemas.openxmlformats.org/officeDocument/2006/relationships/hyperlink" Target="https://s.click.aliexpress.com/e/_c3ZdOc5R" TargetMode="External"/><Relationship Id="rId18" Type="http://schemas.openxmlformats.org/officeDocument/2006/relationships/hyperlink" Target="https://s.click.aliexpress.com/e/_c3PWO6CN" TargetMode="External"/><Relationship Id="rId3" Type="http://schemas.openxmlformats.org/officeDocument/2006/relationships/hyperlink" Target="https://s.click.aliexpress.com/e/_c3PWO6CN" TargetMode="External"/><Relationship Id="rId21" Type="http://schemas.openxmlformats.org/officeDocument/2006/relationships/drawing" Target="../drawings/drawing3.xml"/><Relationship Id="rId7" Type="http://schemas.openxmlformats.org/officeDocument/2006/relationships/hyperlink" Target="https://s.click.aliexpress.com/e/_c4dOzG6h" TargetMode="External"/><Relationship Id="rId12" Type="http://schemas.openxmlformats.org/officeDocument/2006/relationships/hyperlink" Target="https://s.click.aliexpress.com/e/_c3O4wn0t" TargetMode="External"/><Relationship Id="rId17" Type="http://schemas.openxmlformats.org/officeDocument/2006/relationships/hyperlink" Target="https://s.click.aliexpress.com/e/_c3PWO6CN" TargetMode="External"/><Relationship Id="rId2" Type="http://schemas.openxmlformats.org/officeDocument/2006/relationships/hyperlink" Target="https://s.click.aliexpress.com/e/_c3FKdiEt" TargetMode="External"/><Relationship Id="rId16" Type="http://schemas.openxmlformats.org/officeDocument/2006/relationships/hyperlink" Target="https://s.click.aliexpress.com/e/_c2v1mREz" TargetMode="External"/><Relationship Id="rId20" Type="http://schemas.openxmlformats.org/officeDocument/2006/relationships/printerSettings" Target="../printerSettings/printerSettings4.bin"/><Relationship Id="rId1" Type="http://schemas.openxmlformats.org/officeDocument/2006/relationships/hyperlink" Target="https://s.click.aliexpress.com/e/_c2yfvwDX" TargetMode="External"/><Relationship Id="rId6" Type="http://schemas.openxmlformats.org/officeDocument/2006/relationships/hyperlink" Target="https://s.click.aliexpress.com/e/_c3PWO6CN" TargetMode="External"/><Relationship Id="rId1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hyperlink" Target="https://s.click.aliexpress.com/e/_c3PWO6CN" TargetMode="External"/><Relationship Id="rId15" Type="http://schemas.openxmlformats.org/officeDocument/2006/relationships/hyperlink" Target="https://s.click.aliexpress.com/e/_c2v1mREz" TargetMode="External"/><Relationship Id="rId23" Type="http://schemas.openxmlformats.org/officeDocument/2006/relationships/table" Target="../tables/table5.xml"/><Relationship Id="rId10" Type="http://schemas.openxmlformats.org/officeDocument/2006/relationships/hyperlink" Target="https://www.patreon.com/pro3d" TargetMode="External"/><Relationship Id="rId19" Type="http://schemas.openxmlformats.org/officeDocument/2006/relationships/hyperlink" Target="https://s.click.aliexpress.com/e/_c4dOzG6h" TargetMode="External"/><Relationship Id="rId4" Type="http://schemas.openxmlformats.org/officeDocument/2006/relationships/hyperlink" Target="https://s.click.aliexpress.com/e/_c4dOzG6h" TargetMode="External"/><Relationship Id="rId9" Type="http://schemas.openxmlformats.org/officeDocument/2006/relationships/hyperlink" Target="https://ko-fi.com/pro3d" TargetMode="External"/><Relationship Id="rId14" Type="http://schemas.openxmlformats.org/officeDocument/2006/relationships/hyperlink" Target="https://s.click.aliexpress.com/e/_c348aGWh" TargetMode="External"/><Relationship Id="rId22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4.xml"/><Relationship Id="rId3" Type="http://schemas.openxmlformats.org/officeDocument/2006/relationships/hyperlink" Target="https://s.click.aliexpress.com/e/_c3NPtXxJ" TargetMode="External"/><Relationship Id="rId7" Type="http://schemas.openxmlformats.org/officeDocument/2006/relationships/printerSettings" Target="../printerSettings/printerSettings5.bin"/><Relationship Id="rId2" Type="http://schemas.openxmlformats.org/officeDocument/2006/relationships/hyperlink" Target="https://s.click.aliexpress.com/e/_c4MqkDt3" TargetMode="External"/><Relationship Id="rId1" Type="http://schemas.openxmlformats.org/officeDocument/2006/relationships/hyperlink" Target="https://s.click.aliexpress.com/e/_c3FKdiEt" TargetMode="External"/><Relationship Id="rId6" Type="http://schemas.openxmlformats.org/officeDocument/2006/relationships/hyperlink" Target="https://www.paypal.com/donate/?hosted_button_id=LZ7RAQGSE4SS8" TargetMode="External"/><Relationship Id="rId5" Type="http://schemas.openxmlformats.org/officeDocument/2006/relationships/hyperlink" Target="https://www.patreon.com/pro3d" TargetMode="External"/><Relationship Id="rId4" Type="http://schemas.openxmlformats.org/officeDocument/2006/relationships/hyperlink" Target="https://ko-fi.com/pro3d" TargetMode="External"/><Relationship Id="rId9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7.xml"/><Relationship Id="rId5" Type="http://schemas.openxmlformats.org/officeDocument/2006/relationships/drawing" Target="../drawings/drawing5.xml"/><Relationship Id="rId4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8.xm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9.xml"/><Relationship Id="rId5" Type="http://schemas.openxmlformats.org/officeDocument/2006/relationships/drawing" Target="../drawings/drawing7.xml"/><Relationship Id="rId4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table" Target="../tables/table10.xml"/><Relationship Id="rId5" Type="http://schemas.openxmlformats.org/officeDocument/2006/relationships/drawing" Target="../drawings/drawing8.xml"/><Relationship Id="rId4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O147"/>
  <sheetViews>
    <sheetView zoomScale="85" zoomScaleNormal="85" workbookViewId="0">
      <selection activeCell="L152" sqref="L152"/>
    </sheetView>
  </sheetViews>
  <sheetFormatPr defaultColWidth="14.42578125" defaultRowHeight="15"/>
  <cols>
    <col min="1" max="1" width="15.28515625" style="21" bestFit="1" customWidth="1"/>
    <col min="2" max="2" width="42.28515625" style="21" bestFit="1" customWidth="1"/>
    <col min="3" max="3" width="10.42578125" style="21" bestFit="1" customWidth="1"/>
    <col min="4" max="4" width="11.42578125" style="21" bestFit="1" customWidth="1"/>
    <col min="5" max="5" width="12.140625" style="21" bestFit="1" customWidth="1"/>
    <col min="6" max="6" width="12.28515625" style="26" bestFit="1" customWidth="1"/>
    <col min="7" max="7" width="13.85546875" style="21" customWidth="1"/>
    <col min="8" max="8" width="36.42578125" bestFit="1" customWidth="1"/>
    <col min="9" max="9" width="18.42578125" style="21" bestFit="1" customWidth="1"/>
    <col min="10" max="10" width="6.140625" style="21" customWidth="1"/>
    <col min="11" max="11" width="7" style="57" bestFit="1" customWidth="1"/>
    <col min="12" max="12" width="6.7109375" style="21" bestFit="1" customWidth="1"/>
    <col min="13" max="16384" width="14.42578125" style="21"/>
  </cols>
  <sheetData>
    <row r="1" spans="1:12" s="2" customFormat="1" ht="30" customHeight="1">
      <c r="A1" s="140" t="s">
        <v>0</v>
      </c>
      <c r="B1" s="141" t="s">
        <v>1</v>
      </c>
      <c r="C1" s="141" t="s">
        <v>2</v>
      </c>
      <c r="D1" s="141" t="s">
        <v>3</v>
      </c>
      <c r="E1" s="141" t="s">
        <v>4</v>
      </c>
      <c r="F1" s="141" t="s">
        <v>5</v>
      </c>
      <c r="G1" s="141" t="s">
        <v>6</v>
      </c>
      <c r="H1" s="142" t="s">
        <v>7</v>
      </c>
      <c r="I1" s="143" t="s">
        <v>8</v>
      </c>
      <c r="J1" s="98" t="s">
        <v>9</v>
      </c>
      <c r="K1" s="2" t="s">
        <v>10</v>
      </c>
      <c r="L1" s="2" t="s">
        <v>11</v>
      </c>
    </row>
    <row r="2" spans="1:12">
      <c r="A2" s="29" t="s">
        <v>12</v>
      </c>
      <c r="B2" s="144" t="s">
        <v>13</v>
      </c>
      <c r="C2" s="54"/>
      <c r="D2" s="62">
        <v>1</v>
      </c>
      <c r="E2" s="60">
        <v>1</v>
      </c>
      <c r="F2" s="30">
        <v>4.0999999999999996</v>
      </c>
      <c r="G2" s="30">
        <f t="shared" ref="G2:G43" si="0">E2*F2</f>
        <v>4.0999999999999996</v>
      </c>
      <c r="H2" s="134" t="s">
        <v>14</v>
      </c>
      <c r="I2" s="145" t="s">
        <v>15</v>
      </c>
      <c r="J2" s="47">
        <v>10</v>
      </c>
      <c r="K2" s="21"/>
    </row>
    <row r="3" spans="1:12">
      <c r="A3" s="29" t="s">
        <v>12</v>
      </c>
      <c r="B3" s="22" t="s">
        <v>16</v>
      </c>
      <c r="C3" s="22"/>
      <c r="D3" s="59">
        <v>31</v>
      </c>
      <c r="E3" s="60">
        <v>4</v>
      </c>
      <c r="F3" s="30">
        <v>4.95</v>
      </c>
      <c r="G3" s="30">
        <f t="shared" si="0"/>
        <v>19.8</v>
      </c>
      <c r="H3" s="134" t="s">
        <v>17</v>
      </c>
      <c r="I3" s="146" t="s">
        <v>18</v>
      </c>
      <c r="J3" s="47">
        <v>10</v>
      </c>
      <c r="K3" s="21"/>
    </row>
    <row r="4" spans="1:12">
      <c r="A4" s="29" t="s">
        <v>12</v>
      </c>
      <c r="B4" s="61" t="s">
        <v>19</v>
      </c>
      <c r="C4" s="61"/>
      <c r="D4" s="59">
        <v>24</v>
      </c>
      <c r="E4" s="60">
        <v>3</v>
      </c>
      <c r="F4" s="30">
        <v>7.84</v>
      </c>
      <c r="G4" s="30">
        <f t="shared" si="0"/>
        <v>23.52</v>
      </c>
      <c r="H4" s="134" t="s">
        <v>20</v>
      </c>
      <c r="I4" s="147" t="s">
        <v>21</v>
      </c>
      <c r="J4" s="47">
        <v>10</v>
      </c>
      <c r="K4" s="21"/>
    </row>
    <row r="5" spans="1:12">
      <c r="A5" s="29" t="s">
        <v>12</v>
      </c>
      <c r="B5" s="22" t="s">
        <v>22</v>
      </c>
      <c r="D5" s="21">
        <v>2</v>
      </c>
      <c r="E5" s="60">
        <v>1</v>
      </c>
      <c r="F5" s="30">
        <v>4.7300000000000004</v>
      </c>
      <c r="G5" s="30">
        <f t="shared" si="0"/>
        <v>4.7300000000000004</v>
      </c>
      <c r="H5" s="134" t="s">
        <v>23</v>
      </c>
      <c r="I5" s="147" t="s">
        <v>21</v>
      </c>
      <c r="J5" s="47">
        <v>10</v>
      </c>
      <c r="K5" s="59"/>
      <c r="L5" s="59"/>
    </row>
    <row r="6" spans="1:12">
      <c r="A6" s="29" t="s">
        <v>12</v>
      </c>
      <c r="B6" s="22" t="s">
        <v>24</v>
      </c>
      <c r="D6" s="21">
        <v>2</v>
      </c>
      <c r="E6" s="60">
        <v>1</v>
      </c>
      <c r="F6" s="30">
        <v>18.27</v>
      </c>
      <c r="G6" s="30">
        <f t="shared" si="0"/>
        <v>18.27</v>
      </c>
      <c r="H6" s="134" t="s">
        <v>25</v>
      </c>
      <c r="I6" s="146" t="s">
        <v>26</v>
      </c>
      <c r="J6" s="47">
        <v>2</v>
      </c>
      <c r="K6" s="59"/>
      <c r="L6" s="59"/>
    </row>
    <row r="7" spans="1:12">
      <c r="A7" s="29" t="s">
        <v>12</v>
      </c>
      <c r="B7" s="148" t="s">
        <v>27</v>
      </c>
      <c r="C7" s="54"/>
      <c r="D7" s="62">
        <v>3</v>
      </c>
      <c r="E7" s="60">
        <v>1</v>
      </c>
      <c r="F7" s="30">
        <v>5.4</v>
      </c>
      <c r="G7" s="30">
        <f t="shared" si="0"/>
        <v>5.4</v>
      </c>
      <c r="H7" s="134" t="s">
        <v>28</v>
      </c>
      <c r="I7" s="146" t="s">
        <v>29</v>
      </c>
      <c r="J7" s="47">
        <v>20</v>
      </c>
      <c r="K7" s="21"/>
    </row>
    <row r="8" spans="1:12">
      <c r="A8" s="29" t="s">
        <v>12</v>
      </c>
      <c r="B8" s="148" t="s">
        <v>30</v>
      </c>
      <c r="C8" s="54"/>
      <c r="D8" s="63">
        <v>3</v>
      </c>
      <c r="E8" s="60">
        <v>3</v>
      </c>
      <c r="F8" s="30">
        <v>42</v>
      </c>
      <c r="G8" s="30">
        <f t="shared" si="0"/>
        <v>126</v>
      </c>
      <c r="H8" s="134" t="s">
        <v>31</v>
      </c>
      <c r="I8" s="149" t="s">
        <v>32</v>
      </c>
      <c r="J8" s="47">
        <v>1</v>
      </c>
      <c r="K8" s="21"/>
    </row>
    <row r="9" spans="1:12">
      <c r="A9" s="29" t="s">
        <v>12</v>
      </c>
      <c r="B9" s="150" t="s">
        <v>33</v>
      </c>
      <c r="C9" s="64"/>
      <c r="D9" s="64">
        <v>2</v>
      </c>
      <c r="E9" s="60">
        <v>2</v>
      </c>
      <c r="F9" s="30">
        <v>38</v>
      </c>
      <c r="G9" s="30">
        <f t="shared" si="0"/>
        <v>76</v>
      </c>
      <c r="H9" s="134" t="s">
        <v>34</v>
      </c>
      <c r="I9" s="149" t="s">
        <v>32</v>
      </c>
      <c r="J9" s="47">
        <v>1</v>
      </c>
      <c r="K9" s="21"/>
    </row>
    <row r="10" spans="1:12">
      <c r="A10" s="29" t="s">
        <v>12</v>
      </c>
      <c r="B10" s="150" t="s">
        <v>35</v>
      </c>
      <c r="C10" s="64"/>
      <c r="D10" s="64">
        <v>1</v>
      </c>
      <c r="E10" s="60">
        <v>1</v>
      </c>
      <c r="F10" s="30">
        <v>36</v>
      </c>
      <c r="G10" s="30">
        <f t="shared" si="0"/>
        <v>36</v>
      </c>
      <c r="H10" s="134" t="s">
        <v>36</v>
      </c>
      <c r="I10" s="149" t="s">
        <v>32</v>
      </c>
      <c r="J10" s="47">
        <v>1</v>
      </c>
      <c r="K10" s="21"/>
    </row>
    <row r="11" spans="1:12">
      <c r="A11" s="65" t="s">
        <v>37</v>
      </c>
      <c r="B11" s="22" t="s">
        <v>38</v>
      </c>
      <c r="C11" s="54"/>
      <c r="D11" s="54">
        <v>1</v>
      </c>
      <c r="E11" s="60">
        <v>1</v>
      </c>
      <c r="F11" s="30">
        <v>39.520000000000003</v>
      </c>
      <c r="G11" s="30">
        <f t="shared" si="0"/>
        <v>39.520000000000003</v>
      </c>
      <c r="H11" s="134" t="s">
        <v>39</v>
      </c>
      <c r="I11" s="146" t="s">
        <v>29</v>
      </c>
      <c r="J11" s="47">
        <v>1</v>
      </c>
      <c r="K11" s="21"/>
    </row>
    <row r="12" spans="1:12">
      <c r="A12" s="65" t="s">
        <v>37</v>
      </c>
      <c r="B12" s="66" t="s">
        <v>40</v>
      </c>
      <c r="C12" s="54"/>
      <c r="D12" s="54">
        <v>1</v>
      </c>
      <c r="E12" s="60">
        <v>1</v>
      </c>
      <c r="F12" s="30">
        <v>12.07</v>
      </c>
      <c r="G12" s="30">
        <f t="shared" si="0"/>
        <v>12.07</v>
      </c>
      <c r="H12" s="134" t="s">
        <v>41</v>
      </c>
      <c r="I12" s="146" t="s">
        <v>42</v>
      </c>
      <c r="J12" s="47">
        <v>1</v>
      </c>
      <c r="K12" s="21"/>
    </row>
    <row r="13" spans="1:12">
      <c r="A13" s="65" t="s">
        <v>37</v>
      </c>
      <c r="B13" s="151" t="s">
        <v>43</v>
      </c>
      <c r="C13" s="66"/>
      <c r="D13" s="54">
        <v>1</v>
      </c>
      <c r="E13" s="60">
        <v>1</v>
      </c>
      <c r="F13" s="30">
        <v>16.82</v>
      </c>
      <c r="G13" s="30">
        <f t="shared" si="0"/>
        <v>16.82</v>
      </c>
      <c r="H13" s="134" t="s">
        <v>44</v>
      </c>
      <c r="I13" s="146" t="s">
        <v>45</v>
      </c>
      <c r="J13" s="47">
        <v>1</v>
      </c>
      <c r="K13" s="21"/>
    </row>
    <row r="14" spans="1:12">
      <c r="A14" s="31" t="s">
        <v>37</v>
      </c>
      <c r="B14" t="s">
        <v>46</v>
      </c>
      <c r="C14"/>
      <c r="D14">
        <v>1</v>
      </c>
      <c r="E14">
        <v>1</v>
      </c>
      <c r="F14" s="30">
        <v>10.32</v>
      </c>
      <c r="G14" s="30">
        <f t="shared" si="0"/>
        <v>10.32</v>
      </c>
      <c r="H14" s="134" t="s">
        <v>47</v>
      </c>
      <c r="I14" s="152" t="s">
        <v>48</v>
      </c>
      <c r="J14" s="47">
        <v>1</v>
      </c>
      <c r="K14"/>
      <c r="L14"/>
    </row>
    <row r="15" spans="1:12">
      <c r="A15" s="31" t="s">
        <v>37</v>
      </c>
      <c r="B15" t="s">
        <v>49</v>
      </c>
      <c r="C15" s="54"/>
      <c r="D15" s="21">
        <v>2</v>
      </c>
      <c r="E15" s="60">
        <v>2</v>
      </c>
      <c r="F15" s="30">
        <v>5.07</v>
      </c>
      <c r="G15" s="30">
        <f t="shared" si="0"/>
        <v>10.14</v>
      </c>
      <c r="H15" s="134" t="s">
        <v>50</v>
      </c>
      <c r="I15" s="146" t="s">
        <v>29</v>
      </c>
      <c r="J15" s="47">
        <v>1</v>
      </c>
      <c r="K15" s="21"/>
    </row>
    <row r="16" spans="1:12">
      <c r="A16" s="65" t="s">
        <v>37</v>
      </c>
      <c r="B16" s="21" t="s">
        <v>51</v>
      </c>
      <c r="D16" s="21">
        <v>1</v>
      </c>
      <c r="E16" s="60">
        <v>1</v>
      </c>
      <c r="F16" s="30">
        <v>3.35</v>
      </c>
      <c r="G16" s="30">
        <f t="shared" si="0"/>
        <v>3.35</v>
      </c>
      <c r="H16" s="134" t="s">
        <v>52</v>
      </c>
      <c r="I16" s="127" t="s">
        <v>53</v>
      </c>
      <c r="J16" s="47">
        <v>2</v>
      </c>
      <c r="K16" s="21"/>
    </row>
    <row r="17" spans="1:11">
      <c r="A17" s="65" t="s">
        <v>37</v>
      </c>
      <c r="B17" s="21" t="s">
        <v>54</v>
      </c>
      <c r="D17" s="21">
        <v>1</v>
      </c>
      <c r="E17" s="60">
        <v>1</v>
      </c>
      <c r="F17" s="30">
        <v>3.25</v>
      </c>
      <c r="G17" s="30">
        <f t="shared" si="0"/>
        <v>3.25</v>
      </c>
      <c r="H17" s="134" t="s">
        <v>55</v>
      </c>
      <c r="I17" s="127" t="s">
        <v>53</v>
      </c>
      <c r="J17" s="47">
        <v>2</v>
      </c>
      <c r="K17" s="21"/>
    </row>
    <row r="18" spans="1:11">
      <c r="A18" s="65" t="s">
        <v>37</v>
      </c>
      <c r="B18" s="144" t="s">
        <v>56</v>
      </c>
      <c r="C18" s="62"/>
      <c r="D18" s="62">
        <v>1</v>
      </c>
      <c r="E18" s="60">
        <v>1</v>
      </c>
      <c r="F18" s="30">
        <v>3.92</v>
      </c>
      <c r="G18" s="30">
        <f t="shared" si="0"/>
        <v>3.92</v>
      </c>
      <c r="H18" s="134" t="s">
        <v>50</v>
      </c>
      <c r="I18" s="146" t="s">
        <v>29</v>
      </c>
      <c r="J18" s="47">
        <v>1</v>
      </c>
      <c r="K18" s="21"/>
    </row>
    <row r="19" spans="1:11">
      <c r="A19" s="65" t="s">
        <v>37</v>
      </c>
      <c r="B19" s="22" t="s">
        <v>57</v>
      </c>
      <c r="C19" s="54"/>
      <c r="D19" s="54">
        <v>1</v>
      </c>
      <c r="E19" s="60">
        <v>1</v>
      </c>
      <c r="F19" s="30">
        <v>13.9</v>
      </c>
      <c r="G19" s="30">
        <f t="shared" si="0"/>
        <v>13.9</v>
      </c>
      <c r="H19" s="134" t="s">
        <v>58</v>
      </c>
      <c r="I19" s="146" t="s">
        <v>59</v>
      </c>
      <c r="J19" s="47">
        <v>1</v>
      </c>
      <c r="K19" s="21"/>
    </row>
    <row r="20" spans="1:11">
      <c r="A20" s="65" t="s">
        <v>37</v>
      </c>
      <c r="B20" s="148" t="s">
        <v>60</v>
      </c>
      <c r="C20" s="54"/>
      <c r="D20" s="59">
        <v>1</v>
      </c>
      <c r="E20" s="60">
        <v>1</v>
      </c>
      <c r="F20" s="30">
        <v>78.39</v>
      </c>
      <c r="G20" s="30">
        <f t="shared" si="0"/>
        <v>78.39</v>
      </c>
      <c r="H20" s="134" t="s">
        <v>61</v>
      </c>
      <c r="I20" s="146" t="s">
        <v>62</v>
      </c>
      <c r="J20" s="47">
        <v>1</v>
      </c>
      <c r="K20" s="21"/>
    </row>
    <row r="21" spans="1:11">
      <c r="A21" s="65" t="s">
        <v>37</v>
      </c>
      <c r="B21" s="151" t="s">
        <v>63</v>
      </c>
      <c r="C21" s="151"/>
      <c r="D21" s="151">
        <v>1</v>
      </c>
      <c r="E21" s="60">
        <v>1</v>
      </c>
      <c r="F21" s="30">
        <v>3.95</v>
      </c>
      <c r="G21" s="30">
        <f t="shared" si="0"/>
        <v>3.95</v>
      </c>
      <c r="H21" s="134" t="s">
        <v>64</v>
      </c>
      <c r="I21" s="146" t="s">
        <v>65</v>
      </c>
      <c r="J21" s="47">
        <v>1</v>
      </c>
      <c r="K21" s="21"/>
    </row>
    <row r="22" spans="1:11">
      <c r="A22" s="65" t="s">
        <v>37</v>
      </c>
      <c r="B22" s="66" t="s">
        <v>66</v>
      </c>
      <c r="C22" s="54"/>
      <c r="D22" s="151">
        <v>1</v>
      </c>
      <c r="E22" s="60">
        <v>1</v>
      </c>
      <c r="F22" s="30">
        <v>11.5</v>
      </c>
      <c r="G22" s="30">
        <f t="shared" si="0"/>
        <v>11.5</v>
      </c>
      <c r="H22" s="134" t="s">
        <v>67</v>
      </c>
      <c r="I22" s="146" t="s">
        <v>65</v>
      </c>
      <c r="J22" s="47">
        <v>1</v>
      </c>
      <c r="K22" s="21"/>
    </row>
    <row r="23" spans="1:11">
      <c r="A23" s="65" t="s">
        <v>37</v>
      </c>
      <c r="B23" s="150" t="s">
        <v>68</v>
      </c>
      <c r="C23" s="54"/>
      <c r="D23" s="64">
        <v>3</v>
      </c>
      <c r="E23" s="60">
        <v>1</v>
      </c>
      <c r="F23" s="30">
        <v>46</v>
      </c>
      <c r="G23" s="30">
        <f t="shared" si="0"/>
        <v>46</v>
      </c>
      <c r="H23" s="134" t="s">
        <v>69</v>
      </c>
      <c r="I23" s="149" t="s">
        <v>70</v>
      </c>
      <c r="J23" s="47">
        <v>3</v>
      </c>
      <c r="K23" s="21"/>
    </row>
    <row r="24" spans="1:11">
      <c r="A24" s="65" t="s">
        <v>37</v>
      </c>
      <c r="B24" s="150" t="s">
        <v>71</v>
      </c>
      <c r="C24" s="64"/>
      <c r="D24" s="64">
        <v>2</v>
      </c>
      <c r="E24" s="60">
        <v>2</v>
      </c>
      <c r="F24" s="30">
        <v>22.5</v>
      </c>
      <c r="G24" s="30">
        <f t="shared" si="0"/>
        <v>45</v>
      </c>
      <c r="H24" s="134" t="s">
        <v>72</v>
      </c>
      <c r="I24" s="149" t="s">
        <v>70</v>
      </c>
      <c r="J24" s="47">
        <v>1</v>
      </c>
      <c r="K24" s="21"/>
    </row>
    <row r="25" spans="1:11">
      <c r="A25" s="65" t="s">
        <v>37</v>
      </c>
      <c r="B25" s="144" t="s">
        <v>73</v>
      </c>
      <c r="C25" s="54"/>
      <c r="D25" s="54">
        <v>1</v>
      </c>
      <c r="E25" s="60">
        <v>1</v>
      </c>
      <c r="F25" s="30">
        <v>12.4</v>
      </c>
      <c r="G25" s="30">
        <f t="shared" si="0"/>
        <v>12.4</v>
      </c>
      <c r="H25" s="134" t="s">
        <v>74</v>
      </c>
      <c r="I25" s="146" t="s">
        <v>29</v>
      </c>
      <c r="J25" s="47">
        <v>1</v>
      </c>
      <c r="K25" s="21"/>
    </row>
    <row r="26" spans="1:11" ht="15.75" customHeight="1">
      <c r="A26" s="65" t="s">
        <v>37</v>
      </c>
      <c r="B26" s="153" t="s">
        <v>75</v>
      </c>
      <c r="C26" s="8"/>
      <c r="D26" s="54">
        <v>1</v>
      </c>
      <c r="E26" s="60">
        <v>1</v>
      </c>
      <c r="F26" s="30">
        <v>5</v>
      </c>
      <c r="G26" s="30">
        <f t="shared" si="0"/>
        <v>5</v>
      </c>
      <c r="H26" s="134" t="s">
        <v>76</v>
      </c>
      <c r="I26" s="154" t="s">
        <v>77</v>
      </c>
      <c r="J26" s="47">
        <v>5</v>
      </c>
      <c r="K26" s="21"/>
    </row>
    <row r="27" spans="1:11" ht="16.5" customHeight="1">
      <c r="A27" s="65" t="s">
        <v>37</v>
      </c>
      <c r="B27" s="153" t="s">
        <v>78</v>
      </c>
      <c r="C27" s="8"/>
      <c r="D27" s="54">
        <v>1</v>
      </c>
      <c r="E27" s="60">
        <v>1</v>
      </c>
      <c r="F27" s="30">
        <v>5</v>
      </c>
      <c r="G27" s="30">
        <f t="shared" si="0"/>
        <v>5</v>
      </c>
      <c r="H27" s="134" t="s">
        <v>79</v>
      </c>
      <c r="I27" s="154" t="s">
        <v>77</v>
      </c>
      <c r="J27" s="47">
        <v>5</v>
      </c>
      <c r="K27" s="21"/>
    </row>
    <row r="28" spans="1:11" ht="16.5" customHeight="1">
      <c r="A28" s="65" t="s">
        <v>37</v>
      </c>
      <c r="B28" s="153" t="s">
        <v>80</v>
      </c>
      <c r="C28" s="8"/>
      <c r="D28" s="54">
        <v>2</v>
      </c>
      <c r="E28" s="60">
        <v>2</v>
      </c>
      <c r="F28" s="30">
        <v>5</v>
      </c>
      <c r="G28" s="30">
        <f t="shared" si="0"/>
        <v>10</v>
      </c>
      <c r="H28" s="134" t="s">
        <v>79</v>
      </c>
      <c r="I28" s="154" t="s">
        <v>77</v>
      </c>
      <c r="J28" s="47">
        <v>1</v>
      </c>
      <c r="K28" s="21"/>
    </row>
    <row r="29" spans="1:11">
      <c r="A29" s="65" t="s">
        <v>37</v>
      </c>
      <c r="B29" s="67" t="s">
        <v>81</v>
      </c>
      <c r="C29" s="2"/>
      <c r="D29" s="24">
        <v>1</v>
      </c>
      <c r="E29" s="60">
        <v>1</v>
      </c>
      <c r="F29" s="30">
        <v>0.54</v>
      </c>
      <c r="G29" s="30">
        <f t="shared" si="0"/>
        <v>0.54</v>
      </c>
      <c r="H29" s="134" t="s">
        <v>82</v>
      </c>
      <c r="I29" s="155" t="s">
        <v>83</v>
      </c>
      <c r="J29" s="47">
        <v>1</v>
      </c>
      <c r="K29" s="21"/>
    </row>
    <row r="30" spans="1:11">
      <c r="A30" s="65" t="s">
        <v>37</v>
      </c>
      <c r="B30" s="67" t="s">
        <v>84</v>
      </c>
      <c r="C30" s="2"/>
      <c r="D30" s="24">
        <v>1</v>
      </c>
      <c r="E30" s="60">
        <v>1</v>
      </c>
      <c r="F30" s="30">
        <v>0.54</v>
      </c>
      <c r="G30" s="30">
        <f t="shared" si="0"/>
        <v>0.54</v>
      </c>
      <c r="H30" s="134" t="s">
        <v>85</v>
      </c>
      <c r="I30" s="155" t="s">
        <v>83</v>
      </c>
      <c r="J30" s="47">
        <v>1</v>
      </c>
      <c r="K30" s="21"/>
    </row>
    <row r="31" spans="1:11">
      <c r="A31" s="65" t="s">
        <v>37</v>
      </c>
      <c r="B31" s="67" t="s">
        <v>86</v>
      </c>
      <c r="C31" s="2"/>
      <c r="D31" s="24">
        <v>1</v>
      </c>
      <c r="E31" s="60">
        <v>1</v>
      </c>
      <c r="F31" s="30">
        <v>0.54</v>
      </c>
      <c r="G31" s="30">
        <f t="shared" si="0"/>
        <v>0.54</v>
      </c>
      <c r="H31" s="134" t="s">
        <v>87</v>
      </c>
      <c r="I31" s="155" t="s">
        <v>83</v>
      </c>
      <c r="J31" s="47">
        <v>1</v>
      </c>
      <c r="K31" s="21"/>
    </row>
    <row r="32" spans="1:11">
      <c r="A32" s="65" t="s">
        <v>37</v>
      </c>
      <c r="B32" s="97" t="s">
        <v>88</v>
      </c>
      <c r="C32" s="97"/>
      <c r="D32" s="156">
        <v>5</v>
      </c>
      <c r="E32" s="60">
        <v>1</v>
      </c>
      <c r="F32" s="30">
        <v>2.2200000000000002</v>
      </c>
      <c r="G32" s="30">
        <f t="shared" si="0"/>
        <v>2.2200000000000002</v>
      </c>
      <c r="H32" s="134" t="s">
        <v>89</v>
      </c>
      <c r="I32" s="155" t="s">
        <v>83</v>
      </c>
      <c r="J32" s="47">
        <v>5</v>
      </c>
      <c r="K32" s="21"/>
    </row>
    <row r="33" spans="1:11">
      <c r="A33" s="65" t="s">
        <v>37</v>
      </c>
      <c r="B33" s="46" t="s">
        <v>90</v>
      </c>
      <c r="C33" s="97"/>
      <c r="D33" s="156">
        <v>2</v>
      </c>
      <c r="E33" s="60">
        <v>1</v>
      </c>
      <c r="F33" s="30">
        <v>1.45</v>
      </c>
      <c r="G33" s="30">
        <f t="shared" si="0"/>
        <v>1.45</v>
      </c>
      <c r="H33" s="134" t="s">
        <v>91</v>
      </c>
      <c r="I33" s="155" t="s">
        <v>83</v>
      </c>
      <c r="J33" s="47">
        <v>2</v>
      </c>
      <c r="K33" s="21"/>
    </row>
    <row r="34" spans="1:11">
      <c r="A34" s="65" t="s">
        <v>37</v>
      </c>
      <c r="B34" s="1" t="s">
        <v>92</v>
      </c>
      <c r="C34" s="97"/>
      <c r="D34" s="156">
        <v>2</v>
      </c>
      <c r="E34" s="60">
        <v>1</v>
      </c>
      <c r="F34" s="30">
        <v>1.45</v>
      </c>
      <c r="G34" s="30">
        <f t="shared" si="0"/>
        <v>1.45</v>
      </c>
      <c r="H34" s="134" t="s">
        <v>93</v>
      </c>
      <c r="I34" s="155" t="s">
        <v>83</v>
      </c>
      <c r="J34" s="47">
        <v>2</v>
      </c>
      <c r="K34" s="21"/>
    </row>
    <row r="35" spans="1:11">
      <c r="A35" s="65" t="s">
        <v>37</v>
      </c>
      <c r="B35" s="46" t="s">
        <v>94</v>
      </c>
      <c r="C35" s="97"/>
      <c r="D35" s="156">
        <v>2</v>
      </c>
      <c r="E35" s="60">
        <v>1</v>
      </c>
      <c r="F35" s="30">
        <v>1.45</v>
      </c>
      <c r="G35" s="30">
        <f t="shared" si="0"/>
        <v>1.45</v>
      </c>
      <c r="H35" s="134" t="s">
        <v>95</v>
      </c>
      <c r="I35" s="155" t="s">
        <v>83</v>
      </c>
      <c r="J35" s="47">
        <v>2</v>
      </c>
      <c r="K35" s="21"/>
    </row>
    <row r="36" spans="1:11">
      <c r="A36" s="65" t="s">
        <v>37</v>
      </c>
      <c r="B36" s="46" t="s">
        <v>96</v>
      </c>
      <c r="C36" s="97"/>
      <c r="D36" s="156">
        <v>2</v>
      </c>
      <c r="E36" s="60">
        <v>1</v>
      </c>
      <c r="F36" s="30">
        <v>1.45</v>
      </c>
      <c r="G36" s="30">
        <f t="shared" si="0"/>
        <v>1.45</v>
      </c>
      <c r="H36" s="134" t="s">
        <v>97</v>
      </c>
      <c r="I36" s="155" t="s">
        <v>83</v>
      </c>
      <c r="J36" s="47">
        <v>2</v>
      </c>
      <c r="K36" s="21"/>
    </row>
    <row r="37" spans="1:11">
      <c r="A37" s="65" t="s">
        <v>37</v>
      </c>
      <c r="B37" s="157" t="s">
        <v>98</v>
      </c>
      <c r="C37" s="97"/>
      <c r="D37" s="156">
        <v>5</v>
      </c>
      <c r="E37" s="60">
        <v>1</v>
      </c>
      <c r="F37" s="30">
        <v>0.86</v>
      </c>
      <c r="G37" s="30">
        <f t="shared" si="0"/>
        <v>0.86</v>
      </c>
      <c r="H37" s="134" t="s">
        <v>99</v>
      </c>
      <c r="I37" s="155" t="s">
        <v>83</v>
      </c>
      <c r="J37" s="47">
        <v>5</v>
      </c>
      <c r="K37" s="21"/>
    </row>
    <row r="38" spans="1:11">
      <c r="A38" s="65" t="s">
        <v>37</v>
      </c>
      <c r="B38" s="1" t="s">
        <v>100</v>
      </c>
      <c r="C38" s="97"/>
      <c r="D38" s="24">
        <v>5</v>
      </c>
      <c r="E38" s="60">
        <v>1</v>
      </c>
      <c r="F38" s="30">
        <v>0.86</v>
      </c>
      <c r="G38" s="30">
        <f t="shared" si="0"/>
        <v>0.86</v>
      </c>
      <c r="H38" s="134" t="s">
        <v>101</v>
      </c>
      <c r="I38" s="155" t="s">
        <v>83</v>
      </c>
      <c r="J38" s="47">
        <v>5</v>
      </c>
      <c r="K38" s="21"/>
    </row>
    <row r="39" spans="1:11">
      <c r="A39" s="65" t="s">
        <v>37</v>
      </c>
      <c r="B39" s="46" t="s">
        <v>102</v>
      </c>
      <c r="C39" s="97"/>
      <c r="D39" s="24">
        <v>5</v>
      </c>
      <c r="E39" s="60">
        <v>1</v>
      </c>
      <c r="F39" s="30">
        <v>0.86</v>
      </c>
      <c r="G39" s="30">
        <f t="shared" si="0"/>
        <v>0.86</v>
      </c>
      <c r="H39" s="134" t="s">
        <v>103</v>
      </c>
      <c r="I39" s="155" t="s">
        <v>83</v>
      </c>
      <c r="J39" s="47">
        <v>5</v>
      </c>
      <c r="K39" s="21"/>
    </row>
    <row r="40" spans="1:11">
      <c r="A40" s="65" t="s">
        <v>37</v>
      </c>
      <c r="B40" s="46" t="s">
        <v>104</v>
      </c>
      <c r="C40" s="97"/>
      <c r="D40" s="156">
        <v>5</v>
      </c>
      <c r="E40" s="60">
        <v>1</v>
      </c>
      <c r="F40" s="30">
        <v>0.86</v>
      </c>
      <c r="G40" s="30">
        <f t="shared" si="0"/>
        <v>0.86</v>
      </c>
      <c r="H40" s="134" t="s">
        <v>105</v>
      </c>
      <c r="I40" s="155" t="s">
        <v>83</v>
      </c>
      <c r="J40" s="47">
        <v>5</v>
      </c>
      <c r="K40" s="21"/>
    </row>
    <row r="41" spans="1:11">
      <c r="A41" s="65" t="s">
        <v>37</v>
      </c>
      <c r="B41" s="97" t="s">
        <v>106</v>
      </c>
      <c r="C41" s="97"/>
      <c r="D41" s="156">
        <v>5</v>
      </c>
      <c r="E41" s="60">
        <v>1</v>
      </c>
      <c r="F41" s="30">
        <v>0.86</v>
      </c>
      <c r="G41" s="30">
        <f t="shared" si="0"/>
        <v>0.86</v>
      </c>
      <c r="H41" s="134" t="s">
        <v>107</v>
      </c>
      <c r="I41" s="155" t="s">
        <v>83</v>
      </c>
      <c r="J41" s="47">
        <v>5</v>
      </c>
      <c r="K41" s="21"/>
    </row>
    <row r="42" spans="1:11">
      <c r="A42" s="65" t="s">
        <v>37</v>
      </c>
      <c r="B42" s="97" t="s">
        <v>108</v>
      </c>
      <c r="C42" s="97"/>
      <c r="D42" s="24">
        <v>5</v>
      </c>
      <c r="E42" s="60">
        <v>1</v>
      </c>
      <c r="F42" s="30">
        <v>3.77</v>
      </c>
      <c r="G42" s="30">
        <f t="shared" si="0"/>
        <v>3.77</v>
      </c>
      <c r="H42" s="134" t="s">
        <v>109</v>
      </c>
      <c r="I42" s="155" t="s">
        <v>83</v>
      </c>
      <c r="J42" s="47">
        <v>5</v>
      </c>
      <c r="K42" s="21"/>
    </row>
    <row r="43" spans="1:11">
      <c r="A43" s="65" t="s">
        <v>37</v>
      </c>
      <c r="B43" s="97" t="s">
        <v>110</v>
      </c>
      <c r="C43" s="54"/>
      <c r="D43" s="54">
        <v>1</v>
      </c>
      <c r="E43" s="60">
        <v>1</v>
      </c>
      <c r="F43" s="30">
        <v>2.35</v>
      </c>
      <c r="G43" s="30">
        <f t="shared" si="0"/>
        <v>2.35</v>
      </c>
      <c r="H43" s="134" t="s">
        <v>111</v>
      </c>
      <c r="I43" s="155" t="s">
        <v>112</v>
      </c>
      <c r="J43" s="47">
        <v>10</v>
      </c>
      <c r="K43" s="21"/>
    </row>
    <row r="44" spans="1:11" ht="15.75" customHeight="1">
      <c r="A44" s="65" t="s">
        <v>37</v>
      </c>
      <c r="B44" s="158" t="s">
        <v>113</v>
      </c>
      <c r="C44" s="54"/>
      <c r="D44" s="54">
        <v>2</v>
      </c>
      <c r="E44" s="60">
        <v>2</v>
      </c>
      <c r="F44" s="30">
        <v>4.45</v>
      </c>
      <c r="G44" s="30">
        <f t="shared" ref="G44:G45" si="1">E44*F44</f>
        <v>8.9</v>
      </c>
      <c r="H44" s="134" t="s">
        <v>114</v>
      </c>
      <c r="I44" s="132" t="s">
        <v>115</v>
      </c>
      <c r="J44" s="47">
        <v>1</v>
      </c>
      <c r="K44" s="21"/>
    </row>
    <row r="45" spans="1:11" ht="15.75" customHeight="1">
      <c r="A45" s="65" t="s">
        <v>37</v>
      </c>
      <c r="B45" s="158" t="s">
        <v>116</v>
      </c>
      <c r="C45" s="54"/>
      <c r="D45" s="54">
        <v>2</v>
      </c>
      <c r="E45" s="60">
        <v>2</v>
      </c>
      <c r="F45" s="30">
        <v>4.3499999999999996</v>
      </c>
      <c r="G45" s="30">
        <f t="shared" si="1"/>
        <v>8.6999999999999993</v>
      </c>
      <c r="H45" s="134" t="s">
        <v>117</v>
      </c>
      <c r="I45" s="132" t="s">
        <v>115</v>
      </c>
      <c r="J45" s="47">
        <v>1</v>
      </c>
      <c r="K45" s="21"/>
    </row>
    <row r="46" spans="1:11" ht="15.75" customHeight="1">
      <c r="A46" s="65" t="s">
        <v>37</v>
      </c>
      <c r="B46" s="158" t="s">
        <v>118</v>
      </c>
      <c r="C46" s="54"/>
      <c r="D46" s="54">
        <v>1</v>
      </c>
      <c r="E46" s="60">
        <v>1</v>
      </c>
      <c r="F46" s="30">
        <v>4.95</v>
      </c>
      <c r="G46" s="30">
        <f t="shared" ref="G46:G47" si="2">E46*F46</f>
        <v>4.95</v>
      </c>
      <c r="H46" s="134" t="s">
        <v>119</v>
      </c>
      <c r="I46" s="132" t="s">
        <v>115</v>
      </c>
      <c r="J46" s="47">
        <v>1</v>
      </c>
      <c r="K46" s="21"/>
    </row>
    <row r="47" spans="1:11" ht="15.75" customHeight="1">
      <c r="A47" s="65" t="s">
        <v>37</v>
      </c>
      <c r="B47" s="158" t="s">
        <v>120</v>
      </c>
      <c r="C47" s="54"/>
      <c r="D47" s="54">
        <v>1</v>
      </c>
      <c r="E47" s="60">
        <v>1</v>
      </c>
      <c r="F47" s="30">
        <v>4.9000000000000004</v>
      </c>
      <c r="G47" s="30">
        <f t="shared" si="2"/>
        <v>4.9000000000000004</v>
      </c>
      <c r="H47" s="134" t="s">
        <v>121</v>
      </c>
      <c r="I47" s="132" t="s">
        <v>115</v>
      </c>
      <c r="J47" s="47">
        <v>1</v>
      </c>
      <c r="K47" s="21"/>
    </row>
    <row r="48" spans="1:11">
      <c r="A48" s="65" t="s">
        <v>37</v>
      </c>
      <c r="B48" s="22" t="s">
        <v>122</v>
      </c>
      <c r="C48" s="97"/>
      <c r="D48" s="97">
        <v>1</v>
      </c>
      <c r="E48" s="60">
        <v>1</v>
      </c>
      <c r="F48" s="159">
        <v>13.59</v>
      </c>
      <c r="G48" s="30">
        <f t="shared" ref="G48:G80" si="3">E48*F48</f>
        <v>13.59</v>
      </c>
      <c r="H48" s="134" t="s">
        <v>123</v>
      </c>
      <c r="I48" s="128" t="s">
        <v>124</v>
      </c>
      <c r="J48" s="47">
        <v>1</v>
      </c>
      <c r="K48" s="21"/>
    </row>
    <row r="49" spans="1:11">
      <c r="A49" s="65" t="s">
        <v>37</v>
      </c>
      <c r="B49" s="97" t="s">
        <v>125</v>
      </c>
      <c r="C49" s="97"/>
      <c r="D49" s="97">
        <v>1</v>
      </c>
      <c r="E49" s="60">
        <v>1</v>
      </c>
      <c r="F49" s="159">
        <v>33.700000000000003</v>
      </c>
      <c r="G49" s="30">
        <f t="shared" si="3"/>
        <v>33.700000000000003</v>
      </c>
      <c r="H49" s="134" t="s">
        <v>126</v>
      </c>
      <c r="I49" s="129" t="s">
        <v>70</v>
      </c>
      <c r="J49" s="47">
        <v>1</v>
      </c>
      <c r="K49" s="21"/>
    </row>
    <row r="50" spans="1:11">
      <c r="A50" s="65" t="s">
        <v>37</v>
      </c>
      <c r="B50" s="97" t="s">
        <v>127</v>
      </c>
      <c r="C50" s="97"/>
      <c r="D50" s="24">
        <v>1</v>
      </c>
      <c r="E50" s="60">
        <v>1</v>
      </c>
      <c r="F50" s="159">
        <v>3.22</v>
      </c>
      <c r="G50" s="30">
        <f t="shared" si="3"/>
        <v>3.22</v>
      </c>
      <c r="H50" s="134" t="s">
        <v>128</v>
      </c>
      <c r="I50" s="129" t="s">
        <v>129</v>
      </c>
      <c r="J50" s="47">
        <v>1</v>
      </c>
      <c r="K50" s="21"/>
    </row>
    <row r="51" spans="1:11">
      <c r="A51" s="65" t="s">
        <v>37</v>
      </c>
      <c r="B51" s="97" t="s">
        <v>130</v>
      </c>
      <c r="C51" s="97"/>
      <c r="D51" s="24">
        <v>2</v>
      </c>
      <c r="E51" s="60">
        <v>1</v>
      </c>
      <c r="F51" s="97">
        <v>2.3199999999999998</v>
      </c>
      <c r="G51" s="30">
        <f t="shared" si="3"/>
        <v>2.3199999999999998</v>
      </c>
      <c r="H51" s="134" t="s">
        <v>131</v>
      </c>
      <c r="I51" s="155" t="s">
        <v>132</v>
      </c>
      <c r="J51" s="47">
        <v>1</v>
      </c>
      <c r="K51" s="21"/>
    </row>
    <row r="52" spans="1:11">
      <c r="A52" s="65" t="s">
        <v>37</v>
      </c>
      <c r="B52" s="97" t="s">
        <v>133</v>
      </c>
      <c r="C52" s="97"/>
      <c r="D52" s="24">
        <v>1</v>
      </c>
      <c r="E52" s="60">
        <v>1</v>
      </c>
      <c r="F52" s="159">
        <v>4.82</v>
      </c>
      <c r="G52" s="30">
        <f t="shared" si="3"/>
        <v>4.82</v>
      </c>
      <c r="H52" s="134" t="s">
        <v>134</v>
      </c>
      <c r="I52" s="160" t="s">
        <v>132</v>
      </c>
      <c r="J52" s="47">
        <v>1</v>
      </c>
      <c r="K52" s="21"/>
    </row>
    <row r="53" spans="1:11">
      <c r="A53" s="65" t="s">
        <v>37</v>
      </c>
      <c r="B53" s="2" t="s">
        <v>135</v>
      </c>
      <c r="C53" s="97"/>
      <c r="D53" s="24">
        <v>1</v>
      </c>
      <c r="E53" s="60">
        <v>1</v>
      </c>
      <c r="F53" s="159">
        <v>12.01</v>
      </c>
      <c r="G53" s="30">
        <f t="shared" si="3"/>
        <v>12.01</v>
      </c>
      <c r="H53" s="134" t="s">
        <v>136</v>
      </c>
      <c r="I53" s="160" t="s">
        <v>132</v>
      </c>
      <c r="J53" s="47">
        <v>1</v>
      </c>
      <c r="K53" s="21"/>
    </row>
    <row r="54" spans="1:11">
      <c r="A54" s="65" t="s">
        <v>37</v>
      </c>
      <c r="B54" s="2" t="s">
        <v>137</v>
      </c>
      <c r="C54" s="97"/>
      <c r="D54" s="24">
        <v>3</v>
      </c>
      <c r="E54" s="60">
        <v>3</v>
      </c>
      <c r="F54" s="30">
        <v>15.18</v>
      </c>
      <c r="G54" s="30">
        <f t="shared" si="3"/>
        <v>45.54</v>
      </c>
      <c r="H54" s="134" t="s">
        <v>138</v>
      </c>
      <c r="I54" s="155" t="s">
        <v>29</v>
      </c>
      <c r="J54" s="47">
        <v>1</v>
      </c>
      <c r="K54" s="21"/>
    </row>
    <row r="55" spans="1:11">
      <c r="A55" s="65" t="s">
        <v>37</v>
      </c>
      <c r="B55" s="97" t="s">
        <v>139</v>
      </c>
      <c r="C55" s="97"/>
      <c r="D55" s="97">
        <v>1</v>
      </c>
      <c r="E55" s="60">
        <v>1</v>
      </c>
      <c r="F55" s="30">
        <v>148</v>
      </c>
      <c r="G55" s="30">
        <f t="shared" si="3"/>
        <v>148</v>
      </c>
      <c r="H55" s="134" t="s">
        <v>140</v>
      </c>
      <c r="I55" s="155" t="s">
        <v>141</v>
      </c>
      <c r="J55" s="47">
        <v>1</v>
      </c>
      <c r="K55" s="21"/>
    </row>
    <row r="56" spans="1:11">
      <c r="A56" s="65" t="s">
        <v>37</v>
      </c>
      <c r="B56" s="97" t="s">
        <v>142</v>
      </c>
      <c r="C56" s="2"/>
      <c r="D56" s="24">
        <v>1</v>
      </c>
      <c r="E56" s="60">
        <v>1</v>
      </c>
      <c r="F56" s="30">
        <v>33.590000000000003</v>
      </c>
      <c r="G56" s="30">
        <f t="shared" si="3"/>
        <v>33.590000000000003</v>
      </c>
      <c r="H56" s="134" t="s">
        <v>143</v>
      </c>
      <c r="I56" s="155" t="s">
        <v>112</v>
      </c>
      <c r="J56" s="47">
        <v>1</v>
      </c>
      <c r="K56" s="21"/>
    </row>
    <row r="57" spans="1:11">
      <c r="A57" s="65" t="s">
        <v>37</v>
      </c>
      <c r="B57" s="157" t="s">
        <v>144</v>
      </c>
      <c r="C57" s="2"/>
      <c r="D57" s="97">
        <v>1</v>
      </c>
      <c r="E57" s="60">
        <v>1</v>
      </c>
      <c r="F57" s="30">
        <v>6.35</v>
      </c>
      <c r="G57" s="30">
        <f t="shared" si="3"/>
        <v>6.35</v>
      </c>
      <c r="H57" s="134" t="s">
        <v>145</v>
      </c>
      <c r="I57" s="155" t="s">
        <v>146</v>
      </c>
      <c r="J57" s="47">
        <v>1</v>
      </c>
      <c r="K57" s="21"/>
    </row>
    <row r="58" spans="1:11">
      <c r="A58" s="29" t="s">
        <v>147</v>
      </c>
      <c r="B58" s="21" t="s">
        <v>148</v>
      </c>
      <c r="D58" s="59">
        <v>1</v>
      </c>
      <c r="E58" s="60">
        <v>1</v>
      </c>
      <c r="F58" s="30">
        <v>4.34</v>
      </c>
      <c r="G58" s="30">
        <f t="shared" si="3"/>
        <v>4.34</v>
      </c>
      <c r="H58" s="134" t="s">
        <v>149</v>
      </c>
      <c r="I58" s="147" t="s">
        <v>150</v>
      </c>
      <c r="J58" s="47">
        <v>1</v>
      </c>
      <c r="K58" s="21"/>
    </row>
    <row r="59" spans="1:11">
      <c r="A59" s="29" t="s">
        <v>151</v>
      </c>
      <c r="B59" s="22" t="s">
        <v>152</v>
      </c>
      <c r="C59" s="54"/>
      <c r="D59" s="64">
        <v>5</v>
      </c>
      <c r="E59" s="60">
        <v>1</v>
      </c>
      <c r="F59" s="30">
        <v>18.79</v>
      </c>
      <c r="G59" s="30">
        <f t="shared" si="3"/>
        <v>18.79</v>
      </c>
      <c r="H59" s="25" t="s">
        <v>153</v>
      </c>
      <c r="I59" s="146" t="s">
        <v>154</v>
      </c>
      <c r="J59" s="47">
        <v>1</v>
      </c>
      <c r="K59" s="21"/>
    </row>
    <row r="60" spans="1:11">
      <c r="A60" s="29" t="s">
        <v>151</v>
      </c>
      <c r="B60" s="22" t="s">
        <v>155</v>
      </c>
      <c r="C60" s="54"/>
      <c r="D60" s="59">
        <v>2</v>
      </c>
      <c r="E60" s="60">
        <v>2</v>
      </c>
      <c r="F60" s="30">
        <v>2</v>
      </c>
      <c r="G60" s="30">
        <f t="shared" si="3"/>
        <v>4</v>
      </c>
      <c r="H60" s="25" t="s">
        <v>156</v>
      </c>
      <c r="I60" s="146" t="s">
        <v>154</v>
      </c>
      <c r="J60" s="47">
        <v>1</v>
      </c>
      <c r="K60" s="21"/>
    </row>
    <row r="61" spans="1:11">
      <c r="A61" s="29" t="s">
        <v>151</v>
      </c>
      <c r="B61" s="94" t="s">
        <v>157</v>
      </c>
      <c r="C61" s="54"/>
      <c r="D61" s="59">
        <v>3</v>
      </c>
      <c r="E61" s="60">
        <v>3</v>
      </c>
      <c r="F61" s="30">
        <v>16</v>
      </c>
      <c r="G61" s="30">
        <f t="shared" si="3"/>
        <v>48</v>
      </c>
      <c r="H61" s="25" t="s">
        <v>158</v>
      </c>
      <c r="I61" s="146" t="s">
        <v>154</v>
      </c>
      <c r="J61" s="47">
        <v>1</v>
      </c>
      <c r="K61" s="21"/>
    </row>
    <row r="62" spans="1:11">
      <c r="A62" s="29" t="s">
        <v>151</v>
      </c>
      <c r="B62" s="64" t="s">
        <v>159</v>
      </c>
      <c r="C62" s="64"/>
      <c r="D62" s="59">
        <v>6</v>
      </c>
      <c r="E62" s="60">
        <v>1</v>
      </c>
      <c r="F62" s="30">
        <v>12</v>
      </c>
      <c r="G62" s="30">
        <f t="shared" si="3"/>
        <v>12</v>
      </c>
      <c r="H62" s="25" t="s">
        <v>160</v>
      </c>
      <c r="I62" s="146" t="s">
        <v>154</v>
      </c>
      <c r="J62" s="47">
        <v>10</v>
      </c>
      <c r="K62" s="21"/>
    </row>
    <row r="63" spans="1:11">
      <c r="A63" s="29" t="s">
        <v>151</v>
      </c>
      <c r="B63" s="68" t="s">
        <v>161</v>
      </c>
      <c r="C63" s="54"/>
      <c r="D63" s="64">
        <v>4</v>
      </c>
      <c r="E63" s="60">
        <v>1</v>
      </c>
      <c r="F63" s="30">
        <v>25</v>
      </c>
      <c r="G63" s="30">
        <f t="shared" si="3"/>
        <v>25</v>
      </c>
      <c r="H63" s="25" t="s">
        <v>162</v>
      </c>
      <c r="I63" s="146" t="s">
        <v>154</v>
      </c>
      <c r="J63" s="47">
        <v>5</v>
      </c>
      <c r="K63" s="21"/>
    </row>
    <row r="64" spans="1:11">
      <c r="A64" s="29" t="s">
        <v>163</v>
      </c>
      <c r="B64" s="22" t="s">
        <v>164</v>
      </c>
      <c r="C64" s="62"/>
      <c r="D64" s="59">
        <v>4</v>
      </c>
      <c r="E64" s="60">
        <v>1</v>
      </c>
      <c r="F64" s="30">
        <v>9</v>
      </c>
      <c r="G64" s="30">
        <f t="shared" si="3"/>
        <v>9</v>
      </c>
      <c r="H64" s="25" t="s">
        <v>165</v>
      </c>
      <c r="I64" s="146" t="s">
        <v>166</v>
      </c>
      <c r="J64" s="47">
        <v>10</v>
      </c>
      <c r="K64" s="93"/>
    </row>
    <row r="65" spans="1:15">
      <c r="A65" s="29" t="s">
        <v>163</v>
      </c>
      <c r="B65" s="21" t="s">
        <v>167</v>
      </c>
      <c r="D65" s="59">
        <v>6</v>
      </c>
      <c r="E65" s="60">
        <v>1</v>
      </c>
      <c r="F65" s="30">
        <v>10.23</v>
      </c>
      <c r="G65" s="30">
        <f t="shared" si="3"/>
        <v>10.23</v>
      </c>
      <c r="H65" s="25" t="s">
        <v>168</v>
      </c>
      <c r="I65" s="147" t="s">
        <v>169</v>
      </c>
      <c r="J65" s="47">
        <v>6</v>
      </c>
      <c r="K65" s="93"/>
    </row>
    <row r="66" spans="1:15" s="21" customFormat="1">
      <c r="A66" s="29" t="s">
        <v>163</v>
      </c>
      <c r="B66" s="21" t="s">
        <v>170</v>
      </c>
      <c r="D66" s="59">
        <v>6</v>
      </c>
      <c r="E66" s="60">
        <v>2</v>
      </c>
      <c r="F66" s="30">
        <v>2.04</v>
      </c>
      <c r="G66" s="30">
        <f t="shared" si="3"/>
        <v>4.08</v>
      </c>
      <c r="H66" s="135" t="s">
        <v>171</v>
      </c>
      <c r="I66" s="146" t="s">
        <v>172</v>
      </c>
      <c r="J66" s="47">
        <v>5</v>
      </c>
      <c r="O66" s="122"/>
    </row>
    <row r="67" spans="1:15" s="21" customFormat="1">
      <c r="A67" s="29" t="s">
        <v>163</v>
      </c>
      <c r="B67" s="161" t="s">
        <v>173</v>
      </c>
      <c r="C67" s="125"/>
      <c r="D67" s="162">
        <v>28</v>
      </c>
      <c r="E67" s="60">
        <v>1</v>
      </c>
      <c r="F67" s="123">
        <v>55</v>
      </c>
      <c r="G67" s="30">
        <f t="shared" si="3"/>
        <v>55</v>
      </c>
      <c r="H67" s="121" t="s">
        <v>174</v>
      </c>
      <c r="I67" s="130" t="s">
        <v>175</v>
      </c>
      <c r="J67" s="124">
        <v>50</v>
      </c>
      <c r="K67" s="122"/>
      <c r="L67" s="122"/>
    </row>
    <row r="68" spans="1:15" s="21" customFormat="1">
      <c r="A68" s="65" t="s">
        <v>176</v>
      </c>
      <c r="B68" s="22" t="s">
        <v>177</v>
      </c>
      <c r="D68" s="21">
        <v>94</v>
      </c>
      <c r="E68" s="60">
        <v>2</v>
      </c>
      <c r="F68" s="30">
        <v>3</v>
      </c>
      <c r="G68" s="30">
        <f t="shared" si="3"/>
        <v>6</v>
      </c>
      <c r="H68" s="25" t="s">
        <v>178</v>
      </c>
      <c r="I68" s="146" t="s">
        <v>179</v>
      </c>
      <c r="J68" s="47">
        <v>50</v>
      </c>
    </row>
    <row r="69" spans="1:15" s="21" customFormat="1">
      <c r="A69" s="65" t="s">
        <v>176</v>
      </c>
      <c r="B69" s="22" t="s">
        <v>180</v>
      </c>
      <c r="D69" s="21">
        <v>48</v>
      </c>
      <c r="E69" s="60">
        <v>2</v>
      </c>
      <c r="F69" s="30">
        <v>1</v>
      </c>
      <c r="G69" s="30">
        <f t="shared" si="3"/>
        <v>2</v>
      </c>
      <c r="H69" s="25" t="s">
        <v>181</v>
      </c>
      <c r="I69" s="127" t="s">
        <v>172</v>
      </c>
      <c r="J69" s="47">
        <v>25</v>
      </c>
      <c r="K69" s="21">
        <v>934</v>
      </c>
    </row>
    <row r="70" spans="1:15" s="21" customFormat="1">
      <c r="A70" s="65" t="s">
        <v>176</v>
      </c>
      <c r="B70" s="22" t="s">
        <v>182</v>
      </c>
      <c r="C70" s="22"/>
      <c r="D70" s="59">
        <v>11</v>
      </c>
      <c r="E70" s="60">
        <v>2</v>
      </c>
      <c r="F70" s="30">
        <v>1</v>
      </c>
      <c r="G70" s="30">
        <f t="shared" si="3"/>
        <v>2</v>
      </c>
      <c r="H70" s="25" t="s">
        <v>183</v>
      </c>
      <c r="I70" s="127" t="s">
        <v>172</v>
      </c>
      <c r="J70" s="47">
        <v>10</v>
      </c>
      <c r="K70" s="59">
        <v>985</v>
      </c>
      <c r="L70" s="59"/>
    </row>
    <row r="71" spans="1:15" s="21" customFormat="1">
      <c r="A71" s="65" t="s">
        <v>176</v>
      </c>
      <c r="B71" s="22" t="s">
        <v>184</v>
      </c>
      <c r="D71" s="21">
        <v>6</v>
      </c>
      <c r="E71" s="60">
        <v>1</v>
      </c>
      <c r="F71" s="30">
        <v>1</v>
      </c>
      <c r="G71" s="30">
        <f t="shared" si="3"/>
        <v>1</v>
      </c>
      <c r="H71" s="25" t="s">
        <v>185</v>
      </c>
      <c r="I71" s="127" t="s">
        <v>172</v>
      </c>
      <c r="J71" s="47">
        <v>25</v>
      </c>
      <c r="K71" s="59">
        <v>934</v>
      </c>
      <c r="L71" s="59"/>
    </row>
    <row r="72" spans="1:15" s="21" customFormat="1">
      <c r="A72" s="65" t="s">
        <v>176</v>
      </c>
      <c r="B72" s="22" t="s">
        <v>186</v>
      </c>
      <c r="C72" s="22"/>
      <c r="D72" s="21">
        <v>3</v>
      </c>
      <c r="E72" s="60">
        <v>2</v>
      </c>
      <c r="F72" s="30">
        <v>1</v>
      </c>
      <c r="G72" s="30">
        <f t="shared" si="3"/>
        <v>2</v>
      </c>
      <c r="H72" s="25" t="s">
        <v>187</v>
      </c>
      <c r="I72" s="127" t="s">
        <v>172</v>
      </c>
      <c r="J72" s="47">
        <v>10</v>
      </c>
      <c r="K72" s="21">
        <v>985</v>
      </c>
      <c r="L72" s="21">
        <v>10511</v>
      </c>
    </row>
    <row r="73" spans="1:15" s="21" customFormat="1">
      <c r="A73" s="65" t="s">
        <v>176</v>
      </c>
      <c r="B73" s="21" t="s">
        <v>188</v>
      </c>
      <c r="D73" s="21">
        <v>192</v>
      </c>
      <c r="E73" s="60">
        <v>4</v>
      </c>
      <c r="F73" s="30">
        <v>3</v>
      </c>
      <c r="G73" s="30">
        <f t="shared" si="3"/>
        <v>12</v>
      </c>
      <c r="H73" s="25" t="s">
        <v>189</v>
      </c>
      <c r="I73" s="146" t="s">
        <v>179</v>
      </c>
      <c r="J73" s="47">
        <v>50</v>
      </c>
      <c r="K73" s="59"/>
      <c r="L73" s="59"/>
    </row>
    <row r="74" spans="1:15" s="21" customFormat="1">
      <c r="A74" s="65" t="s">
        <v>176</v>
      </c>
      <c r="B74" s="61" t="s">
        <v>190</v>
      </c>
      <c r="C74" s="61"/>
      <c r="D74" s="21">
        <v>42</v>
      </c>
      <c r="E74" s="60">
        <v>2</v>
      </c>
      <c r="F74" s="30">
        <v>1</v>
      </c>
      <c r="G74" s="30">
        <f t="shared" si="3"/>
        <v>2</v>
      </c>
      <c r="H74" s="25" t="s">
        <v>191</v>
      </c>
      <c r="I74" s="127" t="s">
        <v>172</v>
      </c>
      <c r="J74" s="47">
        <v>25</v>
      </c>
      <c r="K74" s="59">
        <v>934</v>
      </c>
      <c r="L74" s="59"/>
    </row>
    <row r="75" spans="1:15" s="21" customFormat="1">
      <c r="A75" s="65" t="s">
        <v>176</v>
      </c>
      <c r="B75" s="21" t="s">
        <v>192</v>
      </c>
      <c r="D75" s="21">
        <v>14</v>
      </c>
      <c r="E75" s="60">
        <v>2</v>
      </c>
      <c r="F75" s="30">
        <v>1</v>
      </c>
      <c r="G75" s="30">
        <f t="shared" si="3"/>
        <v>2</v>
      </c>
      <c r="H75" s="25" t="s">
        <v>193</v>
      </c>
      <c r="I75" s="127" t="s">
        <v>172</v>
      </c>
      <c r="J75" s="47">
        <v>10</v>
      </c>
      <c r="K75" s="21">
        <v>985</v>
      </c>
      <c r="L75" s="21">
        <v>10511</v>
      </c>
    </row>
    <row r="76" spans="1:15" s="21" customFormat="1">
      <c r="A76" s="65" t="s">
        <v>194</v>
      </c>
      <c r="B76" s="69" t="s">
        <v>195</v>
      </c>
      <c r="C76" s="70"/>
      <c r="D76" s="71">
        <v>6</v>
      </c>
      <c r="E76" s="60">
        <v>6</v>
      </c>
      <c r="F76" s="30">
        <v>2.23</v>
      </c>
      <c r="G76" s="30">
        <f t="shared" si="3"/>
        <v>13.379999999999999</v>
      </c>
      <c r="H76" s="25" t="s">
        <v>196</v>
      </c>
      <c r="I76" s="147" t="s">
        <v>197</v>
      </c>
      <c r="J76" s="47">
        <v>1</v>
      </c>
    </row>
    <row r="77" spans="1:15" s="21" customFormat="1" ht="15.75" customHeight="1">
      <c r="A77" s="65" t="s">
        <v>194</v>
      </c>
      <c r="B77" s="54" t="s">
        <v>198</v>
      </c>
      <c r="C77" s="62"/>
      <c r="D77" s="62">
        <v>1</v>
      </c>
      <c r="E77" s="60">
        <v>1</v>
      </c>
      <c r="F77" s="30">
        <v>12.69</v>
      </c>
      <c r="G77" s="30">
        <f t="shared" si="3"/>
        <v>12.69</v>
      </c>
      <c r="H77" s="25" t="s">
        <v>199</v>
      </c>
      <c r="I77" s="147" t="s">
        <v>200</v>
      </c>
      <c r="J77" s="47">
        <v>1</v>
      </c>
    </row>
    <row r="78" spans="1:15" s="21" customFormat="1">
      <c r="A78" s="29" t="s">
        <v>194</v>
      </c>
      <c r="B78" s="157" t="s">
        <v>201</v>
      </c>
      <c r="C78" s="71"/>
      <c r="D78" s="71">
        <v>1</v>
      </c>
      <c r="E78" s="60">
        <v>1</v>
      </c>
      <c r="F78" s="30">
        <v>13.87</v>
      </c>
      <c r="G78" s="30">
        <f t="shared" si="3"/>
        <v>13.87</v>
      </c>
      <c r="H78" s="134" t="s">
        <v>202</v>
      </c>
      <c r="I78" s="146" t="s">
        <v>203</v>
      </c>
      <c r="J78" s="47">
        <v>1</v>
      </c>
    </row>
    <row r="79" spans="1:15" s="21" customFormat="1">
      <c r="A79" s="29" t="s">
        <v>194</v>
      </c>
      <c r="B79" s="157" t="s">
        <v>204</v>
      </c>
      <c r="C79" s="71"/>
      <c r="D79" s="71">
        <v>1</v>
      </c>
      <c r="E79" s="60">
        <v>1</v>
      </c>
      <c r="F79" s="30">
        <v>30.61</v>
      </c>
      <c r="G79" s="30">
        <f t="shared" si="3"/>
        <v>30.61</v>
      </c>
      <c r="H79" s="134" t="s">
        <v>205</v>
      </c>
      <c r="I79" s="146" t="s">
        <v>206</v>
      </c>
      <c r="J79" s="47">
        <v>1</v>
      </c>
    </row>
    <row r="80" spans="1:15" s="21" customFormat="1">
      <c r="A80" s="65" t="s">
        <v>194</v>
      </c>
      <c r="B80" s="144" t="s">
        <v>207</v>
      </c>
      <c r="C80" s="54"/>
      <c r="D80" s="72">
        <v>2</v>
      </c>
      <c r="E80" s="60">
        <v>1</v>
      </c>
      <c r="F80" s="30">
        <v>3.49</v>
      </c>
      <c r="G80" s="30">
        <f t="shared" si="3"/>
        <v>3.49</v>
      </c>
      <c r="H80" s="25" t="s">
        <v>208</v>
      </c>
      <c r="I80" s="146" t="s">
        <v>209</v>
      </c>
      <c r="J80" s="47">
        <v>5</v>
      </c>
    </row>
    <row r="81" spans="1:10" s="21" customFormat="1">
      <c r="A81" s="65" t="s">
        <v>194</v>
      </c>
      <c r="B81" s="69" t="s">
        <v>210</v>
      </c>
      <c r="C81" s="70"/>
      <c r="D81" s="71">
        <v>1</v>
      </c>
      <c r="E81" s="60">
        <v>1</v>
      </c>
      <c r="F81" s="30">
        <v>44</v>
      </c>
      <c r="G81" s="30">
        <f t="shared" ref="G81:G112" si="4">E81*F81</f>
        <v>44</v>
      </c>
      <c r="H81" s="134" t="s">
        <v>211</v>
      </c>
      <c r="I81" s="146" t="s">
        <v>212</v>
      </c>
      <c r="J81" s="47">
        <v>1</v>
      </c>
    </row>
    <row r="82" spans="1:10" s="21" customFormat="1">
      <c r="A82" s="65" t="s">
        <v>194</v>
      </c>
      <c r="B82" s="157" t="s">
        <v>213</v>
      </c>
      <c r="C82" s="71"/>
      <c r="D82" s="71">
        <v>1</v>
      </c>
      <c r="E82" s="60">
        <v>1</v>
      </c>
      <c r="F82" s="30">
        <v>30</v>
      </c>
      <c r="G82" s="30">
        <f t="shared" si="4"/>
        <v>30</v>
      </c>
      <c r="H82" s="134" t="s">
        <v>214</v>
      </c>
      <c r="I82" s="146" t="s">
        <v>212</v>
      </c>
      <c r="J82" s="47">
        <v>1</v>
      </c>
    </row>
    <row r="83" spans="1:10" s="21" customFormat="1">
      <c r="A83" s="65" t="s">
        <v>194</v>
      </c>
      <c r="B83" s="69" t="s">
        <v>215</v>
      </c>
      <c r="C83" s="70"/>
      <c r="D83" s="71">
        <v>3</v>
      </c>
      <c r="E83" s="60">
        <v>1</v>
      </c>
      <c r="F83" s="30">
        <v>9.42</v>
      </c>
      <c r="G83" s="30">
        <f t="shared" si="4"/>
        <v>9.42</v>
      </c>
      <c r="H83" s="134" t="s">
        <v>216</v>
      </c>
      <c r="I83" s="146" t="s">
        <v>217</v>
      </c>
      <c r="J83" s="47">
        <v>5</v>
      </c>
    </row>
    <row r="84" spans="1:10" s="21" customFormat="1">
      <c r="A84" s="65" t="s">
        <v>218</v>
      </c>
      <c r="B84" s="163" t="s">
        <v>219</v>
      </c>
      <c r="C84" s="73">
        <v>230</v>
      </c>
      <c r="D84" s="73">
        <v>4</v>
      </c>
      <c r="E84" s="60">
        <v>2</v>
      </c>
      <c r="F84" s="30">
        <v>4</v>
      </c>
      <c r="G84" s="30">
        <f t="shared" si="4"/>
        <v>8</v>
      </c>
      <c r="H84" s="135" t="s">
        <v>220</v>
      </c>
      <c r="I84" s="146" t="s">
        <v>221</v>
      </c>
      <c r="J84" s="47">
        <v>1</v>
      </c>
    </row>
    <row r="85" spans="1:10" s="21" customFormat="1">
      <c r="A85" s="65" t="s">
        <v>218</v>
      </c>
      <c r="B85" s="21" t="s">
        <v>222</v>
      </c>
      <c r="C85" s="54"/>
      <c r="D85" s="74">
        <v>2</v>
      </c>
      <c r="E85" s="60">
        <v>1</v>
      </c>
      <c r="F85" s="30">
        <v>14.96</v>
      </c>
      <c r="G85" s="30">
        <f t="shared" si="4"/>
        <v>14.96</v>
      </c>
      <c r="H85" s="135" t="s">
        <v>223</v>
      </c>
      <c r="I85" s="146" t="s">
        <v>179</v>
      </c>
      <c r="J85" s="47">
        <v>10</v>
      </c>
    </row>
    <row r="86" spans="1:10" s="21" customFormat="1">
      <c r="A86" s="29" t="s">
        <v>218</v>
      </c>
      <c r="B86" s="22" t="s">
        <v>224</v>
      </c>
      <c r="C86" s="75">
        <v>420</v>
      </c>
      <c r="D86" s="21">
        <v>1</v>
      </c>
      <c r="E86" s="60">
        <v>1</v>
      </c>
      <c r="F86" s="30">
        <v>12</v>
      </c>
      <c r="G86" s="30">
        <f t="shared" si="4"/>
        <v>12</v>
      </c>
      <c r="H86" s="135" t="s">
        <v>225</v>
      </c>
      <c r="I86" s="146" t="s">
        <v>226</v>
      </c>
      <c r="J86" s="47">
        <v>1</v>
      </c>
    </row>
    <row r="87" spans="1:10" s="21" customFormat="1">
      <c r="A87" s="29" t="s">
        <v>218</v>
      </c>
      <c r="B87" s="22" t="s">
        <v>227</v>
      </c>
      <c r="C87" s="75">
        <v>368</v>
      </c>
      <c r="D87" s="21">
        <v>1</v>
      </c>
      <c r="E87" s="60">
        <v>1</v>
      </c>
      <c r="F87" s="30">
        <v>11</v>
      </c>
      <c r="G87" s="30">
        <f t="shared" si="4"/>
        <v>11</v>
      </c>
      <c r="H87" s="135" t="s">
        <v>228</v>
      </c>
      <c r="I87" s="146" t="s">
        <v>226</v>
      </c>
      <c r="J87" s="47">
        <v>1</v>
      </c>
    </row>
    <row r="88" spans="1:10" s="21" customFormat="1">
      <c r="A88" s="29" t="s">
        <v>218</v>
      </c>
      <c r="B88" s="22" t="s">
        <v>229</v>
      </c>
      <c r="C88" s="75">
        <v>172</v>
      </c>
      <c r="D88" s="21">
        <v>1</v>
      </c>
      <c r="E88" s="60">
        <v>1</v>
      </c>
      <c r="F88" s="30">
        <v>9</v>
      </c>
      <c r="G88" s="30">
        <f t="shared" si="4"/>
        <v>9</v>
      </c>
      <c r="H88" s="135" t="s">
        <v>230</v>
      </c>
      <c r="I88" s="146" t="s">
        <v>226</v>
      </c>
      <c r="J88" s="47">
        <v>1</v>
      </c>
    </row>
    <row r="89" spans="1:10" s="21" customFormat="1">
      <c r="A89" s="65" t="s">
        <v>218</v>
      </c>
      <c r="B89" s="22" t="s">
        <v>231</v>
      </c>
      <c r="C89" s="54"/>
      <c r="D89" s="62">
        <v>34</v>
      </c>
      <c r="E89" s="60">
        <v>4</v>
      </c>
      <c r="F89" s="30">
        <v>5.49</v>
      </c>
      <c r="G89" s="30">
        <f t="shared" si="4"/>
        <v>21.96</v>
      </c>
      <c r="H89" s="135" t="s">
        <v>232</v>
      </c>
      <c r="I89" s="146" t="s">
        <v>233</v>
      </c>
      <c r="J89" s="47">
        <v>10</v>
      </c>
    </row>
    <row r="90" spans="1:10" s="21" customFormat="1">
      <c r="A90" s="29" t="s">
        <v>218</v>
      </c>
      <c r="B90" s="22" t="s">
        <v>234</v>
      </c>
      <c r="C90" s="75">
        <v>420</v>
      </c>
      <c r="D90" s="21">
        <v>4</v>
      </c>
      <c r="E90" s="60">
        <v>4</v>
      </c>
      <c r="F90" s="30">
        <v>15</v>
      </c>
      <c r="G90" s="30">
        <f t="shared" si="4"/>
        <v>60</v>
      </c>
      <c r="H90" s="135" t="s">
        <v>235</v>
      </c>
      <c r="I90" s="146" t="s">
        <v>226</v>
      </c>
      <c r="J90" s="47">
        <v>1</v>
      </c>
    </row>
    <row r="91" spans="1:10" s="21" customFormat="1">
      <c r="A91" s="29" t="s">
        <v>218</v>
      </c>
      <c r="B91" s="22" t="s">
        <v>236</v>
      </c>
      <c r="C91" s="75">
        <v>480</v>
      </c>
      <c r="D91" s="21">
        <v>4</v>
      </c>
      <c r="E91" s="60">
        <v>4</v>
      </c>
      <c r="F91" s="30">
        <v>16</v>
      </c>
      <c r="G91" s="30">
        <f t="shared" si="4"/>
        <v>64</v>
      </c>
      <c r="H91" s="135" t="s">
        <v>237</v>
      </c>
      <c r="I91" s="146" t="s">
        <v>226</v>
      </c>
      <c r="J91" s="47">
        <v>1</v>
      </c>
    </row>
    <row r="92" spans="1:10" s="21" customFormat="1">
      <c r="A92" s="29" t="s">
        <v>218</v>
      </c>
      <c r="B92" s="22" t="s">
        <v>238</v>
      </c>
      <c r="C92" s="75">
        <v>750</v>
      </c>
      <c r="D92" s="21">
        <v>4</v>
      </c>
      <c r="E92" s="60">
        <v>4</v>
      </c>
      <c r="F92" s="30">
        <v>40</v>
      </c>
      <c r="G92" s="30">
        <f t="shared" si="4"/>
        <v>160</v>
      </c>
      <c r="H92" s="135" t="s">
        <v>239</v>
      </c>
      <c r="I92" s="146" t="s">
        <v>226</v>
      </c>
      <c r="J92" s="47">
        <v>1</v>
      </c>
    </row>
    <row r="93" spans="1:10" s="21" customFormat="1">
      <c r="A93" s="65" t="s">
        <v>218</v>
      </c>
      <c r="B93" s="150" t="s">
        <v>240</v>
      </c>
      <c r="C93" s="64">
        <v>410</v>
      </c>
      <c r="D93" s="64">
        <v>1</v>
      </c>
      <c r="E93" s="60">
        <v>1</v>
      </c>
      <c r="F93" s="30">
        <v>4.07</v>
      </c>
      <c r="G93" s="30">
        <f t="shared" si="4"/>
        <v>4.07</v>
      </c>
      <c r="H93" s="135" t="s">
        <v>241</v>
      </c>
      <c r="I93" s="146" t="s">
        <v>221</v>
      </c>
      <c r="J93" s="47">
        <v>1</v>
      </c>
    </row>
    <row r="94" spans="1:10" s="21" customFormat="1">
      <c r="A94" s="29" t="s">
        <v>218</v>
      </c>
      <c r="B94" s="22" t="s">
        <v>242</v>
      </c>
      <c r="C94" s="54">
        <v>286</v>
      </c>
      <c r="D94" s="62">
        <v>2</v>
      </c>
      <c r="E94" s="60">
        <v>1</v>
      </c>
      <c r="F94" s="30">
        <v>18</v>
      </c>
      <c r="G94" s="30">
        <f t="shared" si="4"/>
        <v>18</v>
      </c>
      <c r="H94" s="25" t="s">
        <v>243</v>
      </c>
      <c r="I94" s="146" t="s">
        <v>244</v>
      </c>
      <c r="J94" s="47">
        <v>2</v>
      </c>
    </row>
    <row r="95" spans="1:10" s="21" customFormat="1">
      <c r="A95" s="29" t="s">
        <v>218</v>
      </c>
      <c r="B95" s="41" t="s">
        <v>245</v>
      </c>
      <c r="C95" s="54">
        <v>350</v>
      </c>
      <c r="D95" s="54">
        <v>1</v>
      </c>
      <c r="E95" s="60">
        <v>1</v>
      </c>
      <c r="F95" s="30">
        <v>100</v>
      </c>
      <c r="G95" s="30">
        <f t="shared" si="4"/>
        <v>100</v>
      </c>
      <c r="H95" s="136" t="s">
        <v>246</v>
      </c>
      <c r="I95" s="146" t="s">
        <v>247</v>
      </c>
      <c r="J95" s="47">
        <v>1</v>
      </c>
    </row>
    <row r="96" spans="1:10" s="21" customFormat="1">
      <c r="A96" s="29" t="s">
        <v>218</v>
      </c>
      <c r="B96" s="97" t="s">
        <v>248</v>
      </c>
      <c r="C96" s="97"/>
      <c r="D96" s="24">
        <v>2</v>
      </c>
      <c r="E96" s="60">
        <v>2</v>
      </c>
      <c r="F96" s="30">
        <v>9.7200000000000006</v>
      </c>
      <c r="G96" s="30">
        <f t="shared" si="4"/>
        <v>19.440000000000001</v>
      </c>
      <c r="H96" s="134" t="s">
        <v>249</v>
      </c>
      <c r="I96" s="155" t="s">
        <v>250</v>
      </c>
      <c r="J96" s="47">
        <v>1</v>
      </c>
    </row>
    <row r="97" spans="1:12" s="21" customFormat="1">
      <c r="A97" s="65" t="s">
        <v>251</v>
      </c>
      <c r="B97" s="22" t="s">
        <v>252</v>
      </c>
      <c r="D97" s="21">
        <v>7</v>
      </c>
      <c r="E97" s="60">
        <v>1</v>
      </c>
      <c r="F97" s="30">
        <v>2.06</v>
      </c>
      <c r="G97" s="30">
        <f t="shared" si="4"/>
        <v>2.06</v>
      </c>
      <c r="H97" s="135" t="s">
        <v>253</v>
      </c>
      <c r="I97" s="127" t="s">
        <v>172</v>
      </c>
      <c r="J97" s="47">
        <v>50</v>
      </c>
      <c r="K97" s="21">
        <v>913</v>
      </c>
    </row>
    <row r="98" spans="1:12" s="21" customFormat="1">
      <c r="A98" s="65" t="s">
        <v>251</v>
      </c>
      <c r="B98" s="22" t="s">
        <v>254</v>
      </c>
      <c r="C98" s="54"/>
      <c r="D98" s="21">
        <v>4</v>
      </c>
      <c r="E98" s="60">
        <v>1</v>
      </c>
      <c r="F98" s="30">
        <v>2.74</v>
      </c>
      <c r="G98" s="30">
        <f t="shared" si="4"/>
        <v>2.74</v>
      </c>
      <c r="H98" s="135" t="s">
        <v>255</v>
      </c>
      <c r="I98" s="127" t="s">
        <v>172</v>
      </c>
      <c r="J98" s="47">
        <v>20</v>
      </c>
      <c r="K98" s="21">
        <v>916</v>
      </c>
    </row>
    <row r="99" spans="1:12" s="21" customFormat="1">
      <c r="A99" s="65" t="s">
        <v>251</v>
      </c>
      <c r="B99" s="61" t="s">
        <v>256</v>
      </c>
      <c r="C99" s="61"/>
      <c r="D99" s="21">
        <v>8</v>
      </c>
      <c r="E99" s="60">
        <v>1</v>
      </c>
      <c r="F99" s="30">
        <v>2.2599999999999998</v>
      </c>
      <c r="G99" s="30">
        <f t="shared" si="4"/>
        <v>2.2599999999999998</v>
      </c>
      <c r="H99" s="135" t="s">
        <v>257</v>
      </c>
      <c r="I99" s="127" t="s">
        <v>172</v>
      </c>
      <c r="J99" s="47">
        <v>25</v>
      </c>
      <c r="K99" s="59"/>
      <c r="L99" s="59">
        <v>7380</v>
      </c>
    </row>
    <row r="100" spans="1:12" s="21" customFormat="1">
      <c r="A100" s="29" t="s">
        <v>251</v>
      </c>
      <c r="B100" s="21" t="s">
        <v>258</v>
      </c>
      <c r="C100" s="22"/>
      <c r="D100" s="21">
        <v>16</v>
      </c>
      <c r="E100" s="60">
        <v>1</v>
      </c>
      <c r="F100" s="30">
        <v>2.2599999999999998</v>
      </c>
      <c r="G100" s="30">
        <f t="shared" si="4"/>
        <v>2.2599999999999998</v>
      </c>
      <c r="H100" s="135" t="s">
        <v>257</v>
      </c>
      <c r="I100" s="127" t="s">
        <v>172</v>
      </c>
      <c r="J100" s="47">
        <v>25</v>
      </c>
      <c r="K100" s="21">
        <v>7991</v>
      </c>
    </row>
    <row r="101" spans="1:12" s="21" customFormat="1">
      <c r="A101" s="65" t="s">
        <v>251</v>
      </c>
      <c r="B101" s="61" t="s">
        <v>259</v>
      </c>
      <c r="C101" s="61"/>
      <c r="D101" s="21">
        <v>122</v>
      </c>
      <c r="E101" s="60">
        <v>13</v>
      </c>
      <c r="F101" s="30">
        <v>2</v>
      </c>
      <c r="G101" s="30">
        <f t="shared" si="4"/>
        <v>26</v>
      </c>
      <c r="H101" s="135" t="s">
        <v>260</v>
      </c>
      <c r="I101" s="127" t="s">
        <v>172</v>
      </c>
      <c r="J101" s="47">
        <v>10</v>
      </c>
      <c r="K101" s="21">
        <v>912</v>
      </c>
    </row>
    <row r="102" spans="1:12" s="21" customFormat="1">
      <c r="A102" s="29" t="s">
        <v>251</v>
      </c>
      <c r="B102" s="61" t="s">
        <v>261</v>
      </c>
      <c r="C102" s="61"/>
      <c r="D102" s="21">
        <v>38</v>
      </c>
      <c r="E102" s="60">
        <v>4</v>
      </c>
      <c r="F102" s="30">
        <v>2.83</v>
      </c>
      <c r="G102" s="30">
        <f t="shared" si="4"/>
        <v>11.32</v>
      </c>
      <c r="H102" s="135" t="s">
        <v>262</v>
      </c>
      <c r="I102" s="127" t="s">
        <v>172</v>
      </c>
      <c r="J102" s="47">
        <v>10</v>
      </c>
      <c r="K102" s="59">
        <v>912</v>
      </c>
      <c r="L102" s="59"/>
    </row>
    <row r="103" spans="1:12" s="21" customFormat="1">
      <c r="A103" s="29" t="s">
        <v>251</v>
      </c>
      <c r="B103" s="22" t="s">
        <v>263</v>
      </c>
      <c r="C103" s="54"/>
      <c r="D103" s="21">
        <v>6</v>
      </c>
      <c r="E103" s="60">
        <v>1</v>
      </c>
      <c r="F103" s="30">
        <v>2.34</v>
      </c>
      <c r="G103" s="30">
        <f t="shared" si="4"/>
        <v>2.34</v>
      </c>
      <c r="H103" s="135" t="s">
        <v>264</v>
      </c>
      <c r="I103" s="127" t="s">
        <v>172</v>
      </c>
      <c r="J103" s="47">
        <v>25</v>
      </c>
    </row>
    <row r="104" spans="1:12" s="21" customFormat="1">
      <c r="A104" s="29" t="s">
        <v>251</v>
      </c>
      <c r="B104" s="21" t="s">
        <v>265</v>
      </c>
      <c r="C104" s="54"/>
      <c r="D104" s="21">
        <v>20</v>
      </c>
      <c r="E104" s="60">
        <v>2</v>
      </c>
      <c r="F104" s="30">
        <v>2.91</v>
      </c>
      <c r="G104" s="30">
        <f t="shared" si="4"/>
        <v>5.82</v>
      </c>
      <c r="H104" s="135" t="s">
        <v>266</v>
      </c>
      <c r="I104" s="127" t="s">
        <v>172</v>
      </c>
      <c r="J104" s="47">
        <v>10</v>
      </c>
      <c r="K104" s="21">
        <v>912</v>
      </c>
    </row>
    <row r="105" spans="1:12" s="21" customFormat="1">
      <c r="A105" s="29" t="s">
        <v>251</v>
      </c>
      <c r="B105" s="21" t="s">
        <v>267</v>
      </c>
      <c r="C105" s="54"/>
      <c r="D105" s="21">
        <v>1</v>
      </c>
      <c r="E105" s="60">
        <v>1</v>
      </c>
      <c r="F105" s="30">
        <v>3.05</v>
      </c>
      <c r="G105" s="30">
        <f t="shared" si="4"/>
        <v>3.05</v>
      </c>
      <c r="H105" s="135" t="s">
        <v>268</v>
      </c>
      <c r="I105" s="127" t="s">
        <v>172</v>
      </c>
      <c r="J105" s="47">
        <v>25</v>
      </c>
    </row>
    <row r="106" spans="1:12" s="21" customFormat="1">
      <c r="A106" s="29" t="s">
        <v>251</v>
      </c>
      <c r="B106" s="22" t="s">
        <v>269</v>
      </c>
      <c r="C106" s="22"/>
      <c r="D106" s="21">
        <v>7</v>
      </c>
      <c r="E106" s="60">
        <v>1</v>
      </c>
      <c r="F106" s="30">
        <v>3</v>
      </c>
      <c r="G106" s="30">
        <f t="shared" si="4"/>
        <v>3</v>
      </c>
      <c r="H106" s="135" t="s">
        <v>270</v>
      </c>
      <c r="I106" s="127" t="s">
        <v>172</v>
      </c>
      <c r="J106" s="47">
        <v>10</v>
      </c>
      <c r="K106" s="21">
        <v>912</v>
      </c>
      <c r="L106" s="21">
        <v>7380</v>
      </c>
    </row>
    <row r="107" spans="1:12" s="21" customFormat="1">
      <c r="A107" s="29" t="s">
        <v>251</v>
      </c>
      <c r="B107" s="148" t="s">
        <v>271</v>
      </c>
      <c r="C107" s="54"/>
      <c r="D107" s="21">
        <v>1</v>
      </c>
      <c r="E107" s="60">
        <v>1</v>
      </c>
      <c r="F107" s="30">
        <v>2.2599999999999998</v>
      </c>
      <c r="G107" s="30">
        <f t="shared" si="4"/>
        <v>2.2599999999999998</v>
      </c>
      <c r="H107" s="135" t="s">
        <v>272</v>
      </c>
      <c r="I107" s="127" t="s">
        <v>172</v>
      </c>
      <c r="J107" s="47">
        <v>10</v>
      </c>
    </row>
    <row r="108" spans="1:12" s="21" customFormat="1">
      <c r="A108" s="65" t="s">
        <v>251</v>
      </c>
      <c r="B108" s="66" t="s">
        <v>273</v>
      </c>
      <c r="C108" s="54"/>
      <c r="D108" s="21">
        <v>3</v>
      </c>
      <c r="E108" s="60">
        <v>1</v>
      </c>
      <c r="F108" s="30">
        <v>1.2</v>
      </c>
      <c r="G108" s="30">
        <f t="shared" si="4"/>
        <v>1.2</v>
      </c>
      <c r="H108" s="135" t="s">
        <v>274</v>
      </c>
      <c r="I108" s="127" t="s">
        <v>172</v>
      </c>
      <c r="J108" s="47">
        <v>20</v>
      </c>
      <c r="K108" s="21">
        <v>912</v>
      </c>
    </row>
    <row r="109" spans="1:12" s="21" customFormat="1">
      <c r="A109" s="29" t="s">
        <v>251</v>
      </c>
      <c r="B109" s="22" t="s">
        <v>275</v>
      </c>
      <c r="C109" s="22"/>
      <c r="D109" s="21">
        <v>6</v>
      </c>
      <c r="E109" s="60">
        <v>6</v>
      </c>
      <c r="F109" s="30">
        <v>1.21</v>
      </c>
      <c r="G109" s="30">
        <f t="shared" si="4"/>
        <v>7.26</v>
      </c>
      <c r="H109" s="135" t="s">
        <v>276</v>
      </c>
      <c r="I109" s="146" t="s">
        <v>172</v>
      </c>
      <c r="J109" s="47">
        <v>1</v>
      </c>
    </row>
    <row r="110" spans="1:12" s="21" customFormat="1">
      <c r="A110" s="65" t="s">
        <v>251</v>
      </c>
      <c r="B110" s="22" t="s">
        <v>277</v>
      </c>
      <c r="D110" s="21">
        <v>4</v>
      </c>
      <c r="E110" s="60">
        <v>1</v>
      </c>
      <c r="F110" s="30">
        <v>2.42</v>
      </c>
      <c r="G110" s="30">
        <f t="shared" si="4"/>
        <v>2.42</v>
      </c>
      <c r="H110" s="137" t="s">
        <v>278</v>
      </c>
      <c r="I110" s="127" t="s">
        <v>172</v>
      </c>
      <c r="J110" s="47">
        <v>10</v>
      </c>
      <c r="K110" s="59">
        <v>7991</v>
      </c>
      <c r="L110" s="59">
        <v>10642</v>
      </c>
    </row>
    <row r="111" spans="1:12" s="21" customFormat="1">
      <c r="A111" s="65" t="s">
        <v>251</v>
      </c>
      <c r="B111" s="148" t="s">
        <v>279</v>
      </c>
      <c r="C111" s="54"/>
      <c r="D111" s="21">
        <v>3</v>
      </c>
      <c r="E111" s="60">
        <v>1</v>
      </c>
      <c r="F111" s="30">
        <v>2.5</v>
      </c>
      <c r="G111" s="30">
        <f t="shared" si="4"/>
        <v>2.5</v>
      </c>
      <c r="H111" s="137" t="s">
        <v>280</v>
      </c>
      <c r="I111" s="127" t="s">
        <v>172</v>
      </c>
      <c r="J111" s="47">
        <v>10</v>
      </c>
      <c r="K111" s="59">
        <v>7991</v>
      </c>
      <c r="L111" s="59"/>
    </row>
    <row r="112" spans="1:12" s="21" customFormat="1">
      <c r="A112" s="65" t="s">
        <v>251</v>
      </c>
      <c r="B112" s="21" t="s">
        <v>281</v>
      </c>
      <c r="C112" s="54"/>
      <c r="D112" s="21">
        <v>2</v>
      </c>
      <c r="E112" s="60">
        <v>1</v>
      </c>
      <c r="F112" s="30">
        <v>2.5299999999999998</v>
      </c>
      <c r="G112" s="30">
        <f t="shared" si="4"/>
        <v>2.5299999999999998</v>
      </c>
      <c r="H112" s="137" t="s">
        <v>282</v>
      </c>
      <c r="I112" s="127" t="s">
        <v>172</v>
      </c>
      <c r="J112" s="47">
        <v>10</v>
      </c>
      <c r="K112" s="59">
        <v>933</v>
      </c>
      <c r="L112" s="59"/>
    </row>
    <row r="113" spans="1:12" s="21" customFormat="1">
      <c r="A113" s="65" t="s">
        <v>251</v>
      </c>
      <c r="B113" s="76" t="s">
        <v>283</v>
      </c>
      <c r="C113" s="76"/>
      <c r="D113" s="21">
        <v>4</v>
      </c>
      <c r="E113" s="60">
        <v>1</v>
      </c>
      <c r="F113" s="30">
        <v>3.08</v>
      </c>
      <c r="G113" s="30">
        <f t="shared" ref="G113:G144" si="5">E113*F113</f>
        <v>3.08</v>
      </c>
      <c r="H113" s="137" t="s">
        <v>284</v>
      </c>
      <c r="I113" s="127" t="s">
        <v>172</v>
      </c>
      <c r="J113" s="47">
        <v>10</v>
      </c>
      <c r="K113" s="21">
        <v>7991</v>
      </c>
      <c r="L113" s="21">
        <v>10642</v>
      </c>
    </row>
    <row r="114" spans="1:12" s="21" customFormat="1">
      <c r="A114" s="65" t="s">
        <v>251</v>
      </c>
      <c r="B114" s="1" t="s">
        <v>285</v>
      </c>
      <c r="D114" s="21">
        <v>4</v>
      </c>
      <c r="E114" s="60">
        <v>1</v>
      </c>
      <c r="F114" s="30">
        <v>5.61</v>
      </c>
      <c r="G114" s="30">
        <f t="shared" si="5"/>
        <v>5.61</v>
      </c>
      <c r="H114" s="137" t="s">
        <v>286</v>
      </c>
      <c r="I114" s="164" t="s">
        <v>172</v>
      </c>
      <c r="J114" s="47">
        <v>5</v>
      </c>
    </row>
    <row r="115" spans="1:12" s="21" customFormat="1">
      <c r="A115" s="65" t="s">
        <v>251</v>
      </c>
      <c r="B115" s="61" t="s">
        <v>287</v>
      </c>
      <c r="C115" s="61"/>
      <c r="D115" s="21">
        <v>176</v>
      </c>
      <c r="E115" s="60">
        <v>18</v>
      </c>
      <c r="F115" s="30">
        <v>2.42</v>
      </c>
      <c r="G115" s="30">
        <f t="shared" si="5"/>
        <v>43.56</v>
      </c>
      <c r="H115" s="137" t="s">
        <v>288</v>
      </c>
      <c r="I115" s="127" t="s">
        <v>172</v>
      </c>
      <c r="J115" s="47">
        <v>10</v>
      </c>
      <c r="L115" s="21">
        <v>7380</v>
      </c>
    </row>
    <row r="116" spans="1:12" s="21" customFormat="1">
      <c r="A116" s="65" t="s">
        <v>251</v>
      </c>
      <c r="B116" s="61" t="s">
        <v>289</v>
      </c>
      <c r="C116" s="54"/>
      <c r="D116" s="21">
        <v>3</v>
      </c>
      <c r="E116" s="60">
        <v>1</v>
      </c>
      <c r="F116" s="30">
        <v>2.59</v>
      </c>
      <c r="G116" s="30">
        <f t="shared" si="5"/>
        <v>2.59</v>
      </c>
      <c r="H116" s="137" t="s">
        <v>290</v>
      </c>
      <c r="I116" s="127" t="s">
        <v>172</v>
      </c>
      <c r="J116" s="47">
        <v>10</v>
      </c>
      <c r="K116" s="59"/>
      <c r="L116" s="59">
        <v>7380</v>
      </c>
    </row>
    <row r="117" spans="1:12" s="21" customFormat="1">
      <c r="A117" s="65" t="s">
        <v>251</v>
      </c>
      <c r="B117" s="61" t="s">
        <v>291</v>
      </c>
      <c r="C117" s="61"/>
      <c r="D117" s="21">
        <v>6</v>
      </c>
      <c r="E117" s="60">
        <v>1</v>
      </c>
      <c r="F117" s="30">
        <v>2.75</v>
      </c>
      <c r="G117" s="30">
        <f t="shared" si="5"/>
        <v>2.75</v>
      </c>
      <c r="H117" s="137" t="s">
        <v>292</v>
      </c>
      <c r="I117" s="127" t="s">
        <v>172</v>
      </c>
      <c r="J117" s="47">
        <v>10</v>
      </c>
      <c r="K117" s="59">
        <v>912</v>
      </c>
      <c r="L117" s="59">
        <v>7380</v>
      </c>
    </row>
    <row r="118" spans="1:12" s="21" customFormat="1">
      <c r="A118" s="65" t="s">
        <v>251</v>
      </c>
      <c r="B118" s="150" t="s">
        <v>293</v>
      </c>
      <c r="C118" s="54"/>
      <c r="D118" s="64">
        <v>3</v>
      </c>
      <c r="E118" s="60">
        <v>1</v>
      </c>
      <c r="F118" s="30">
        <v>2.61</v>
      </c>
      <c r="G118" s="30">
        <f t="shared" si="5"/>
        <v>2.61</v>
      </c>
      <c r="H118" s="137" t="s">
        <v>294</v>
      </c>
      <c r="I118" s="127" t="s">
        <v>172</v>
      </c>
      <c r="J118" s="47">
        <v>10</v>
      </c>
      <c r="K118" s="21">
        <v>933</v>
      </c>
    </row>
    <row r="119" spans="1:12" s="21" customFormat="1">
      <c r="A119" s="65" t="s">
        <v>251</v>
      </c>
      <c r="B119" s="21" t="s">
        <v>295</v>
      </c>
      <c r="C119" s="54"/>
      <c r="D119" s="64">
        <v>4</v>
      </c>
      <c r="E119" s="60">
        <v>1</v>
      </c>
      <c r="F119" s="30">
        <v>2.92</v>
      </c>
      <c r="G119" s="30">
        <f t="shared" si="5"/>
        <v>2.92</v>
      </c>
      <c r="H119" s="137" t="s">
        <v>296</v>
      </c>
      <c r="I119" s="127" t="s">
        <v>172</v>
      </c>
      <c r="J119" s="47">
        <v>10</v>
      </c>
      <c r="L119" s="21">
        <v>7380</v>
      </c>
    </row>
    <row r="120" spans="1:12" s="23" customFormat="1" ht="15.75">
      <c r="A120" s="65" t="s">
        <v>251</v>
      </c>
      <c r="B120" s="150" t="s">
        <v>297</v>
      </c>
      <c r="C120" s="64"/>
      <c r="D120" s="64">
        <v>2</v>
      </c>
      <c r="E120" s="60">
        <v>1</v>
      </c>
      <c r="F120" s="30">
        <v>2.92</v>
      </c>
      <c r="G120" s="30">
        <f t="shared" si="5"/>
        <v>2.92</v>
      </c>
      <c r="H120" s="137" t="s">
        <v>298</v>
      </c>
      <c r="I120" s="127" t="s">
        <v>172</v>
      </c>
      <c r="J120" s="47">
        <v>10</v>
      </c>
      <c r="K120" s="21">
        <v>933</v>
      </c>
      <c r="L120" s="21"/>
    </row>
    <row r="121" spans="1:12" s="23" customFormat="1" ht="15.75">
      <c r="A121" s="65" t="s">
        <v>251</v>
      </c>
      <c r="B121" s="64" t="s">
        <v>299</v>
      </c>
      <c r="C121" s="64"/>
      <c r="D121" s="64">
        <v>44</v>
      </c>
      <c r="E121" s="60">
        <v>5</v>
      </c>
      <c r="F121" s="30">
        <v>3.21</v>
      </c>
      <c r="G121" s="30">
        <f t="shared" si="5"/>
        <v>16.05</v>
      </c>
      <c r="H121" s="137" t="s">
        <v>300</v>
      </c>
      <c r="I121" s="127" t="s">
        <v>172</v>
      </c>
      <c r="J121" s="47">
        <v>10</v>
      </c>
      <c r="K121" s="21">
        <v>933</v>
      </c>
      <c r="L121" s="21"/>
    </row>
    <row r="122" spans="1:12" s="23" customFormat="1" ht="15.75">
      <c r="A122" s="65" t="s">
        <v>251</v>
      </c>
      <c r="B122" s="64" t="s">
        <v>301</v>
      </c>
      <c r="C122" s="64"/>
      <c r="D122" s="64">
        <v>17</v>
      </c>
      <c r="E122" s="60">
        <v>2</v>
      </c>
      <c r="F122" s="30">
        <v>3.57</v>
      </c>
      <c r="G122" s="30">
        <f t="shared" si="5"/>
        <v>7.14</v>
      </c>
      <c r="H122" s="137" t="s">
        <v>302</v>
      </c>
      <c r="I122" s="127" t="s">
        <v>172</v>
      </c>
      <c r="J122" s="47">
        <v>10</v>
      </c>
      <c r="K122" s="21">
        <v>933</v>
      </c>
      <c r="L122" s="21"/>
    </row>
    <row r="123" spans="1:12" s="23" customFormat="1" ht="15.75">
      <c r="A123" s="29" t="s">
        <v>251</v>
      </c>
      <c r="B123" s="76" t="s">
        <v>303</v>
      </c>
      <c r="C123" s="54"/>
      <c r="D123" s="21">
        <v>16</v>
      </c>
      <c r="E123" s="60">
        <v>2</v>
      </c>
      <c r="F123" s="30">
        <v>2.59</v>
      </c>
      <c r="G123" s="30">
        <f t="shared" si="5"/>
        <v>5.18</v>
      </c>
      <c r="H123" s="137" t="s">
        <v>304</v>
      </c>
      <c r="I123" s="127" t="s">
        <v>172</v>
      </c>
      <c r="J123" s="47">
        <v>10</v>
      </c>
      <c r="K123" s="59"/>
      <c r="L123" s="59">
        <v>7380</v>
      </c>
    </row>
    <row r="124" spans="1:12" s="23" customFormat="1" ht="15.75">
      <c r="A124" s="29" t="s">
        <v>305</v>
      </c>
      <c r="B124" s="22" t="s">
        <v>306</v>
      </c>
      <c r="C124" s="21"/>
      <c r="D124" s="59">
        <v>1</v>
      </c>
      <c r="E124" s="60">
        <v>1</v>
      </c>
      <c r="F124" s="30">
        <v>2.84</v>
      </c>
      <c r="G124" s="30">
        <f t="shared" si="5"/>
        <v>2.84</v>
      </c>
      <c r="H124" s="134" t="s">
        <v>307</v>
      </c>
      <c r="I124" s="147" t="s">
        <v>172</v>
      </c>
      <c r="J124" s="47">
        <v>10</v>
      </c>
      <c r="K124" s="59"/>
      <c r="L124" s="59"/>
    </row>
    <row r="125" spans="1:12" s="23" customFormat="1" ht="15.75">
      <c r="A125" s="29" t="s">
        <v>305</v>
      </c>
      <c r="B125" s="150" t="s">
        <v>308</v>
      </c>
      <c r="C125" s="64"/>
      <c r="D125" s="59">
        <v>6</v>
      </c>
      <c r="E125" s="60">
        <v>1</v>
      </c>
      <c r="F125" s="30">
        <v>10.36</v>
      </c>
      <c r="G125" s="30">
        <f t="shared" si="5"/>
        <v>10.36</v>
      </c>
      <c r="H125" s="25" t="s">
        <v>309</v>
      </c>
      <c r="I125" s="146" t="s">
        <v>310</v>
      </c>
      <c r="J125" s="47">
        <v>20</v>
      </c>
      <c r="K125" s="59"/>
      <c r="L125" s="59"/>
    </row>
    <row r="126" spans="1:12" s="23" customFormat="1" ht="15.75">
      <c r="A126" s="65" t="s">
        <v>305</v>
      </c>
      <c r="B126" s="150" t="s">
        <v>311</v>
      </c>
      <c r="C126" s="54"/>
      <c r="D126" s="59">
        <v>6</v>
      </c>
      <c r="E126" s="60">
        <v>1</v>
      </c>
      <c r="F126" s="30">
        <v>11.78</v>
      </c>
      <c r="G126" s="30">
        <f t="shared" si="5"/>
        <v>11.78</v>
      </c>
      <c r="H126" s="25" t="s">
        <v>312</v>
      </c>
      <c r="I126" s="146" t="s">
        <v>310</v>
      </c>
      <c r="J126" s="47">
        <v>20</v>
      </c>
      <c r="K126" s="59"/>
      <c r="L126" s="59"/>
    </row>
    <row r="127" spans="1:12" s="23" customFormat="1" ht="15.75">
      <c r="A127" s="29" t="s">
        <v>305</v>
      </c>
      <c r="B127" s="150" t="s">
        <v>313</v>
      </c>
      <c r="C127" s="64"/>
      <c r="D127" s="59">
        <v>4</v>
      </c>
      <c r="E127" s="60">
        <v>1</v>
      </c>
      <c r="F127" s="30">
        <v>10.08</v>
      </c>
      <c r="G127" s="30">
        <f t="shared" si="5"/>
        <v>10.08</v>
      </c>
      <c r="H127" s="25" t="s">
        <v>314</v>
      </c>
      <c r="I127" s="146" t="s">
        <v>310</v>
      </c>
      <c r="J127" s="47">
        <v>20</v>
      </c>
      <c r="K127" s="59"/>
      <c r="L127" s="59"/>
    </row>
    <row r="128" spans="1:12" s="23" customFormat="1" ht="15.75">
      <c r="A128" s="29" t="s">
        <v>305</v>
      </c>
      <c r="B128" s="150" t="s">
        <v>315</v>
      </c>
      <c r="C128" s="64"/>
      <c r="D128" s="59">
        <v>8</v>
      </c>
      <c r="E128" s="60">
        <v>1</v>
      </c>
      <c r="F128" s="30">
        <v>12.42</v>
      </c>
      <c r="G128" s="30">
        <f t="shared" si="5"/>
        <v>12.42</v>
      </c>
      <c r="H128" s="25" t="s">
        <v>316</v>
      </c>
      <c r="I128" s="146" t="s">
        <v>310</v>
      </c>
      <c r="J128" s="47">
        <v>20</v>
      </c>
      <c r="K128" s="59"/>
      <c r="L128" s="59"/>
    </row>
    <row r="129" spans="1:12" s="23" customFormat="1" ht="15.75">
      <c r="A129" s="29" t="s">
        <v>305</v>
      </c>
      <c r="B129" s="21" t="s">
        <v>317</v>
      </c>
      <c r="C129" s="22">
        <v>400</v>
      </c>
      <c r="D129" s="59">
        <v>1</v>
      </c>
      <c r="E129" s="60">
        <v>1</v>
      </c>
      <c r="F129" s="30">
        <v>5.92</v>
      </c>
      <c r="G129" s="30">
        <f t="shared" si="5"/>
        <v>5.92</v>
      </c>
      <c r="H129" s="25" t="s">
        <v>318</v>
      </c>
      <c r="I129" s="146" t="s">
        <v>319</v>
      </c>
      <c r="J129" s="47">
        <v>1</v>
      </c>
      <c r="K129" s="59"/>
      <c r="L129" s="59"/>
    </row>
    <row r="130" spans="1:12" s="23" customFormat="1" ht="15.75">
      <c r="A130" s="29" t="s">
        <v>320</v>
      </c>
      <c r="B130" s="22" t="s">
        <v>321</v>
      </c>
      <c r="C130" s="54"/>
      <c r="D130" s="59">
        <v>2</v>
      </c>
      <c r="E130" s="60">
        <v>1</v>
      </c>
      <c r="F130" s="30">
        <v>12.84</v>
      </c>
      <c r="G130" s="30">
        <f t="shared" si="5"/>
        <v>12.84</v>
      </c>
      <c r="H130" s="25" t="s">
        <v>322</v>
      </c>
      <c r="I130" s="131" t="s">
        <v>323</v>
      </c>
      <c r="J130" s="47">
        <v>10</v>
      </c>
      <c r="K130" s="93"/>
      <c r="L130" s="21"/>
    </row>
    <row r="131" spans="1:12" s="23" customFormat="1" ht="15.75">
      <c r="A131" s="165" t="s">
        <v>324</v>
      </c>
      <c r="B131" s="74" t="s">
        <v>325</v>
      </c>
      <c r="C131" s="77"/>
      <c r="D131" s="77">
        <v>1</v>
      </c>
      <c r="E131" s="78">
        <v>1</v>
      </c>
      <c r="F131" s="79">
        <v>68</v>
      </c>
      <c r="G131" s="79">
        <f t="shared" si="5"/>
        <v>68</v>
      </c>
      <c r="H131" s="25" t="s">
        <v>326</v>
      </c>
      <c r="I131" s="166" t="s">
        <v>327</v>
      </c>
      <c r="J131" s="167">
        <v>1</v>
      </c>
      <c r="K131" s="77"/>
      <c r="L131" s="77"/>
    </row>
    <row r="132" spans="1:12" s="23" customFormat="1" ht="15.75">
      <c r="A132" s="29" t="s">
        <v>324</v>
      </c>
      <c r="B132" s="144" t="s">
        <v>328</v>
      </c>
      <c r="C132" s="62"/>
      <c r="D132" s="62">
        <v>1</v>
      </c>
      <c r="E132" s="60">
        <v>1</v>
      </c>
      <c r="F132" s="30">
        <v>35.42</v>
      </c>
      <c r="G132" s="30">
        <f t="shared" si="5"/>
        <v>35.42</v>
      </c>
      <c r="H132" s="25" t="s">
        <v>329</v>
      </c>
      <c r="I132" s="146" t="s">
        <v>330</v>
      </c>
      <c r="J132" s="47">
        <v>1</v>
      </c>
      <c r="K132" s="21"/>
      <c r="L132" s="21"/>
    </row>
    <row r="133" spans="1:12" s="23" customFormat="1" ht="15.75">
      <c r="A133" s="29" t="s">
        <v>324</v>
      </c>
      <c r="B133" s="1" t="s">
        <v>331</v>
      </c>
      <c r="C133" s="1"/>
      <c r="D133" s="24">
        <v>1</v>
      </c>
      <c r="E133" s="24">
        <v>1</v>
      </c>
      <c r="F133" s="30">
        <v>18</v>
      </c>
      <c r="G133" s="30">
        <f t="shared" si="5"/>
        <v>18</v>
      </c>
      <c r="H133" s="25" t="s">
        <v>332</v>
      </c>
      <c r="I133" s="146" t="s">
        <v>29</v>
      </c>
      <c r="J133" s="47">
        <v>1</v>
      </c>
      <c r="K133" s="21"/>
      <c r="L133" s="21"/>
    </row>
    <row r="134" spans="1:12" s="23" customFormat="1" ht="15.75">
      <c r="A134" s="29" t="s">
        <v>324</v>
      </c>
      <c r="B134" s="22" t="s">
        <v>333</v>
      </c>
      <c r="C134" s="54"/>
      <c r="D134" s="62">
        <v>1</v>
      </c>
      <c r="E134" s="60">
        <v>1</v>
      </c>
      <c r="F134" s="30">
        <v>48</v>
      </c>
      <c r="G134" s="30">
        <f t="shared" si="5"/>
        <v>48</v>
      </c>
      <c r="H134" s="25" t="s">
        <v>334</v>
      </c>
      <c r="I134" s="146" t="s">
        <v>335</v>
      </c>
      <c r="J134" s="47">
        <v>1</v>
      </c>
      <c r="K134" s="21"/>
      <c r="L134" s="21"/>
    </row>
    <row r="135" spans="1:12" s="23" customFormat="1" ht="15.75">
      <c r="A135" s="29" t="s">
        <v>324</v>
      </c>
      <c r="B135" s="32" t="s">
        <v>336</v>
      </c>
      <c r="C135" s="54"/>
      <c r="D135" s="62">
        <v>1</v>
      </c>
      <c r="E135" s="60">
        <v>1</v>
      </c>
      <c r="F135" s="30">
        <v>1.48</v>
      </c>
      <c r="G135" s="30">
        <f t="shared" si="5"/>
        <v>1.48</v>
      </c>
      <c r="H135" s="25" t="s">
        <v>337</v>
      </c>
      <c r="I135" s="146" t="s">
        <v>29</v>
      </c>
      <c r="J135" s="47">
        <v>1</v>
      </c>
      <c r="K135" s="21"/>
      <c r="L135" s="21"/>
    </row>
    <row r="136" spans="1:12" s="23" customFormat="1" ht="15.75">
      <c r="A136" s="29" t="s">
        <v>324</v>
      </c>
      <c r="B136" s="4" t="s">
        <v>338</v>
      </c>
      <c r="C136" s="54"/>
      <c r="D136" s="62">
        <v>1</v>
      </c>
      <c r="E136" s="60">
        <v>1</v>
      </c>
      <c r="F136" s="30">
        <v>2.17</v>
      </c>
      <c r="G136" s="30">
        <f t="shared" si="5"/>
        <v>2.17</v>
      </c>
      <c r="H136" s="25" t="s">
        <v>339</v>
      </c>
      <c r="I136" s="146" t="s">
        <v>29</v>
      </c>
      <c r="J136" s="47">
        <v>1</v>
      </c>
      <c r="K136" s="21"/>
      <c r="L136" s="21"/>
    </row>
    <row r="137" spans="1:12" s="23" customFormat="1" ht="15.75">
      <c r="A137" s="29" t="s">
        <v>324</v>
      </c>
      <c r="B137" s="22" t="s">
        <v>340</v>
      </c>
      <c r="C137" s="54"/>
      <c r="D137" s="62">
        <v>1</v>
      </c>
      <c r="E137" s="60">
        <v>1</v>
      </c>
      <c r="F137" s="30">
        <v>10.62</v>
      </c>
      <c r="G137" s="30">
        <f t="shared" si="5"/>
        <v>10.62</v>
      </c>
      <c r="H137" s="25" t="s">
        <v>341</v>
      </c>
      <c r="I137" s="129" t="s">
        <v>29</v>
      </c>
      <c r="J137" s="47">
        <v>1</v>
      </c>
      <c r="K137" s="21"/>
      <c r="L137" s="21"/>
    </row>
    <row r="138" spans="1:12" s="23" customFormat="1" ht="15.75">
      <c r="A138" s="29" t="s">
        <v>324</v>
      </c>
      <c r="B138" s="1" t="s">
        <v>342</v>
      </c>
      <c r="C138" s="54"/>
      <c r="D138" s="62">
        <v>1</v>
      </c>
      <c r="E138" s="60">
        <v>1</v>
      </c>
      <c r="F138" s="30">
        <v>10</v>
      </c>
      <c r="G138" s="30">
        <f t="shared" si="5"/>
        <v>10</v>
      </c>
      <c r="H138" s="25" t="s">
        <v>343</v>
      </c>
      <c r="I138" s="132" t="s">
        <v>344</v>
      </c>
      <c r="J138" s="47">
        <v>5</v>
      </c>
      <c r="K138" s="21"/>
      <c r="L138" s="21"/>
    </row>
    <row r="139" spans="1:12" s="23" customFormat="1" ht="15.75">
      <c r="A139" s="29" t="s">
        <v>345</v>
      </c>
      <c r="B139" s="61" t="s">
        <v>346</v>
      </c>
      <c r="C139" s="61"/>
      <c r="D139" s="59">
        <v>32</v>
      </c>
      <c r="E139" s="60">
        <v>1</v>
      </c>
      <c r="F139" s="30">
        <v>3.26</v>
      </c>
      <c r="G139" s="30">
        <f t="shared" si="5"/>
        <v>3.26</v>
      </c>
      <c r="H139" s="137" t="s">
        <v>347</v>
      </c>
      <c r="I139" s="147" t="s">
        <v>172</v>
      </c>
      <c r="J139" s="47">
        <v>50</v>
      </c>
      <c r="K139" s="21">
        <v>988</v>
      </c>
      <c r="L139" s="21">
        <v>10642</v>
      </c>
    </row>
    <row r="140" spans="1:12" s="23" customFormat="1" ht="15.75">
      <c r="A140" s="29" t="s">
        <v>345</v>
      </c>
      <c r="B140" s="97" t="s">
        <v>348</v>
      </c>
      <c r="C140" s="22"/>
      <c r="D140" s="59">
        <v>36</v>
      </c>
      <c r="E140" s="60">
        <v>1</v>
      </c>
      <c r="F140" s="30">
        <v>2.87</v>
      </c>
      <c r="G140" s="30">
        <f t="shared" si="5"/>
        <v>2.87</v>
      </c>
      <c r="H140" s="137" t="s">
        <v>349</v>
      </c>
      <c r="I140" s="147" t="s">
        <v>172</v>
      </c>
      <c r="J140" s="47">
        <v>50</v>
      </c>
      <c r="K140" s="21">
        <v>988</v>
      </c>
      <c r="L140" s="21">
        <v>7380</v>
      </c>
    </row>
    <row r="141" spans="1:12" s="23" customFormat="1" ht="15.75">
      <c r="A141" s="29" t="s">
        <v>345</v>
      </c>
      <c r="B141" s="22" t="s">
        <v>350</v>
      </c>
      <c r="C141" s="22"/>
      <c r="D141" s="59">
        <v>2</v>
      </c>
      <c r="E141" s="60">
        <v>1</v>
      </c>
      <c r="F141" s="30">
        <v>2.84</v>
      </c>
      <c r="G141" s="30">
        <f t="shared" si="5"/>
        <v>2.84</v>
      </c>
      <c r="H141" s="137" t="s">
        <v>351</v>
      </c>
      <c r="I141" s="147" t="s">
        <v>172</v>
      </c>
      <c r="J141" s="47">
        <v>50</v>
      </c>
      <c r="K141" s="93">
        <v>988</v>
      </c>
      <c r="L141" s="21"/>
    </row>
    <row r="142" spans="1:12" s="23" customFormat="1" ht="15.75">
      <c r="A142" s="65" t="s">
        <v>345</v>
      </c>
      <c r="B142" s="61" t="s">
        <v>352</v>
      </c>
      <c r="C142" s="61"/>
      <c r="D142" s="59">
        <v>88</v>
      </c>
      <c r="E142" s="60">
        <v>2</v>
      </c>
      <c r="F142" s="30">
        <v>2.0099999999999998</v>
      </c>
      <c r="G142" s="30">
        <f t="shared" si="5"/>
        <v>4.0199999999999996</v>
      </c>
      <c r="H142" s="25" t="s">
        <v>353</v>
      </c>
      <c r="I142" s="127" t="s">
        <v>172</v>
      </c>
      <c r="J142" s="47">
        <v>50</v>
      </c>
      <c r="K142" s="21">
        <v>125</v>
      </c>
      <c r="L142" s="21"/>
    </row>
    <row r="143" spans="1:12" s="23" customFormat="1" ht="15.75">
      <c r="A143" s="65" t="s">
        <v>345</v>
      </c>
      <c r="B143" s="22" t="s">
        <v>354</v>
      </c>
      <c r="C143" s="21"/>
      <c r="D143" s="21">
        <v>13</v>
      </c>
      <c r="E143" s="60">
        <v>1</v>
      </c>
      <c r="F143" s="30">
        <v>2.5</v>
      </c>
      <c r="G143" s="30">
        <f t="shared" si="5"/>
        <v>2.5</v>
      </c>
      <c r="H143" s="25" t="s">
        <v>355</v>
      </c>
      <c r="I143" s="127" t="s">
        <v>172</v>
      </c>
      <c r="J143" s="47">
        <v>50</v>
      </c>
      <c r="K143" s="59">
        <v>25</v>
      </c>
      <c r="L143" s="59"/>
    </row>
    <row r="144" spans="1:12" s="23" customFormat="1" ht="15.75">
      <c r="A144" s="80" t="s">
        <v>345</v>
      </c>
      <c r="B144" s="81" t="s">
        <v>356</v>
      </c>
      <c r="C144" s="81"/>
      <c r="D144" s="82">
        <v>183</v>
      </c>
      <c r="E144" s="83">
        <v>4</v>
      </c>
      <c r="F144" s="84">
        <v>2.67</v>
      </c>
      <c r="G144" s="84">
        <f t="shared" si="5"/>
        <v>10.68</v>
      </c>
      <c r="H144" s="138" t="s">
        <v>357</v>
      </c>
      <c r="I144" s="133" t="s">
        <v>172</v>
      </c>
      <c r="J144" s="47">
        <v>50</v>
      </c>
      <c r="K144" s="21">
        <v>125</v>
      </c>
      <c r="L144" s="21"/>
    </row>
    <row r="145" spans="1:12" s="21" customFormat="1" ht="15.75">
      <c r="A145" s="87" t="s">
        <v>358</v>
      </c>
      <c r="B145" s="88"/>
      <c r="C145" s="88"/>
      <c r="D145" s="89"/>
      <c r="E145" s="89"/>
      <c r="F145" s="90"/>
      <c r="G145" s="91">
        <f>SUBTOTAL(109,Table1321[*Cost Price $USD])</f>
        <v>2333.8600000000006</v>
      </c>
      <c r="H145" s="92" t="s">
        <v>359</v>
      </c>
      <c r="I145" s="139"/>
      <c r="J145" s="85"/>
      <c r="K145" s="86"/>
      <c r="L145" s="85"/>
    </row>
    <row r="146" spans="1:12" s="21" customFormat="1">
      <c r="F146" s="26"/>
      <c r="G146" s="22"/>
      <c r="H146"/>
      <c r="K146" s="168"/>
    </row>
    <row r="147" spans="1:12" s="21" customFormat="1">
      <c r="F147" s="26"/>
      <c r="H147"/>
      <c r="K147" s="168"/>
    </row>
  </sheetData>
  <hyperlinks>
    <hyperlink ref="J6" r:id="rId1" display="Color: Buffer 14inch 35cm" xr:uid="{A45C1E65-4D2C-4E50-A96D-C3609389891E}"/>
    <hyperlink ref="J76" r:id="rId2" display="https://s.click.aliexpress.com/e/_c3L3d1ir" xr:uid="{AEFB707D-A1AE-4EFB-B9AF-075A426325F3}"/>
    <hyperlink ref="H63" r:id="rId3" display="W: 9mm-EPDM L: 5M" xr:uid="{8547EB01-111D-4369-8F6F-6D71E163457E}"/>
    <hyperlink ref="H7" r:id="rId4" xr:uid="{DCB991D1-6060-4115-8549-0F88BF037265}"/>
    <hyperlink ref="H139" r:id="rId5" xr:uid="{27E41D46-C6ED-4D48-B23F-D522BD1B8CAD}"/>
    <hyperlink ref="H12:H13" r:id="rId6" display="https://www.aliexpress.com/item/1005010042779749.html" xr:uid="{83FF34FE-EF9B-4920-90F5-2E0883376D67}"/>
    <hyperlink ref="H65" r:id="rId7" display="Color: 6PCS" xr:uid="{83110E66-78FF-482A-A936-8F1BF7578A3C}"/>
    <hyperlink ref="H58" r:id="rId8" xr:uid="{165F55F9-93B5-4C34-AB3E-2D5640BE01F4}"/>
    <hyperlink ref="H6" r:id="rId9" display="https://www.aliexpress.com/item/4001085251691.html" xr:uid="{6FC7652C-4336-480C-B2E7-E04728B15743}"/>
    <hyperlink ref="H5" r:id="rId10" display="688ZZ" xr:uid="{E47035C0-0384-4F36-8610-B86A56A6353C}"/>
    <hyperlink ref="H4" r:id="rId11" display="F606ZZ" xr:uid="{7A42191B-CFDD-4A32-8150-88F26E71C9AC}"/>
    <hyperlink ref="H2" r:id="rId12" xr:uid="{79950C8E-6C0D-43A7-9D36-8F08E49E0336}"/>
    <hyperlink ref="H132" r:id="rId13" xr:uid="{96A70493-75D0-4733-A3CA-6179A33F98AC}"/>
    <hyperlink ref="H13" r:id="rId14" xr:uid="{87783477-33AB-4F63-96D6-84FFA77C3655}"/>
    <hyperlink ref="H77" r:id="rId15" display="C: 30x30" xr:uid="{606973F0-66B4-48E0-9052-7FF9AC915346}"/>
    <hyperlink ref="H25" r:id="rId16" xr:uid="{9E6D60F7-4FD8-4383-A6FD-19E6F8255EF5}"/>
    <hyperlink ref="H94" r:id="rId17" display="https://s.click.aliexpress.com/e/_c3suoWc5" xr:uid="{171176F6-4231-406A-9168-9A596B642215}"/>
    <hyperlink ref="H80" r:id="rId18" xr:uid="{0241C0AB-3D65-413B-8BA6-3B272D19AC35}"/>
    <hyperlink ref="H19" r:id="rId19" xr:uid="{52ADCB77-FF0E-42E8-AC3C-EF1C337A8CEE}"/>
    <hyperlink ref="H8" r:id="rId20" display="Color: L400 - MGN12H" xr:uid="{38BCC57D-FD03-4471-B927-A7E12E3DB518}"/>
    <hyperlink ref="H9" r:id="rId21" display="Color: L400 - MGN12H" xr:uid="{BD6A1B04-1DB5-4668-9226-2B16CD7A0FF8}"/>
    <hyperlink ref="H10" r:id="rId22" display="Color: L400 - MGN12H" xr:uid="{84FFEA79-873A-463E-9519-EA26805DD99E}"/>
    <hyperlink ref="H24" r:id="rId23" display="Color: 17HS19-2504S-H-V1" xr:uid="{63EC9369-3A56-4A55-ADB6-E63DA70C5687}"/>
    <hyperlink ref="H23" r:id="rId24" display="Color: 17HS16 2004S1" xr:uid="{982DA236-4666-4A0F-ABF1-9B4663B545D1}"/>
    <hyperlink ref="H140" r:id="rId25" display="M6x12x1mm -50PCS" xr:uid="{A89E7AD8-F920-4AF5-B677-81DF07FB2B6D}"/>
    <hyperlink ref="H3" r:id="rId26" display="688ZZ" xr:uid="{67E8D5C1-A156-413D-AF31-8133207133A7}"/>
    <hyperlink ref="H127" r:id="rId27" xr:uid="{960B587A-C345-41F8-9F00-5A72468B4E5D}"/>
    <hyperlink ref="H128" r:id="rId28" display="6x25 - 20PCS" xr:uid="{C587A070-5E91-4470-9462-B26505335891}"/>
    <hyperlink ref="H126" r:id="rId29" display="5x50 - 20PCS" xr:uid="{E2BC9294-BE45-4337-94D9-D1A7EB5D4876}"/>
    <hyperlink ref="H129" r:id="rId30" xr:uid="{5DF1E2A3-6063-41FD-B02D-4A4F1F17507D}"/>
    <hyperlink ref="H93" r:id="rId31" display="500mm - 20x20x1mm" xr:uid="{D204D176-2E62-40E3-82BF-401F19A0D89A}"/>
    <hyperlink ref="H59" r:id="rId32" display="9mm-EPDM 5M" xr:uid="{D3872713-B062-4A7C-ADB1-EF62ABB53482}"/>
    <hyperlink ref="H60" r:id="rId33" display="5mm-Pulley 26T" xr:uid="{90074162-A7AA-4715-B971-FF9CE46FAD99}"/>
    <hyperlink ref="H68" r:id="rId34" display="S: M3 - Color: 100PCS" xr:uid="{6449E8A0-482C-470E-97D7-EF72A2F2A913}"/>
    <hyperlink ref="H109" r:id="rId35" xr:uid="{6EB531E8-C3FE-4D01-8D5C-97575E119FCC}"/>
    <hyperlink ref="H114" r:id="rId36" xr:uid="{91B40BE5-71A5-4A12-84CC-1243069DE4B2}"/>
    <hyperlink ref="H70" r:id="rId37" xr:uid="{78488DAB-B700-44AA-A232-44B7D5C2B043}"/>
    <hyperlink ref="H144" r:id="rId38" display="ID: M5(100PCS)" xr:uid="{D89841D5-DE86-4EF3-A46E-87C4608B9CB4}"/>
    <hyperlink ref="H118" r:id="rId39" display="https://www.aliexpress.com/item/1005008848776055.html" xr:uid="{7702497C-D29A-4776-9646-42512A281763}"/>
    <hyperlink ref="H112" r:id="rId40" display="S: 10PCS M4 - L: 35" xr:uid="{EEAD0EA0-423E-407A-8EED-083AE2165F0E}"/>
    <hyperlink ref="H124" r:id="rId41" xr:uid="{62AD37E9-A9DA-4CA1-A9DB-A74CBED013B4}"/>
    <hyperlink ref="H84" r:id="rId42" display="500mm - 20x20x1mm" xr:uid="{6064A7A7-4811-4867-831D-5DD621C8F26F}"/>
    <hyperlink ref="H130" r:id="rId43" xr:uid="{B943D4B9-8B39-41E3-AF1C-D92FC272CF39}"/>
    <hyperlink ref="H62" r:id="rId44" display="BD: 5mm BW: 10mm N: 5PCS" xr:uid="{48A1A5F5-9613-43F0-AB8A-D09C3DDA1C3B}"/>
    <hyperlink ref="H61" r:id="rId45" xr:uid="{C6EC4DA3-1FE8-42F5-AF13-426B397564D6}"/>
    <hyperlink ref="H87" r:id="rId46" xr:uid="{0C02753A-60E1-4368-AD8A-ED26844E80A1}"/>
    <hyperlink ref="H86" r:id="rId47" display="Color: 420 mm" xr:uid="{0E8E3DCA-6FE1-423A-9C75-E7E7B690BDB7}"/>
    <hyperlink ref="H88" r:id="rId48" display="Color: L 368mm - 2020" xr:uid="{E9E961A2-7ED9-40FE-ABB1-92D1495A6058}"/>
    <hyperlink ref="H90" r:id="rId49" display="Color: 420 mm" xr:uid="{70CC92A1-3489-49FF-A305-EA4BEBA40EE8}"/>
    <hyperlink ref="H91" r:id="rId50" display="Color: 420 mm" xr:uid="{C2D7AC6A-2B7A-4CF5-B4C9-0F3C2D52367F}"/>
    <hyperlink ref="H92" r:id="rId51" display="Color: 420 mm" xr:uid="{A4259B2C-35E6-4E18-9A22-B39EA6E8A3E3}"/>
    <hyperlink ref="H89" r:id="rId52" display="Color: 4x10PCS 2028 Silver" xr:uid="{C93219CF-4D32-482A-8275-37C1A02D7B04}"/>
    <hyperlink ref="H85" r:id="rId53" display="Color: 1x2020 (4pcs)" xr:uid="{4F3C13A1-F52F-4206-900C-B4E77902BF50}"/>
    <hyperlink ref="H20" r:id="rId54" display="300x300 750W - 120VAC/220VAC" xr:uid="{CEFC505C-03F9-43E8-B793-CAA5CFF42081}"/>
    <hyperlink ref="H14" r:id="rId55" display="https://www.aliexpress.com/item/1005003495377989.html" xr:uid="{53405AEA-9397-4AE8-B810-7AEBBF316A57}"/>
    <hyperlink ref="H131" r:id="rId56" xr:uid="{3B1014CC-EECD-463A-9B67-F6D6371D1C92}"/>
    <hyperlink ref="H16" r:id="rId57" xr:uid="{6308B7F3-791E-4EE3-8A90-FF14B0C92347}"/>
    <hyperlink ref="H17" r:id="rId58" display="Color: 10Pin" xr:uid="{862B1710-40DD-4D45-8591-8540A1F3795D}"/>
    <hyperlink ref="H21" r:id="rId59" xr:uid="{F18AAE1C-3310-4534-A2A0-FD276F0CB471}"/>
    <hyperlink ref="H22" r:id="rId60" xr:uid="{D225820F-DD6F-47AC-B161-59F21384AEB1}"/>
    <hyperlink ref="H69" r:id="rId61" xr:uid="{A1C476E8-4C0A-416C-895F-CB0FF4CF4DA2}"/>
    <hyperlink ref="H76" r:id="rId62" xr:uid="{C6F7896B-3895-437C-B832-E4CE37CFA899}"/>
    <hyperlink ref="H95" r:id="rId63" xr:uid="{400AB169-DF3B-458B-B4BC-D325DD62A206}"/>
    <hyperlink ref="H125" r:id="rId64" display="5x50 - 20PCS" xr:uid="{4E84AE98-52E0-42C1-9368-357566ADE35E}"/>
    <hyperlink ref="H142" r:id="rId65" xr:uid="{18DA0DDC-EFC4-469D-9FB9-5EDF23E44C1F}"/>
    <hyperlink ref="H101" r:id="rId66" xr:uid="{42D5885D-D05C-4C8F-A0A6-31196BC8A998}"/>
    <hyperlink ref="H143" r:id="rId67" display="ID: M4(100PCS)" xr:uid="{B2777790-305B-4258-B27E-0B0510452C92}"/>
    <hyperlink ref="H110" r:id="rId68" xr:uid="{E30EE4AB-92BC-47EC-8B87-851649ADA300}"/>
    <hyperlink ref="H115" r:id="rId69" xr:uid="{5BE91CE9-3DDA-46F2-B5E0-34464497242A}"/>
    <hyperlink ref="H116" r:id="rId70" display="S: 10pcs M5 - L: 10mm" xr:uid="{9EF647D7-AE79-4758-903A-ED27EAD2484C}"/>
    <hyperlink ref="H117" r:id="rId71" display="S: 10pcs M5 - L: 10mm" xr:uid="{639FCC7E-D9C2-4EA7-AE47-19FB48D156C7}"/>
    <hyperlink ref="H119" r:id="rId72" display="S: 10pcs M5 - L: 10mm" xr:uid="{EBB69F9E-0C12-4E8C-AC83-B56049138C2E}"/>
    <hyperlink ref="H120" r:id="rId73" display="https://www.aliexpress.com/item/1005008848776055.html" xr:uid="{065EAEDB-D131-478B-8370-8C2E5646A41E}"/>
    <hyperlink ref="H121" r:id="rId74" display="https://www.aliexpress.com/item/1005008848776055.html" xr:uid="{98ED755C-0D14-4662-8A4F-2E49986E3D9B}"/>
    <hyperlink ref="H122" r:id="rId75" display="https://www.aliexpress.com/item/1005008848776055.html" xr:uid="{6BE4BDC7-9A08-4700-B501-17D2AA7DB2EE}"/>
    <hyperlink ref="H123" r:id="rId76" display="S: 10pcs M5 - L: 10mm" xr:uid="{DED82DCD-2FAA-4C81-9787-A3BB7443A197}"/>
    <hyperlink ref="H141" r:id="rId77" xr:uid="{C1232C0C-9B0D-4F15-9A17-88DD0F0B366E}"/>
    <hyperlink ref="H81" r:id="rId78" xr:uid="{6B342A7C-3223-441B-BA54-EB726DAE7228}"/>
    <hyperlink ref="H78" r:id="rId79" display="P16 RGB Silent Fan 120mm" xr:uid="{E4B8A3C8-371E-4D73-B3EC-96050B57F24F}"/>
    <hyperlink ref="H82" r:id="rId80" xr:uid="{EDBD9826-6B9E-46B8-AAB8-5C973DAABC96}"/>
    <hyperlink ref="H83" r:id="rId81" xr:uid="{8464A2DC-023A-4919-B297-2FDBBBD4D5B6}"/>
    <hyperlink ref="H79" r:id="rId82" xr:uid="{ECF57003-5ABF-4AD9-83DB-0628060DDD7B}"/>
    <hyperlink ref="H12" r:id="rId83" xr:uid="{097FDA04-D005-411A-B496-1BC475898E6F}"/>
    <hyperlink ref="H111" r:id="rId84" display="S: 10pcs M4 - L: 20mm" xr:uid="{C5826B9A-F771-46EF-9B2A-46E7597015A5}"/>
    <hyperlink ref="H113" r:id="rId85" display="S: 10pcs M4 - L: 20mm" xr:uid="{663B6ED5-C954-4DFD-AB9B-74D8830DCC67}"/>
    <hyperlink ref="H99" r:id="rId86" display="S: 10pcs M5 - L: 10mm" xr:uid="{8BCBDD54-C503-4A68-8616-51AB3BEA554B}"/>
    <hyperlink ref="H100" r:id="rId87" display="S: 10pcs M4 - L: 20mm" xr:uid="{6AAD8BA5-EC70-47FD-ACE5-B23DC37802DA}"/>
    <hyperlink ref="H102" r:id="rId88" display="S: 10pcs M3 - L: 8mm" xr:uid="{EA94F40A-3AF8-4F90-8F8B-18F229D3E320}"/>
    <hyperlink ref="H104" r:id="rId89" display="S: 10pcs M3 - L: 8mm" xr:uid="{8DA919EA-F0B5-4F30-99F9-DC086E0C9680}"/>
    <hyperlink ref="H106" r:id="rId90" display="S: 10pcs M3 - L: 8mm" xr:uid="{0F4A8E86-8F66-4D81-80B4-86F35EA862D9}"/>
    <hyperlink ref="H108" r:id="rId91" display="S: 10pcs M3 - L: 8mm" xr:uid="{3CDA4528-16EC-41F7-9A9D-351E96644BBA}"/>
    <hyperlink ref="H71" r:id="rId92" display="S: 25pcs M3" xr:uid="{E906F13E-EDC9-4892-9B18-79329B3CF0B7}"/>
    <hyperlink ref="H72" r:id="rId93" display="S: 10pcs M3" xr:uid="{71794BBC-CA39-4991-8CD1-307EFA2F836E}"/>
    <hyperlink ref="H74" r:id="rId94" display="S: 25pcs M3" xr:uid="{3131039F-B734-41A4-A204-A59C22ED9A57}"/>
    <hyperlink ref="H75" r:id="rId95" display="S: 10pcs M3" xr:uid="{F0B7A532-41BF-4348-B107-C1C26F684AC4}"/>
    <hyperlink ref="H66" r:id="rId96" display="https://s.click.aliexpress.com/e/_c3h7Zh5j" xr:uid="{C0116F09-FFC3-4E4E-8906-DA78E1D65DB9}"/>
    <hyperlink ref="H73" r:id="rId97" display="S: M3 - Color: 100PCS" xr:uid="{E80C8403-CA67-4B32-A81C-274DCBF027B6}"/>
    <hyperlink ref="H105" r:id="rId98" xr:uid="{3F8DDBEA-B7BB-4E3F-8466-A29F32CAF5D1}"/>
    <hyperlink ref="H133" r:id="rId99" xr:uid="{1C65B190-B877-4BEB-87D4-18BD33936E76}"/>
    <hyperlink ref="H134" r:id="rId100" xr:uid="{386B7278-E3B9-4DF0-B1C5-4005B9ADF7D4}"/>
    <hyperlink ref="H137" r:id="rId101" xr:uid="{09E8DC7A-1819-446C-B668-2580916B7F9F}"/>
    <hyperlink ref="H136" r:id="rId102" xr:uid="{888646B3-24C6-4409-9F44-77E56E7B7A8B}"/>
    <hyperlink ref="H135" r:id="rId103" display="Color: SET2" xr:uid="{52E04A98-B60B-4F15-8B05-408178C29178}"/>
    <hyperlink ref="H138" r:id="rId104" xr:uid="{BD4F34BF-BABC-43F5-BAB4-A3DF2FBBEDAB}"/>
    <hyperlink ref="H11" r:id="rId105" xr:uid="{8F819BE9-2369-4701-A38A-4CAAAAF7D828}"/>
    <hyperlink ref="H98" r:id="rId106" xr:uid="{FD857523-6A28-46A3-A3E9-9EC609DE7931}"/>
    <hyperlink ref="H97" r:id="rId107" xr:uid="{20046C27-ACC6-4E89-B149-345EDFAAC2D6}"/>
    <hyperlink ref="H107" r:id="rId108" display="https://www.aliexpress.com/item/1005004714550250.html?" xr:uid="{8E0A33B9-E206-4DB6-8F30-FE6E8DD914BF}"/>
    <hyperlink ref="H103" r:id="rId109" xr:uid="{330AC5D7-13FB-4E52-B95E-B580AC70C6B1}"/>
    <hyperlink ref="H64" r:id="rId110" xr:uid="{28376BAC-F087-487C-B2F0-7FF772C19284}"/>
    <hyperlink ref="H15" r:id="rId111" xr:uid="{F715A1CC-9CA1-442B-B658-7D77B0B5A47D}"/>
    <hyperlink ref="H18" r:id="rId112" xr:uid="{B2F77E2D-41DB-4334-9EF1-942450EAF1F0}"/>
    <hyperlink ref="H26" r:id="rId113" xr:uid="{4697CE9F-37A6-4EBE-B5CB-0B78D55AAF4A}"/>
    <hyperlink ref="H29" r:id="rId114" xr:uid="{BADCFAD1-27AD-4FC2-8F46-C04A1360F2D8}"/>
    <hyperlink ref="H30" r:id="rId115" xr:uid="{6B121041-A93E-47A9-944A-3A627E278258}"/>
    <hyperlink ref="H31" r:id="rId116" xr:uid="{D4B1DA1E-4846-4F4A-9BC5-CE5ABF7520A0}"/>
    <hyperlink ref="H37" r:id="rId117" xr:uid="{2B21CB21-157A-49F7-B2B5-2F1C9F8E6411}"/>
    <hyperlink ref="H33" r:id="rId118" xr:uid="{5D32C397-7AFE-4122-BE46-B36FFDF71890}"/>
    <hyperlink ref="H34" r:id="rId119" xr:uid="{3794AF2F-CC40-40C0-A070-5461966818B8}"/>
    <hyperlink ref="H35" r:id="rId120" xr:uid="{D4BDB1A2-A048-4EAD-B8FA-D5374824CC7C}"/>
    <hyperlink ref="H40" r:id="rId121" xr:uid="{C7B3D09D-EE0B-425C-87A5-2054DE685917}"/>
    <hyperlink ref="H36" r:id="rId122" xr:uid="{BC3B9D3E-7B7A-4C32-9BE6-07C092D57328}"/>
    <hyperlink ref="H41" r:id="rId123" xr:uid="{647B07C0-31E9-4F52-BEAE-F21124CE485C}"/>
    <hyperlink ref="H32" r:id="rId124" xr:uid="{C6036535-BBAD-4686-A216-4C5A14B3519D}"/>
    <hyperlink ref="H38" r:id="rId125" display="Color: Black - L: 5M - S: 24AWG" xr:uid="{FD94E789-F51F-47B9-99FE-39EB00339656}"/>
    <hyperlink ref="H39" r:id="rId126" display="Color: Black - L: 5M - S: 24AWG" xr:uid="{33053AC9-6732-4B4A-93DC-65BEC8CB8D63}"/>
    <hyperlink ref="H42" r:id="rId127" display="https://www.aliexpress.com/item/1005007376443518.html?" xr:uid="{1C3C086E-0886-4D17-B01B-476BDFB5FF95}"/>
    <hyperlink ref="H49" r:id="rId128" xr:uid="{9E56B61D-3D94-40A6-873E-D1EC559BA3B8}"/>
    <hyperlink ref="H48" r:id="rId129" xr:uid="{5D34AC5C-61D1-4876-A16D-0E2E72F6E01A}"/>
    <hyperlink ref="H53" r:id="rId130" display="https://www.digikey.co.nz/en/products/detail/te-connectivity-corcom-filters/1-1609112-2/2292077" xr:uid="{FE495711-5012-4CB3-86E1-430BB590F25E}"/>
    <hyperlink ref="H52" r:id="rId131" display="https://www.digikey.co.nz/en/products/detail/optifuse/PMA-DB-04-Q1S/13146953" xr:uid="{5DB56580-13E1-4753-8657-60F62B9670BE}"/>
    <hyperlink ref="H51" r:id="rId132" display="https://www.digikey.co.nz/en/products/detail/schurter-inc/8020-5078/6588337" xr:uid="{D716434F-96BF-4A26-B466-FF05D9C11228}"/>
    <hyperlink ref="H50" r:id="rId133" xr:uid="{94EE536E-1057-493B-B7FC-557614908FE9}"/>
    <hyperlink ref="H54" r:id="rId134" display="https://www.aliexpress.com/item/1005007567533885.html?" xr:uid="{47928692-95F8-432E-A6FC-1C08C7D78049}"/>
    <hyperlink ref="H55" r:id="rId135" xr:uid="{EAC50E0E-BECB-45E5-AD4B-3EFDBB8FF8A6}"/>
    <hyperlink ref="H56" r:id="rId136" xr:uid="{9008FD27-46CC-442D-B7F1-940E4267925E}"/>
    <hyperlink ref="H57" r:id="rId137" xr:uid="{F951F5EF-0183-46FD-ACF6-0831ED584BA5}"/>
    <hyperlink ref="H96" r:id="rId138" xr:uid="{FC5FF998-2236-4239-A1E8-2E263A1911D2}"/>
    <hyperlink ref="H43" r:id="rId139" xr:uid="{13A6BF78-0B33-499B-98F6-B3C4948AE96D}"/>
    <hyperlink ref="H44" r:id="rId140" xr:uid="{AFF701D0-1731-49B5-8101-8A2803F65D59}"/>
    <hyperlink ref="H45" r:id="rId141" xr:uid="{7ECBCDEC-1F6D-45A3-AEA3-1923B6C6EA2E}"/>
    <hyperlink ref="H46" r:id="rId142" display="https://www.aliexpress.com/item/32950061517.html?" xr:uid="{C0677D29-1183-4D38-AEC1-1EA1A576852E}"/>
    <hyperlink ref="H47" r:id="rId143" display="https://www.aliexpress.com/item/32950061517.html?" xr:uid="{969D89FE-A081-4790-BD95-00E7AB3F75EA}"/>
    <hyperlink ref="H27" r:id="rId144" display="Color: Brown L: 1M S: 18 AWG" xr:uid="{EDF38EC5-67D4-48C9-B6C3-79FA6ED002C3}"/>
    <hyperlink ref="H28" r:id="rId145" display="Color: Brown L: 1M S: 18 AWG" xr:uid="{CD758287-6157-49E7-BFD0-B4849E977BB4}"/>
    <hyperlink ref="H67" r:id="rId146" display="Buy Me a Coffee" xr:uid="{005F11D7-E1DB-43B7-A864-3E8FF567EF49}"/>
    <hyperlink ref="H67" r:id="rId147" xr:uid="{E718419F-5016-4877-8692-1D1A37C5CA24}"/>
  </hyperlinks>
  <printOptions horizontalCentered="1" verticalCentered="1"/>
  <pageMargins left="0.19685039370078741" right="0.19685039370078741" top="0.39370078740157483" bottom="0.39370078740157483" header="0.19685039370078741" footer="0.19685039370078741"/>
  <pageSetup paperSize="9" scale="52" fitToWidth="0" orientation="portrait" r:id="rId148"/>
  <headerFooter>
    <oddHeader>&amp;C&amp;"Aptos Black,Regular"&amp;14VALKYRIE V2 - HW BOM</oddHeader>
    <oddFooter>&amp;CBETA PRELEASE</oddFooter>
  </headerFooter>
  <tableParts count="1">
    <tablePart r:id="rId14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K23"/>
  <sheetViews>
    <sheetView view="pageLayout" zoomScaleNormal="100" workbookViewId="0">
      <selection activeCell="F1" sqref="F1"/>
    </sheetView>
  </sheetViews>
  <sheetFormatPr defaultColWidth="11" defaultRowHeight="15"/>
  <cols>
    <col min="1" max="1" width="15.5703125" style="15" bestFit="1" customWidth="1"/>
    <col min="2" max="2" width="27.140625" style="15" customWidth="1"/>
    <col min="3" max="3" width="16.7109375" style="15" bestFit="1" customWidth="1"/>
    <col min="4" max="4" width="8.85546875" bestFit="1" customWidth="1"/>
    <col min="5" max="5" width="8.7109375" style="15" customWidth="1"/>
    <col min="6" max="6" width="22.28515625" style="16" bestFit="1" customWidth="1"/>
    <col min="7" max="7" width="11.140625" style="15" bestFit="1" customWidth="1"/>
    <col min="8" max="16384" width="11" style="15"/>
  </cols>
  <sheetData>
    <row r="1" spans="1:9" s="2" customFormat="1" ht="30">
      <c r="A1" s="19" t="s">
        <v>360</v>
      </c>
      <c r="B1" s="33" t="s">
        <v>361</v>
      </c>
      <c r="C1" s="169" t="s">
        <v>362</v>
      </c>
      <c r="D1" s="169" t="s">
        <v>2</v>
      </c>
      <c r="E1" s="169" t="s">
        <v>363</v>
      </c>
      <c r="F1" s="98" t="s">
        <v>364</v>
      </c>
      <c r="G1" s="18" t="s">
        <v>365</v>
      </c>
    </row>
    <row r="2" spans="1:9">
      <c r="A2" s="20" t="s">
        <v>366</v>
      </c>
      <c r="B2" s="34" t="s">
        <v>367</v>
      </c>
      <c r="C2" s="1" t="s">
        <v>368</v>
      </c>
      <c r="D2" s="170">
        <v>420</v>
      </c>
      <c r="E2" s="1">
        <v>1</v>
      </c>
      <c r="F2" s="25" t="s">
        <v>225</v>
      </c>
      <c r="G2" s="116" t="s">
        <v>369</v>
      </c>
      <c r="H2" s="1"/>
      <c r="I2" s="1"/>
    </row>
    <row r="3" spans="1:9">
      <c r="A3" s="20" t="s">
        <v>370</v>
      </c>
      <c r="B3" s="34" t="s">
        <v>367</v>
      </c>
      <c r="C3" s="1" t="s">
        <v>371</v>
      </c>
      <c r="D3" s="170">
        <v>368</v>
      </c>
      <c r="E3" s="1">
        <v>1</v>
      </c>
      <c r="F3" s="25" t="s">
        <v>228</v>
      </c>
      <c r="G3" s="116" t="s">
        <v>372</v>
      </c>
      <c r="H3" s="1"/>
      <c r="I3" s="1"/>
    </row>
    <row r="4" spans="1:9">
      <c r="A4" s="20" t="s">
        <v>373</v>
      </c>
      <c r="B4" s="34" t="s">
        <v>367</v>
      </c>
      <c r="C4" s="1" t="s">
        <v>374</v>
      </c>
      <c r="D4" s="170">
        <v>172</v>
      </c>
      <c r="E4" s="1">
        <v>1</v>
      </c>
      <c r="F4" s="25" t="s">
        <v>230</v>
      </c>
      <c r="G4" s="116" t="s">
        <v>375</v>
      </c>
      <c r="H4" s="1"/>
      <c r="I4" s="1"/>
    </row>
    <row r="5" spans="1:9">
      <c r="A5" s="116"/>
      <c r="B5" s="34" t="s">
        <v>376</v>
      </c>
      <c r="C5" s="1" t="s">
        <v>377</v>
      </c>
      <c r="D5" s="170">
        <v>420</v>
      </c>
      <c r="E5" s="1">
        <v>4</v>
      </c>
      <c r="F5" s="25" t="s">
        <v>235</v>
      </c>
      <c r="G5" s="1"/>
      <c r="H5" s="1"/>
      <c r="I5" s="1"/>
    </row>
    <row r="6" spans="1:9">
      <c r="A6" s="116"/>
      <c r="B6" s="34" t="s">
        <v>376</v>
      </c>
      <c r="C6" s="1" t="s">
        <v>378</v>
      </c>
      <c r="D6" s="170">
        <v>480</v>
      </c>
      <c r="E6" s="1">
        <v>4</v>
      </c>
      <c r="F6" s="25" t="s">
        <v>237</v>
      </c>
      <c r="G6" s="1"/>
      <c r="H6" s="1"/>
      <c r="I6" s="1"/>
    </row>
    <row r="7" spans="1:9">
      <c r="A7" s="116"/>
      <c r="B7" s="34" t="s">
        <v>376</v>
      </c>
      <c r="C7" s="1" t="s">
        <v>379</v>
      </c>
      <c r="D7" s="170">
        <v>750</v>
      </c>
      <c r="E7" s="1">
        <v>4</v>
      </c>
      <c r="F7" s="25" t="s">
        <v>239</v>
      </c>
      <c r="G7" s="1"/>
      <c r="H7" s="1"/>
      <c r="I7" s="1"/>
    </row>
    <row r="8" spans="1:9">
      <c r="A8" s="116"/>
      <c r="B8" s="34" t="s">
        <v>380</v>
      </c>
      <c r="C8" s="1" t="s">
        <v>381</v>
      </c>
      <c r="D8" s="170"/>
      <c r="E8" s="1">
        <v>34</v>
      </c>
      <c r="F8" s="25" t="s">
        <v>232</v>
      </c>
      <c r="G8" s="1"/>
      <c r="H8" s="1"/>
      <c r="I8" s="1"/>
    </row>
    <row r="9" spans="1:9">
      <c r="A9" s="116"/>
      <c r="B9" s="34" t="s">
        <v>382</v>
      </c>
      <c r="C9" s="1" t="s">
        <v>383</v>
      </c>
      <c r="D9" s="170"/>
      <c r="E9" s="1">
        <v>2</v>
      </c>
      <c r="F9" s="25" t="s">
        <v>223</v>
      </c>
      <c r="G9" s="1"/>
      <c r="H9" s="1"/>
      <c r="I9" s="1"/>
    </row>
    <row r="10" spans="1:9">
      <c r="A10" s="116"/>
      <c r="B10" s="34" t="s">
        <v>384</v>
      </c>
      <c r="C10" s="1"/>
      <c r="D10" s="170"/>
      <c r="E10" s="1">
        <v>81</v>
      </c>
      <c r="F10" s="27" t="s">
        <v>385</v>
      </c>
      <c r="G10" s="1"/>
      <c r="H10" s="1"/>
      <c r="I10" s="1"/>
    </row>
    <row r="11" spans="1:9">
      <c r="A11" s="116"/>
      <c r="B11" s="34" t="s">
        <v>192</v>
      </c>
      <c r="C11" s="1"/>
      <c r="D11" s="170"/>
      <c r="E11" s="1">
        <v>8</v>
      </c>
      <c r="F11" s="27" t="s">
        <v>385</v>
      </c>
      <c r="G11" s="1"/>
      <c r="H11" s="1"/>
      <c r="I11" s="1"/>
    </row>
    <row r="12" spans="1:9">
      <c r="A12" s="116"/>
      <c r="B12" s="34" t="s">
        <v>386</v>
      </c>
      <c r="C12" s="1"/>
      <c r="D12" s="170"/>
      <c r="E12" s="1">
        <v>78</v>
      </c>
      <c r="F12" s="27" t="s">
        <v>385</v>
      </c>
      <c r="G12" s="1"/>
      <c r="H12" s="1"/>
      <c r="I12" s="1"/>
    </row>
    <row r="13" spans="1:9">
      <c r="A13" s="116"/>
      <c r="B13" s="34" t="s">
        <v>287</v>
      </c>
      <c r="C13" s="1"/>
      <c r="D13" s="170"/>
      <c r="E13" s="1">
        <v>89</v>
      </c>
      <c r="F13" s="27" t="s">
        <v>385</v>
      </c>
      <c r="G13" s="1"/>
      <c r="H13" s="1"/>
      <c r="I13" s="1"/>
    </row>
    <row r="14" spans="1:9">
      <c r="A14" s="116"/>
      <c r="B14" s="34" t="s">
        <v>295</v>
      </c>
      <c r="C14" s="1"/>
      <c r="D14" s="170"/>
      <c r="E14" s="1">
        <v>4</v>
      </c>
      <c r="F14" s="27" t="s">
        <v>385</v>
      </c>
      <c r="G14" s="1"/>
      <c r="H14" s="1"/>
      <c r="I14" s="1"/>
    </row>
    <row r="15" spans="1:9">
      <c r="A15" s="116"/>
      <c r="B15" s="34" t="s">
        <v>303</v>
      </c>
      <c r="C15" s="1"/>
      <c r="D15" s="170"/>
      <c r="E15" s="1">
        <v>16</v>
      </c>
      <c r="F15" s="27" t="s">
        <v>385</v>
      </c>
      <c r="G15" s="1"/>
      <c r="H15" s="1"/>
      <c r="I15" s="1"/>
    </row>
    <row r="16" spans="1:9">
      <c r="A16" s="116"/>
      <c r="B16" s="34" t="s">
        <v>387</v>
      </c>
      <c r="C16" s="1"/>
      <c r="D16" s="170"/>
      <c r="E16" s="1">
        <v>1</v>
      </c>
      <c r="F16" s="27" t="s">
        <v>388</v>
      </c>
      <c r="G16" s="1"/>
      <c r="H16" s="1"/>
      <c r="I16" s="1"/>
    </row>
    <row r="17" spans="2:11">
      <c r="B17" s="34" t="s">
        <v>389</v>
      </c>
      <c r="C17" s="1"/>
      <c r="D17" s="170"/>
      <c r="E17" s="1">
        <v>4</v>
      </c>
      <c r="F17" s="27" t="s">
        <v>390</v>
      </c>
      <c r="G17" s="1"/>
      <c r="H17" s="1"/>
      <c r="I17" s="1"/>
      <c r="J17" s="116"/>
      <c r="K17" s="116"/>
    </row>
    <row r="18" spans="2:11">
      <c r="B18" s="34" t="s">
        <v>391</v>
      </c>
      <c r="C18" s="1"/>
      <c r="D18" s="170"/>
      <c r="E18" s="1">
        <v>4</v>
      </c>
      <c r="F18" s="27" t="s">
        <v>388</v>
      </c>
      <c r="G18" s="1"/>
      <c r="H18" s="1"/>
      <c r="I18" s="1"/>
      <c r="J18" s="116"/>
      <c r="K18" s="116"/>
    </row>
    <row r="19" spans="2:11">
      <c r="B19" s="34" t="s">
        <v>392</v>
      </c>
      <c r="C19" s="1"/>
      <c r="D19" s="170"/>
      <c r="E19" s="1">
        <v>4</v>
      </c>
      <c r="F19" s="27" t="s">
        <v>388</v>
      </c>
      <c r="G19" s="1"/>
      <c r="H19" s="1"/>
      <c r="I19" s="1"/>
      <c r="J19" s="116"/>
      <c r="K19" s="116"/>
    </row>
    <row r="20" spans="2:11">
      <c r="B20" s="18"/>
      <c r="C20" s="116"/>
      <c r="E20" s="116"/>
      <c r="F20" s="170"/>
      <c r="G20" s="116"/>
      <c r="H20" s="116"/>
      <c r="I20" s="116"/>
      <c r="J20" s="116"/>
      <c r="K20" s="116"/>
    </row>
    <row r="21" spans="2:11">
      <c r="B21" s="116"/>
      <c r="C21" s="116"/>
      <c r="E21" s="170"/>
      <c r="F21" s="17"/>
      <c r="G21" s="116"/>
      <c r="H21" s="116"/>
      <c r="I21" s="116"/>
      <c r="J21" s="116"/>
      <c r="K21" s="116"/>
    </row>
    <row r="22" spans="2:11">
      <c r="B22" s="116"/>
      <c r="C22" s="116"/>
      <c r="E22" s="170"/>
      <c r="F22" s="17"/>
      <c r="G22" s="116"/>
      <c r="H22" s="116"/>
      <c r="I22" s="116"/>
      <c r="J22" s="116"/>
      <c r="K22" s="116"/>
    </row>
    <row r="23" spans="2:11">
      <c r="B23" s="116"/>
      <c r="C23" s="116"/>
      <c r="E23" s="170"/>
      <c r="F23" s="17"/>
      <c r="G23" s="116"/>
      <c r="H23" s="116"/>
      <c r="I23" s="116"/>
      <c r="J23" s="116"/>
      <c r="K23" s="116"/>
    </row>
  </sheetData>
  <hyperlinks>
    <hyperlink ref="F3" r:id="rId1" xr:uid="{00000000-0004-0000-0100-000000000000}"/>
    <hyperlink ref="F2" r:id="rId2" display="Color: 420 mm" xr:uid="{00000000-0004-0000-0100-000001000000}"/>
    <hyperlink ref="F4" r:id="rId3" display="Color: L 368mm - 2020" xr:uid="{37C8548F-E667-4811-BC99-B6CB78F9D10C}"/>
    <hyperlink ref="F5" r:id="rId4" display="Color: 420 mm" xr:uid="{1FD08F8E-0388-4C89-ABAA-D14879244B62}"/>
    <hyperlink ref="F6" r:id="rId5" display="Color: 420 mm" xr:uid="{E5424433-EC34-4180-BA24-23EE3604F957}"/>
    <hyperlink ref="F7" r:id="rId6" display="Color: 420 mm" xr:uid="{C3348BCC-4BE9-4B08-9F2C-7265DAB2EE69}"/>
    <hyperlink ref="F9" r:id="rId7" display="Color: 1x2020 (4pcs)" xr:uid="{0D5F4A2C-C07F-48AC-BE68-22412B365DD3}"/>
    <hyperlink ref="F8" r:id="rId8" display="Color: 4x10PCS 2028 Silver" xr:uid="{C22286B1-7BBB-4870-A737-AE20B5C2ED4D}"/>
    <hyperlink ref="A2" r:id="rId9" xr:uid="{6377169B-F243-4F13-B90F-83C22951CA34}"/>
    <hyperlink ref="A3" r:id="rId10" xr:uid="{E965AE32-0E3B-4878-9BEA-CAD0533CAF98}"/>
    <hyperlink ref="A4" r:id="rId11" xr:uid="{17F54B08-27C3-4CCB-8880-8A48044AC10C}"/>
  </hyperlinks>
  <pageMargins left="0.7" right="0.7" top="0.75" bottom="0.75" header="0.3" footer="0.3"/>
  <pageSetup paperSize="9" orientation="landscape" r:id="rId12"/>
  <headerFooter>
    <oddHeader>&amp;C&amp;"Aptos Black,Regular"&amp;14VALKYRIE V2 - FRAME BOM</oddHeader>
    <oddFooter>&amp;CBETA PRELEASE</oddFooter>
  </headerFooter>
  <drawing r:id="rId13"/>
  <tableParts count="1">
    <tablePart r:id="rId1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  <pageSetUpPr fitToPage="1"/>
  </sheetPr>
  <dimension ref="A1:F38"/>
  <sheetViews>
    <sheetView view="pageLayout" zoomScaleNormal="100" workbookViewId="0"/>
  </sheetViews>
  <sheetFormatPr defaultColWidth="11.42578125" defaultRowHeight="15"/>
  <cols>
    <col min="1" max="1" width="15.5703125" style="15" bestFit="1" customWidth="1"/>
    <col min="2" max="2" width="27.140625" style="2" bestFit="1" customWidth="1"/>
    <col min="3" max="3" width="14.28515625" style="2" bestFit="1" customWidth="1"/>
    <col min="4" max="4" width="11" style="2" bestFit="1" customWidth="1"/>
    <col min="5" max="5" width="18" style="2" bestFit="1" customWidth="1"/>
    <col min="6" max="6" width="11.140625" style="15" bestFit="1" customWidth="1"/>
    <col min="7" max="16362" width="11.42578125" style="2"/>
    <col min="16363" max="16368" width="11.42578125" style="2" bestFit="1" customWidth="1"/>
    <col min="16369" max="16384" width="11.42578125" style="2"/>
  </cols>
  <sheetData>
    <row r="1" spans="1:6" ht="30" customHeight="1">
      <c r="A1" s="19" t="s">
        <v>360</v>
      </c>
      <c r="B1" s="14" t="s">
        <v>361</v>
      </c>
      <c r="C1" s="98" t="s">
        <v>362</v>
      </c>
      <c r="D1" s="98" t="s">
        <v>363</v>
      </c>
      <c r="E1" s="98" t="s">
        <v>364</v>
      </c>
      <c r="F1" s="18" t="s">
        <v>365</v>
      </c>
    </row>
    <row r="2" spans="1:6">
      <c r="A2" s="20" t="s">
        <v>366</v>
      </c>
      <c r="B2" s="97" t="s">
        <v>16</v>
      </c>
      <c r="C2" s="46" t="s">
        <v>12</v>
      </c>
      <c r="D2" s="24">
        <v>2</v>
      </c>
      <c r="E2" s="45" t="s">
        <v>385</v>
      </c>
      <c r="F2" s="116" t="s">
        <v>369</v>
      </c>
    </row>
    <row r="3" spans="1:6">
      <c r="A3" s="20" t="s">
        <v>370</v>
      </c>
      <c r="B3" s="97" t="s">
        <v>348</v>
      </c>
      <c r="C3" s="46" t="s">
        <v>393</v>
      </c>
      <c r="D3" s="24">
        <v>36</v>
      </c>
      <c r="E3" s="45" t="s">
        <v>385</v>
      </c>
      <c r="F3" s="116" t="s">
        <v>372</v>
      </c>
    </row>
    <row r="4" spans="1:6">
      <c r="A4" s="20" t="s">
        <v>373</v>
      </c>
      <c r="B4" s="97" t="s">
        <v>19</v>
      </c>
      <c r="C4" s="46" t="s">
        <v>12</v>
      </c>
      <c r="D4" s="24">
        <v>24</v>
      </c>
      <c r="E4" s="45" t="s">
        <v>385</v>
      </c>
      <c r="F4" s="116" t="s">
        <v>375</v>
      </c>
    </row>
    <row r="5" spans="1:6">
      <c r="A5" s="116"/>
      <c r="B5" s="97" t="s">
        <v>313</v>
      </c>
      <c r="C5" s="46" t="s">
        <v>305</v>
      </c>
      <c r="D5" s="24">
        <v>4</v>
      </c>
      <c r="E5" s="45" t="s">
        <v>385</v>
      </c>
      <c r="F5" s="1"/>
    </row>
    <row r="6" spans="1:6">
      <c r="A6" s="116"/>
      <c r="B6" s="97" t="s">
        <v>315</v>
      </c>
      <c r="C6" s="46" t="s">
        <v>305</v>
      </c>
      <c r="D6" s="24">
        <v>8</v>
      </c>
      <c r="E6" s="45" t="s">
        <v>385</v>
      </c>
      <c r="F6" s="1"/>
    </row>
    <row r="7" spans="1:6">
      <c r="A7" s="116"/>
      <c r="B7" s="97" t="s">
        <v>394</v>
      </c>
      <c r="C7" s="46" t="s">
        <v>218</v>
      </c>
      <c r="D7" s="24">
        <v>1</v>
      </c>
      <c r="E7" s="45" t="s">
        <v>385</v>
      </c>
      <c r="F7" s="1"/>
    </row>
    <row r="8" spans="1:6">
      <c r="A8" s="116"/>
      <c r="B8" t="s">
        <v>395</v>
      </c>
      <c r="C8" t="s">
        <v>396</v>
      </c>
      <c r="D8" s="24">
        <v>2</v>
      </c>
      <c r="E8" s="45" t="s">
        <v>385</v>
      </c>
      <c r="F8" s="1"/>
    </row>
    <row r="9" spans="1:6">
      <c r="A9" s="116"/>
      <c r="B9" s="1" t="s">
        <v>397</v>
      </c>
      <c r="C9" s="1" t="s">
        <v>398</v>
      </c>
      <c r="D9" s="24">
        <v>5</v>
      </c>
      <c r="E9" s="45" t="s">
        <v>385</v>
      </c>
      <c r="F9" s="1"/>
    </row>
    <row r="10" spans="1:6">
      <c r="A10" s="116"/>
      <c r="B10" s="2" t="s">
        <v>399</v>
      </c>
      <c r="C10" s="46" t="s">
        <v>176</v>
      </c>
      <c r="D10" s="24">
        <v>52</v>
      </c>
      <c r="E10" s="27" t="s">
        <v>385</v>
      </c>
      <c r="F10" s="1"/>
    </row>
    <row r="11" spans="1:6">
      <c r="A11" s="116"/>
      <c r="B11" s="97" t="s">
        <v>400</v>
      </c>
      <c r="C11" s="46" t="s">
        <v>176</v>
      </c>
      <c r="D11" s="24">
        <v>8</v>
      </c>
      <c r="E11" s="27" t="s">
        <v>385</v>
      </c>
      <c r="F11" s="1"/>
    </row>
    <row r="12" spans="1:6">
      <c r="A12" s="116"/>
      <c r="B12" s="97" t="s">
        <v>401</v>
      </c>
      <c r="C12" s="46" t="s">
        <v>345</v>
      </c>
      <c r="D12" s="24">
        <v>8</v>
      </c>
      <c r="E12" s="27" t="s">
        <v>385</v>
      </c>
      <c r="F12" s="1"/>
    </row>
    <row r="13" spans="1:6">
      <c r="A13" s="116"/>
      <c r="B13" s="2" t="s">
        <v>256</v>
      </c>
      <c r="C13" s="46" t="s">
        <v>251</v>
      </c>
      <c r="D13" s="24">
        <v>8</v>
      </c>
      <c r="E13" s="27" t="s">
        <v>385</v>
      </c>
      <c r="F13" s="1"/>
    </row>
    <row r="14" spans="1:6">
      <c r="A14" s="116"/>
      <c r="B14" s="2" t="s">
        <v>259</v>
      </c>
      <c r="C14" s="46" t="s">
        <v>251</v>
      </c>
      <c r="D14" s="24">
        <v>52</v>
      </c>
      <c r="E14" s="27" t="s">
        <v>385</v>
      </c>
      <c r="F14" s="1"/>
    </row>
    <row r="15" spans="1:6">
      <c r="A15" s="116"/>
      <c r="B15" s="2" t="s">
        <v>261</v>
      </c>
      <c r="C15" s="46" t="s">
        <v>251</v>
      </c>
      <c r="D15" s="24">
        <v>8</v>
      </c>
      <c r="E15" s="27" t="s">
        <v>385</v>
      </c>
      <c r="F15" s="1"/>
    </row>
    <row r="16" spans="1:6">
      <c r="A16" s="116"/>
      <c r="B16" s="2" t="s">
        <v>402</v>
      </c>
      <c r="C16" s="46" t="s">
        <v>176</v>
      </c>
      <c r="D16" s="24">
        <v>2</v>
      </c>
      <c r="E16" s="27" t="s">
        <v>385</v>
      </c>
      <c r="F16" s="1"/>
    </row>
    <row r="17" spans="2:6">
      <c r="B17" s="2" t="s">
        <v>403</v>
      </c>
      <c r="C17" s="46" t="s">
        <v>176</v>
      </c>
      <c r="D17" s="24">
        <v>11</v>
      </c>
      <c r="E17" s="27" t="s">
        <v>385</v>
      </c>
      <c r="F17" s="1"/>
    </row>
    <row r="18" spans="2:6">
      <c r="B18" s="2" t="s">
        <v>384</v>
      </c>
      <c r="C18" s="46" t="s">
        <v>176</v>
      </c>
      <c r="D18" s="24">
        <v>19</v>
      </c>
      <c r="E18" s="27" t="s">
        <v>385</v>
      </c>
      <c r="F18" s="1"/>
    </row>
    <row r="19" spans="2:6">
      <c r="B19" s="2" t="s">
        <v>386</v>
      </c>
      <c r="C19" s="46" t="s">
        <v>345</v>
      </c>
      <c r="D19" s="24">
        <v>4</v>
      </c>
      <c r="E19" s="27" t="s">
        <v>385</v>
      </c>
      <c r="F19" s="1"/>
    </row>
    <row r="20" spans="2:6">
      <c r="B20" s="2" t="s">
        <v>287</v>
      </c>
      <c r="C20" s="46" t="s">
        <v>251</v>
      </c>
      <c r="D20" s="24">
        <v>27</v>
      </c>
      <c r="E20" s="27" t="s">
        <v>385</v>
      </c>
      <c r="F20" s="116"/>
    </row>
    <row r="21" spans="2:6">
      <c r="B21" s="2" t="s">
        <v>291</v>
      </c>
      <c r="C21" s="46" t="s">
        <v>251</v>
      </c>
      <c r="D21" s="24">
        <v>4</v>
      </c>
      <c r="E21" s="27" t="s">
        <v>385</v>
      </c>
      <c r="F21" s="116"/>
    </row>
    <row r="22" spans="2:6">
      <c r="B22" s="2" t="s">
        <v>297</v>
      </c>
      <c r="C22" s="46" t="s">
        <v>404</v>
      </c>
      <c r="D22" s="24">
        <v>2</v>
      </c>
      <c r="E22" s="27" t="s">
        <v>385</v>
      </c>
      <c r="F22" s="116"/>
    </row>
    <row r="23" spans="2:6">
      <c r="B23" s="97" t="s">
        <v>405</v>
      </c>
      <c r="C23" s="46" t="s">
        <v>12</v>
      </c>
      <c r="D23" s="24">
        <v>2</v>
      </c>
      <c r="E23" s="45" t="s">
        <v>385</v>
      </c>
      <c r="F23" s="116"/>
    </row>
    <row r="24" spans="2:6">
      <c r="B24" s="97" t="s">
        <v>406</v>
      </c>
      <c r="C24" s="46" t="s">
        <v>12</v>
      </c>
      <c r="D24" s="24">
        <v>1</v>
      </c>
      <c r="E24" s="45" t="s">
        <v>385</v>
      </c>
      <c r="F24" s="116"/>
    </row>
    <row r="25" spans="2:6">
      <c r="B25" s="2" t="s">
        <v>407</v>
      </c>
      <c r="C25" s="46" t="s">
        <v>37</v>
      </c>
      <c r="D25" s="24">
        <v>2</v>
      </c>
      <c r="E25" s="45" t="s">
        <v>385</v>
      </c>
      <c r="F25" s="116"/>
    </row>
    <row r="26" spans="2:6">
      <c r="B26" s="2" t="s">
        <v>408</v>
      </c>
      <c r="D26" s="24">
        <v>1</v>
      </c>
      <c r="E26" s="28" t="s">
        <v>388</v>
      </c>
      <c r="F26" s="116"/>
    </row>
    <row r="27" spans="2:6">
      <c r="B27" s="2" t="s">
        <v>409</v>
      </c>
      <c r="D27" s="24">
        <v>4</v>
      </c>
      <c r="E27" s="28" t="s">
        <v>388</v>
      </c>
      <c r="F27" s="116"/>
    </row>
    <row r="28" spans="2:6">
      <c r="B28" s="2" t="s">
        <v>410</v>
      </c>
      <c r="D28" s="24">
        <v>2</v>
      </c>
      <c r="E28" s="28" t="s">
        <v>388</v>
      </c>
      <c r="F28" s="116"/>
    </row>
    <row r="29" spans="2:6">
      <c r="B29" s="2" t="s">
        <v>411</v>
      </c>
      <c r="D29" s="24">
        <v>1</v>
      </c>
      <c r="E29" s="28" t="s">
        <v>388</v>
      </c>
      <c r="F29" s="116"/>
    </row>
    <row r="30" spans="2:6">
      <c r="B30" s="2" t="s">
        <v>412</v>
      </c>
      <c r="D30" s="24">
        <v>1</v>
      </c>
      <c r="E30" s="28" t="s">
        <v>388</v>
      </c>
      <c r="F30" s="116"/>
    </row>
    <row r="31" spans="2:6">
      <c r="B31" s="2" t="s">
        <v>413</v>
      </c>
      <c r="D31" s="24">
        <v>2</v>
      </c>
      <c r="E31" s="28" t="s">
        <v>388</v>
      </c>
      <c r="F31" s="116"/>
    </row>
    <row r="32" spans="2:6">
      <c r="B32" s="2" t="s">
        <v>414</v>
      </c>
      <c r="D32" s="24">
        <v>1</v>
      </c>
      <c r="E32" s="28" t="s">
        <v>388</v>
      </c>
      <c r="F32" s="116"/>
    </row>
    <row r="33" spans="2:5">
      <c r="B33" s="2" t="s">
        <v>415</v>
      </c>
      <c r="D33" s="24">
        <v>1</v>
      </c>
      <c r="E33" s="28" t="s">
        <v>388</v>
      </c>
    </row>
    <row r="34" spans="2:5">
      <c r="B34" s="2" t="s">
        <v>416</v>
      </c>
      <c r="D34" s="24">
        <v>1</v>
      </c>
      <c r="E34" s="28" t="s">
        <v>388</v>
      </c>
    </row>
    <row r="35" spans="2:5">
      <c r="B35" s="2" t="s">
        <v>417</v>
      </c>
      <c r="D35" s="24">
        <v>2</v>
      </c>
      <c r="E35" s="28" t="s">
        <v>388</v>
      </c>
    </row>
    <row r="36" spans="2:5">
      <c r="B36" s="97" t="s">
        <v>418</v>
      </c>
      <c r="C36" s="97"/>
      <c r="D36" s="24">
        <v>1</v>
      </c>
      <c r="E36" s="28" t="s">
        <v>419</v>
      </c>
    </row>
    <row r="37" spans="2:5">
      <c r="B37" s="2" t="s">
        <v>420</v>
      </c>
      <c r="D37" s="24">
        <v>1</v>
      </c>
      <c r="E37" s="28" t="s">
        <v>388</v>
      </c>
    </row>
    <row r="38" spans="2:5">
      <c r="B38" s="2" t="s">
        <v>421</v>
      </c>
      <c r="D38" s="24">
        <v>1</v>
      </c>
      <c r="E38" s="28" t="s">
        <v>388</v>
      </c>
    </row>
  </sheetData>
  <hyperlinks>
    <hyperlink ref="E8" r:id="rId1" display="5mm-Pulley 26T" xr:uid="{0335C69A-2DFF-46F0-A770-9A22CFF5CB9D}"/>
    <hyperlink ref="E9" r:id="rId2" display="9mm-EPDM 5M" xr:uid="{DE2134EE-F97B-4BA1-84EE-4F662B1FACDF}"/>
    <hyperlink ref="A2" r:id="rId3" xr:uid="{259E3C8E-A259-423D-A291-09975CC917C2}"/>
    <hyperlink ref="A3" r:id="rId4" xr:uid="{F7E823C8-486D-4F9F-B1B7-032332CEDF62}"/>
    <hyperlink ref="A4" r:id="rId5" xr:uid="{FDBB7A32-D6B2-4D5C-B5E7-91DAA2370436}"/>
  </hyperlinks>
  <pageMargins left="0.7" right="0.7" top="0.75" bottom="0.75" header="0.3" footer="0.3"/>
  <pageSetup paperSize="9" scale="80" orientation="portrait" r:id="rId6"/>
  <headerFooter>
    <oddHeader>&amp;C&amp;"Aptos Black,Regular"&amp;14VALKYRIE V2 - AB GANTRY BOM</oddHeader>
    <oddFooter>&amp;CBETA PRELEASE</oddFooter>
  </headerFooter>
  <drawing r:id="rId7"/>
  <tableParts count="1"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8"/>
  <sheetViews>
    <sheetView view="pageLayout" topLeftCell="A3" zoomScaleNormal="100" workbookViewId="0">
      <selection activeCell="E1" sqref="E1"/>
    </sheetView>
  </sheetViews>
  <sheetFormatPr defaultColWidth="11.42578125" defaultRowHeight="15"/>
  <cols>
    <col min="1" max="1" width="15.5703125" style="15" bestFit="1" customWidth="1"/>
    <col min="2" max="2" width="29.85546875" style="2" customWidth="1"/>
    <col min="3" max="3" width="13.5703125" style="2" bestFit="1" customWidth="1"/>
    <col min="4" max="4" width="11" style="2" bestFit="1" customWidth="1"/>
    <col min="5" max="5" width="13.28515625" style="2" bestFit="1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19" t="s">
        <v>360</v>
      </c>
      <c r="B1" s="14" t="s">
        <v>361</v>
      </c>
      <c r="C1" s="98" t="s">
        <v>362</v>
      </c>
      <c r="D1" s="98" t="s">
        <v>363</v>
      </c>
      <c r="E1" s="98" t="s">
        <v>364</v>
      </c>
      <c r="F1" s="18" t="s">
        <v>365</v>
      </c>
    </row>
    <row r="2" spans="1:6">
      <c r="A2" s="20" t="s">
        <v>366</v>
      </c>
      <c r="B2" s="97" t="s">
        <v>422</v>
      </c>
      <c r="C2"/>
      <c r="D2" s="24">
        <v>1</v>
      </c>
      <c r="E2" s="48" t="s">
        <v>385</v>
      </c>
      <c r="F2" s="116" t="s">
        <v>369</v>
      </c>
    </row>
    <row r="3" spans="1:6">
      <c r="A3" s="20" t="s">
        <v>370</v>
      </c>
      <c r="B3" s="144" t="s">
        <v>328</v>
      </c>
      <c r="C3" s="144"/>
      <c r="D3" s="24">
        <v>1</v>
      </c>
      <c r="E3" t="s">
        <v>385</v>
      </c>
      <c r="F3" s="116" t="s">
        <v>372</v>
      </c>
    </row>
    <row r="4" spans="1:6">
      <c r="A4" s="20" t="s">
        <v>373</v>
      </c>
      <c r="B4" s="144" t="s">
        <v>423</v>
      </c>
      <c r="C4" s="144"/>
      <c r="D4" s="24">
        <v>1</v>
      </c>
      <c r="E4" s="45" t="s">
        <v>385</v>
      </c>
      <c r="F4" s="116" t="s">
        <v>375</v>
      </c>
    </row>
    <row r="5" spans="1:6">
      <c r="A5" s="116"/>
      <c r="B5" t="s">
        <v>46</v>
      </c>
      <c r="C5"/>
      <c r="D5" s="24">
        <v>1</v>
      </c>
      <c r="E5" s="45" t="s">
        <v>385</v>
      </c>
    </row>
    <row r="6" spans="1:6">
      <c r="A6" s="116"/>
      <c r="B6" s="46" t="s">
        <v>424</v>
      </c>
      <c r="C6"/>
      <c r="D6" s="24">
        <v>1</v>
      </c>
      <c r="E6" t="s">
        <v>385</v>
      </c>
    </row>
    <row r="7" spans="1:6">
      <c r="A7" s="116"/>
      <c r="B7" s="50" t="s">
        <v>425</v>
      </c>
      <c r="C7"/>
      <c r="D7" s="24">
        <v>1</v>
      </c>
      <c r="E7" t="s">
        <v>385</v>
      </c>
    </row>
    <row r="8" spans="1:6">
      <c r="A8" s="116"/>
      <c r="B8" t="s">
        <v>426</v>
      </c>
      <c r="C8" s="3"/>
      <c r="D8" s="24">
        <v>9</v>
      </c>
      <c r="E8" t="s">
        <v>385</v>
      </c>
    </row>
    <row r="9" spans="1:6">
      <c r="A9" s="116"/>
      <c r="B9" t="s">
        <v>427</v>
      </c>
      <c r="C9"/>
      <c r="D9" s="24">
        <v>2</v>
      </c>
      <c r="E9" s="27" t="s">
        <v>385</v>
      </c>
    </row>
    <row r="10" spans="1:6">
      <c r="A10" s="116"/>
      <c r="B10" s="1" t="s">
        <v>428</v>
      </c>
      <c r="C10" s="1"/>
      <c r="D10" s="24">
        <v>7</v>
      </c>
      <c r="E10" s="27" t="s">
        <v>385</v>
      </c>
    </row>
    <row r="11" spans="1:6">
      <c r="A11" s="116"/>
      <c r="B11" t="s">
        <v>258</v>
      </c>
      <c r="C11"/>
      <c r="D11" s="24">
        <v>6</v>
      </c>
      <c r="E11" s="27" t="s">
        <v>385</v>
      </c>
    </row>
    <row r="12" spans="1:6">
      <c r="A12" s="116"/>
      <c r="B12" s="1" t="s">
        <v>429</v>
      </c>
      <c r="C12" s="1"/>
      <c r="D12" s="24">
        <v>2</v>
      </c>
      <c r="E12" s="27" t="s">
        <v>385</v>
      </c>
    </row>
    <row r="13" spans="1:6">
      <c r="A13" s="116"/>
      <c r="B13" s="1" t="s">
        <v>430</v>
      </c>
      <c r="C13" s="1"/>
      <c r="D13" s="24">
        <v>10</v>
      </c>
      <c r="E13" s="27" t="s">
        <v>385</v>
      </c>
    </row>
    <row r="14" spans="1:6">
      <c r="A14" s="116"/>
      <c r="B14" t="s">
        <v>431</v>
      </c>
      <c r="C14" s="1"/>
      <c r="D14" s="24">
        <v>1</v>
      </c>
      <c r="E14" s="27" t="s">
        <v>385</v>
      </c>
    </row>
    <row r="15" spans="1:6">
      <c r="A15" s="116"/>
      <c r="B15" s="1" t="s">
        <v>432</v>
      </c>
      <c r="C15" s="1"/>
      <c r="D15" s="24">
        <v>1</v>
      </c>
      <c r="E15" s="27" t="s">
        <v>385</v>
      </c>
    </row>
    <row r="16" spans="1:6">
      <c r="A16" s="116"/>
      <c r="B16" s="22" t="s">
        <v>164</v>
      </c>
      <c r="C16" s="22"/>
      <c r="D16" s="24">
        <v>4</v>
      </c>
      <c r="E16" s="27" t="s">
        <v>385</v>
      </c>
    </row>
    <row r="17" spans="2:5">
      <c r="B17" s="22" t="s">
        <v>433</v>
      </c>
      <c r="C17" s="22"/>
      <c r="D17" s="24">
        <v>1</v>
      </c>
      <c r="E17" s="27" t="s">
        <v>385</v>
      </c>
    </row>
    <row r="18" spans="2:5">
      <c r="B18" s="103" t="s">
        <v>434</v>
      </c>
      <c r="C18" s="1" t="s">
        <v>435</v>
      </c>
      <c r="D18" s="44">
        <v>1</v>
      </c>
      <c r="E18" s="45" t="s">
        <v>388</v>
      </c>
    </row>
    <row r="19" spans="2:5">
      <c r="B19" s="32" t="s">
        <v>436</v>
      </c>
      <c r="C19" s="32"/>
      <c r="D19" s="24">
        <v>1</v>
      </c>
      <c r="E19" s="27" t="s">
        <v>388</v>
      </c>
    </row>
    <row r="20" spans="2:5">
      <c r="B20" s="126" t="s">
        <v>437</v>
      </c>
      <c r="C20" s="126"/>
      <c r="D20" s="24">
        <v>1</v>
      </c>
      <c r="E20" s="27" t="s">
        <v>388</v>
      </c>
    </row>
    <row r="21" spans="2:5">
      <c r="B21" s="3" t="s">
        <v>438</v>
      </c>
      <c r="C21" s="3"/>
      <c r="D21" s="24">
        <v>1</v>
      </c>
      <c r="E21" s="27" t="s">
        <v>388</v>
      </c>
    </row>
    <row r="22" spans="2:5">
      <c r="B22" s="126" t="s">
        <v>439</v>
      </c>
      <c r="C22" s="126"/>
      <c r="D22" s="24">
        <v>1</v>
      </c>
      <c r="E22" s="27" t="s">
        <v>388</v>
      </c>
    </row>
    <row r="23" spans="2:5">
      <c r="B23" s="3" t="s">
        <v>440</v>
      </c>
      <c r="C23" s="3"/>
      <c r="D23" s="24">
        <v>1</v>
      </c>
      <c r="E23" s="27" t="s">
        <v>388</v>
      </c>
    </row>
    <row r="24" spans="2:5">
      <c r="B24" s="4" t="s">
        <v>441</v>
      </c>
      <c r="C24" s="4"/>
      <c r="D24" s="24">
        <v>1</v>
      </c>
      <c r="E24" s="27" t="s">
        <v>388</v>
      </c>
    </row>
    <row r="25" spans="2:5">
      <c r="B25" s="3" t="s">
        <v>442</v>
      </c>
      <c r="C25" s="3"/>
      <c r="D25" s="24">
        <v>1</v>
      </c>
      <c r="E25" s="27" t="s">
        <v>388</v>
      </c>
    </row>
    <row r="26" spans="2:5" ht="15.75" thickBot="1">
      <c r="B26" s="19"/>
      <c r="C26" s="19"/>
      <c r="D26" s="116"/>
    </row>
    <row r="27" spans="2:5" ht="18.75">
      <c r="B27" s="35" t="s">
        <v>443</v>
      </c>
      <c r="C27" s="36"/>
      <c r="D27" s="36"/>
      <c r="E27" s="36"/>
    </row>
    <row r="28" spans="2:5" ht="30" customHeight="1">
      <c r="B28" s="37" t="s">
        <v>361</v>
      </c>
      <c r="C28" s="171" t="s">
        <v>362</v>
      </c>
      <c r="D28" s="171" t="s">
        <v>363</v>
      </c>
      <c r="E28" s="104" t="s">
        <v>364</v>
      </c>
    </row>
    <row r="29" spans="2:5">
      <c r="B29" s="34" t="s">
        <v>331</v>
      </c>
      <c r="C29" s="105"/>
      <c r="D29" s="106">
        <v>1</v>
      </c>
      <c r="E29" s="48" t="s">
        <v>385</v>
      </c>
    </row>
    <row r="30" spans="2:5">
      <c r="B30" s="34" t="s">
        <v>444</v>
      </c>
      <c r="C30" s="100"/>
      <c r="D30" s="106">
        <v>1</v>
      </c>
      <c r="E30" t="s">
        <v>385</v>
      </c>
    </row>
    <row r="31" spans="2:5">
      <c r="B31" s="34" t="s">
        <v>445</v>
      </c>
      <c r="C31" s="105"/>
      <c r="D31" s="106">
        <v>2</v>
      </c>
      <c r="E31" s="45" t="s">
        <v>385</v>
      </c>
    </row>
    <row r="32" spans="2:5">
      <c r="B32" s="38" t="s">
        <v>446</v>
      </c>
      <c r="C32" s="107"/>
      <c r="D32" s="106">
        <v>1</v>
      </c>
      <c r="E32" s="45" t="s">
        <v>385</v>
      </c>
    </row>
    <row r="33" spans="2:5">
      <c r="B33" s="29" t="s">
        <v>333</v>
      </c>
      <c r="C33" s="108"/>
      <c r="D33" s="106">
        <v>1</v>
      </c>
      <c r="E33" t="s">
        <v>385</v>
      </c>
    </row>
    <row r="34" spans="2:5">
      <c r="B34" s="42" t="s">
        <v>336</v>
      </c>
      <c r="C34" s="109"/>
      <c r="D34" s="106">
        <v>1</v>
      </c>
      <c r="E34" t="s">
        <v>385</v>
      </c>
    </row>
    <row r="35" spans="2:5">
      <c r="B35" s="43" t="s">
        <v>338</v>
      </c>
      <c r="C35" s="172"/>
      <c r="D35" s="106">
        <v>1</v>
      </c>
      <c r="E35" t="s">
        <v>385</v>
      </c>
    </row>
    <row r="36" spans="2:5">
      <c r="B36" s="29" t="s">
        <v>340</v>
      </c>
      <c r="C36" s="108"/>
      <c r="D36" s="106">
        <v>1</v>
      </c>
      <c r="E36" t="s">
        <v>385</v>
      </c>
    </row>
    <row r="37" spans="2:5">
      <c r="B37" s="34" t="s">
        <v>447</v>
      </c>
      <c r="C37" s="105"/>
      <c r="D37" s="106">
        <v>1</v>
      </c>
      <c r="E37" t="s">
        <v>385</v>
      </c>
    </row>
    <row r="38" spans="2:5" ht="15.75" thickBot="1">
      <c r="B38" s="110" t="s">
        <v>342</v>
      </c>
      <c r="C38" s="111"/>
      <c r="D38" s="112">
        <v>1</v>
      </c>
      <c r="E38" t="s">
        <v>385</v>
      </c>
    </row>
  </sheetData>
  <hyperlinks>
    <hyperlink ref="E16" r:id="rId1" display="6x25 - 20PCS" xr:uid="{5E9FE5F0-CCE3-4A2B-AA06-61F99510353E}"/>
    <hyperlink ref="E15" r:id="rId2" display="625ZZ - 10PCS" xr:uid="{B66F0F76-CBAE-41DB-9956-90085C632DDC}"/>
    <hyperlink ref="E10" r:id="rId3" display="9mm-EPDM 5M" xr:uid="{52C20ABA-C85B-47D3-8E02-2F3A9BB347E8}"/>
    <hyperlink ref="E9" r:id="rId4" display="5mm-Pulley 26T" xr:uid="{00540DB0-AA73-4EB0-8B65-E97234A7A868}"/>
    <hyperlink ref="E5" r:id="rId5" display="9mm-EPDM 5M" xr:uid="{7B6F7381-E4E2-4657-AA31-ED9492D18E71}"/>
    <hyperlink ref="E2" r:id="rId6" display="9mm-EPDM 5M" xr:uid="{6BE19E12-BF49-49E8-B7C2-747D58ED35BB}"/>
    <hyperlink ref="E4" r:id="rId7" display="5mm-Pulley 26T" xr:uid="{56DFE4A5-01D0-4C97-99F5-50E2087E0CA9}"/>
    <hyperlink ref="E18" r:id="rId8" display="5mm-Pulley 26T" xr:uid="{63D8CEE9-0EA5-4528-BDE7-21B62AB734D9}"/>
    <hyperlink ref="A2" r:id="rId9" xr:uid="{FB51AF2D-B44A-4010-8406-D732048E182C}"/>
    <hyperlink ref="A3" r:id="rId10" xr:uid="{489D6328-4884-4F58-9376-65F5CFDEC9F6}"/>
    <hyperlink ref="A4" r:id="rId11" xr:uid="{6F3F30B9-9962-4353-9682-3F39E659A96D}"/>
    <hyperlink ref="E36" r:id="rId12" display="Hardened Steel V6 Nozzle" xr:uid="{03AE50F3-F6AB-430A-A777-ABF2CBDA8B63}"/>
    <hyperlink ref="E38" r:id="rId13" display="Color: 1PC smooth" xr:uid="{F44D33A2-CF54-4DD2-9B16-FEB5C90878BF}"/>
    <hyperlink ref="E37" r:id="rId14" display="https://s.click.aliexpress.com/e/_c348aGWh" xr:uid="{1652391A-39A8-428B-B4B6-78CF6D51ABF9}"/>
    <hyperlink ref="E35" r:id="rId15" display="Color: SET2" xr:uid="{78AA498F-8DEE-43B5-AC6F-CCF1C6AD8FA7}"/>
    <hyperlink ref="E34" r:id="rId16" display="Color: SET2" xr:uid="{CBC0810C-1122-47CF-BC34-62B1A025062E}"/>
    <hyperlink ref="E32" r:id="rId17" display="9mm-EPDM 5M" xr:uid="{35EF2CC0-AE2A-4541-ACFC-0E271D2DEA6C}"/>
    <hyperlink ref="E29" r:id="rId18" display="9mm-EPDM 5M" xr:uid="{A00DA554-15D3-4A4B-B5F4-B912E38F7E25}"/>
    <hyperlink ref="E31" r:id="rId19" display="5mm-Pulley 26T" xr:uid="{91F14569-CE3C-4294-8470-B95C29100B99}"/>
  </hyperlinks>
  <pageMargins left="0.7" right="0.7" top="0.75" bottom="0.75" header="0.3" footer="0.3"/>
  <pageSetup paperSize="9" scale="82" orientation="portrait" r:id="rId20"/>
  <headerFooter>
    <oddHeader>&amp;C&amp;"Aptos Black,Regular"&amp;14VALKYRIE V2 - TOOLHEAD BOM</oddHeader>
    <oddFooter>&amp;CBETA PRELEASE</oddFooter>
  </headerFooter>
  <drawing r:id="rId21"/>
  <tableParts count="2">
    <tablePart r:id="rId22"/>
    <tablePart r:id="rId2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F54"/>
  <sheetViews>
    <sheetView tabSelected="1" view="pageLayout" topLeftCell="A22" zoomScaleNormal="100" workbookViewId="0">
      <selection activeCell="G35" sqref="G35"/>
    </sheetView>
  </sheetViews>
  <sheetFormatPr defaultColWidth="11.42578125" defaultRowHeight="15"/>
  <cols>
    <col min="1" max="1" width="15.5703125" style="116" bestFit="1" customWidth="1"/>
    <col min="2" max="2" width="35.42578125" style="2" customWidth="1"/>
    <col min="3" max="3" width="14.28515625" style="2" bestFit="1" customWidth="1"/>
    <col min="4" max="4" width="11" style="2" bestFit="1" customWidth="1"/>
    <col min="5" max="5" width="19.7109375" style="2" bestFit="1" customWidth="1"/>
    <col min="6" max="6" width="11.42578125" style="2" bestFit="1" customWidth="1"/>
    <col min="7" max="16362" width="11.42578125" style="2"/>
    <col min="16363" max="16368" width="11.42578125" style="2" bestFit="1" customWidth="1"/>
    <col min="16369" max="16384" width="11.42578125" style="2"/>
  </cols>
  <sheetData>
    <row r="1" spans="1:6" ht="30" customHeight="1">
      <c r="A1" s="19" t="s">
        <v>360</v>
      </c>
      <c r="B1" s="14" t="s">
        <v>361</v>
      </c>
      <c r="C1" s="98" t="s">
        <v>362</v>
      </c>
      <c r="D1" s="98" t="s">
        <v>363</v>
      </c>
      <c r="E1" s="98" t="s">
        <v>364</v>
      </c>
      <c r="F1" s="18" t="s">
        <v>365</v>
      </c>
    </row>
    <row r="2" spans="1:6" ht="18" customHeight="1">
      <c r="A2" s="117" t="s">
        <v>366</v>
      </c>
      <c r="B2" s="46" t="s">
        <v>346</v>
      </c>
      <c r="D2" s="24">
        <v>12</v>
      </c>
      <c r="E2" s="27" t="s">
        <v>385</v>
      </c>
      <c r="F2" s="116" t="s">
        <v>369</v>
      </c>
    </row>
    <row r="3" spans="1:6" ht="18" customHeight="1">
      <c r="A3" s="117" t="s">
        <v>370</v>
      </c>
      <c r="B3" s="97" t="s">
        <v>448</v>
      </c>
      <c r="C3" s="97"/>
      <c r="D3" s="24">
        <v>12</v>
      </c>
      <c r="E3" s="27" t="s">
        <v>385</v>
      </c>
      <c r="F3" s="116" t="s">
        <v>372</v>
      </c>
    </row>
    <row r="4" spans="1:6">
      <c r="A4" s="117" t="s">
        <v>373</v>
      </c>
      <c r="B4" s="97" t="s">
        <v>308</v>
      </c>
      <c r="C4" s="97"/>
      <c r="D4" s="24">
        <v>3</v>
      </c>
      <c r="E4" s="27" t="s">
        <v>385</v>
      </c>
      <c r="F4" s="116" t="s">
        <v>375</v>
      </c>
    </row>
    <row r="5" spans="1:6">
      <c r="B5" s="97" t="s">
        <v>311</v>
      </c>
      <c r="C5" s="97"/>
      <c r="D5" s="24">
        <v>6</v>
      </c>
      <c r="E5" s="27" t="s">
        <v>385</v>
      </c>
      <c r="F5" s="97"/>
    </row>
    <row r="6" spans="1:6">
      <c r="B6" s="41" t="s">
        <v>245</v>
      </c>
      <c r="C6" s="97"/>
      <c r="D6" s="156">
        <v>1</v>
      </c>
      <c r="E6" s="45" t="s">
        <v>385</v>
      </c>
      <c r="F6" s="97"/>
    </row>
    <row r="7" spans="1:6">
      <c r="B7" s="148" t="s">
        <v>245</v>
      </c>
      <c r="C7" s="97"/>
      <c r="D7" s="24">
        <v>1</v>
      </c>
      <c r="E7" s="27" t="s">
        <v>385</v>
      </c>
      <c r="F7" s="97"/>
    </row>
    <row r="8" spans="1:6">
      <c r="B8" s="97" t="s">
        <v>449</v>
      </c>
      <c r="C8" s="97"/>
      <c r="D8" s="24">
        <v>1</v>
      </c>
      <c r="E8" s="27" t="s">
        <v>385</v>
      </c>
      <c r="F8" s="97"/>
    </row>
    <row r="9" spans="1:6">
      <c r="B9" s="95" t="s">
        <v>450</v>
      </c>
      <c r="D9" s="24">
        <v>3</v>
      </c>
      <c r="E9" s="45" t="s">
        <v>385</v>
      </c>
      <c r="F9" s="97"/>
    </row>
    <row r="10" spans="1:6">
      <c r="B10" s="97" t="s">
        <v>159</v>
      </c>
      <c r="C10" s="97"/>
      <c r="D10" s="156">
        <v>6</v>
      </c>
      <c r="E10" s="45" t="s">
        <v>385</v>
      </c>
      <c r="F10" s="97"/>
    </row>
    <row r="11" spans="1:6">
      <c r="B11" s="148" t="s">
        <v>60</v>
      </c>
      <c r="C11" s="97"/>
      <c r="D11" s="24">
        <v>1</v>
      </c>
      <c r="E11" s="45" t="s">
        <v>385</v>
      </c>
      <c r="F11" s="97"/>
    </row>
    <row r="12" spans="1:6">
      <c r="B12" s="97" t="s">
        <v>399</v>
      </c>
      <c r="C12" s="97"/>
      <c r="D12" s="24">
        <v>42</v>
      </c>
      <c r="E12" s="27" t="s">
        <v>385</v>
      </c>
      <c r="F12" s="97"/>
    </row>
    <row r="13" spans="1:6">
      <c r="B13" s="2" t="s">
        <v>451</v>
      </c>
      <c r="D13" s="24">
        <v>3</v>
      </c>
      <c r="E13" s="27" t="s">
        <v>385</v>
      </c>
      <c r="F13" s="97"/>
    </row>
    <row r="14" spans="1:6">
      <c r="B14" s="2" t="s">
        <v>452</v>
      </c>
      <c r="D14" s="24">
        <v>27</v>
      </c>
      <c r="E14" s="27" t="s">
        <v>385</v>
      </c>
      <c r="F14" s="97"/>
    </row>
    <row r="15" spans="1:6">
      <c r="B15" s="2" t="s">
        <v>259</v>
      </c>
      <c r="D15" s="24">
        <v>54</v>
      </c>
      <c r="E15" s="27" t="s">
        <v>385</v>
      </c>
      <c r="F15" s="97"/>
    </row>
    <row r="16" spans="1:6">
      <c r="B16" s="2" t="s">
        <v>261</v>
      </c>
      <c r="D16" s="24">
        <v>8</v>
      </c>
      <c r="E16" s="27" t="s">
        <v>385</v>
      </c>
      <c r="F16" s="97"/>
    </row>
    <row r="17" spans="2:6">
      <c r="B17" s="2" t="s">
        <v>453</v>
      </c>
      <c r="D17" s="24">
        <v>7</v>
      </c>
      <c r="E17" s="27" t="s">
        <v>385</v>
      </c>
      <c r="F17" s="97"/>
    </row>
    <row r="18" spans="2:6">
      <c r="B18" s="2" t="s">
        <v>454</v>
      </c>
      <c r="D18" s="24">
        <v>3</v>
      </c>
      <c r="E18" s="27" t="s">
        <v>385</v>
      </c>
      <c r="F18" s="97"/>
    </row>
    <row r="19" spans="2:6">
      <c r="B19" s="2" t="s">
        <v>455</v>
      </c>
      <c r="D19" s="24">
        <v>3</v>
      </c>
      <c r="E19" s="27" t="s">
        <v>385</v>
      </c>
      <c r="F19" s="97"/>
    </row>
    <row r="20" spans="2:6">
      <c r="B20" s="2" t="s">
        <v>456</v>
      </c>
      <c r="D20" s="24">
        <v>3</v>
      </c>
      <c r="E20" s="27" t="s">
        <v>385</v>
      </c>
      <c r="F20" s="97"/>
    </row>
    <row r="21" spans="2:6">
      <c r="B21" s="2" t="s">
        <v>279</v>
      </c>
      <c r="D21" s="24">
        <v>3</v>
      </c>
      <c r="E21" s="27" t="s">
        <v>385</v>
      </c>
      <c r="F21" s="97"/>
    </row>
    <row r="22" spans="2:6">
      <c r="B22" s="2" t="s">
        <v>402</v>
      </c>
      <c r="D22" s="24">
        <v>3</v>
      </c>
      <c r="E22" s="27" t="s">
        <v>385</v>
      </c>
      <c r="F22" s="97"/>
    </row>
    <row r="23" spans="2:6">
      <c r="B23" s="2" t="s">
        <v>384</v>
      </c>
      <c r="D23" s="24">
        <v>24</v>
      </c>
      <c r="E23" s="27" t="s">
        <v>385</v>
      </c>
      <c r="F23" s="97"/>
    </row>
    <row r="24" spans="2:6">
      <c r="B24" s="97" t="s">
        <v>386</v>
      </c>
      <c r="C24" s="97"/>
      <c r="D24" s="24">
        <v>6</v>
      </c>
      <c r="E24" s="27" t="s">
        <v>385</v>
      </c>
      <c r="F24" s="97"/>
    </row>
    <row r="25" spans="2:6">
      <c r="B25" s="97" t="s">
        <v>287</v>
      </c>
      <c r="C25" s="97"/>
      <c r="D25" s="24">
        <v>21</v>
      </c>
      <c r="E25" s="27" t="s">
        <v>385</v>
      </c>
      <c r="F25" s="97"/>
    </row>
    <row r="26" spans="2:6">
      <c r="B26" s="118" t="s">
        <v>289</v>
      </c>
      <c r="C26" s="118"/>
      <c r="D26" s="119">
        <v>3</v>
      </c>
      <c r="E26" s="120" t="s">
        <v>385</v>
      </c>
      <c r="F26" s="97"/>
    </row>
    <row r="27" spans="2:6">
      <c r="B27" s="118" t="s">
        <v>457</v>
      </c>
      <c r="C27" s="118"/>
      <c r="D27" s="119">
        <v>3</v>
      </c>
      <c r="E27" s="120" t="s">
        <v>385</v>
      </c>
      <c r="F27" s="97"/>
    </row>
    <row r="28" spans="2:6">
      <c r="B28" s="161" t="s">
        <v>458</v>
      </c>
      <c r="C28" s="125" t="s">
        <v>459</v>
      </c>
      <c r="D28" s="162">
        <v>28</v>
      </c>
      <c r="E28" s="48" t="s">
        <v>385</v>
      </c>
      <c r="F28" s="97"/>
    </row>
    <row r="29" spans="2:6">
      <c r="B29" s="118" t="s">
        <v>460</v>
      </c>
      <c r="C29" s="118"/>
      <c r="D29" s="119">
        <v>3</v>
      </c>
      <c r="E29" s="48" t="s">
        <v>385</v>
      </c>
      <c r="F29" s="97"/>
    </row>
    <row r="30" spans="2:6">
      <c r="B30" s="118" t="s">
        <v>461</v>
      </c>
      <c r="C30" s="118"/>
      <c r="D30" s="119">
        <v>3</v>
      </c>
      <c r="E30" s="48" t="s">
        <v>385</v>
      </c>
      <c r="F30" s="97"/>
    </row>
    <row r="31" spans="2:6">
      <c r="B31" s="118" t="s">
        <v>462</v>
      </c>
      <c r="C31" s="118"/>
      <c r="D31" s="119">
        <v>1</v>
      </c>
      <c r="E31" s="120" t="s">
        <v>388</v>
      </c>
      <c r="F31" s="97"/>
    </row>
    <row r="32" spans="2:6">
      <c r="B32" s="118" t="s">
        <v>463</v>
      </c>
      <c r="C32" s="118"/>
      <c r="D32" s="119">
        <v>1</v>
      </c>
      <c r="E32" s="120" t="s">
        <v>388</v>
      </c>
      <c r="F32" s="97"/>
    </row>
    <row r="33" spans="2:6">
      <c r="B33" s="118" t="s">
        <v>464</v>
      </c>
      <c r="C33" s="118"/>
      <c r="D33" s="119">
        <v>1</v>
      </c>
      <c r="E33" s="120" t="s">
        <v>388</v>
      </c>
      <c r="F33" s="97"/>
    </row>
    <row r="34" spans="2:6">
      <c r="B34" s="2" t="s">
        <v>465</v>
      </c>
      <c r="D34" s="24">
        <v>2</v>
      </c>
      <c r="E34" s="27" t="s">
        <v>388</v>
      </c>
      <c r="F34" s="97"/>
    </row>
    <row r="35" spans="2:6">
      <c r="B35" s="2" t="s">
        <v>466</v>
      </c>
      <c r="D35" s="24">
        <v>1</v>
      </c>
      <c r="E35" s="27" t="s">
        <v>388</v>
      </c>
      <c r="F35" s="97"/>
    </row>
    <row r="36" spans="2:6">
      <c r="B36" s="2" t="s">
        <v>467</v>
      </c>
      <c r="D36" s="24">
        <v>1</v>
      </c>
      <c r="E36" s="27" t="s">
        <v>388</v>
      </c>
      <c r="F36" s="97"/>
    </row>
    <row r="37" spans="2:6">
      <c r="B37" s="97" t="s">
        <v>468</v>
      </c>
      <c r="C37" s="97"/>
      <c r="D37" s="24">
        <v>1</v>
      </c>
      <c r="E37" s="27" t="s">
        <v>388</v>
      </c>
      <c r="F37" s="97"/>
    </row>
    <row r="38" spans="2:6">
      <c r="B38" s="2" t="s">
        <v>469</v>
      </c>
      <c r="D38" s="24">
        <v>1</v>
      </c>
      <c r="E38" s="27" t="s">
        <v>388</v>
      </c>
      <c r="F38" s="97"/>
    </row>
    <row r="39" spans="2:6">
      <c r="B39" s="2" t="s">
        <v>470</v>
      </c>
      <c r="D39" s="24">
        <v>1</v>
      </c>
      <c r="E39" s="27" t="s">
        <v>388</v>
      </c>
      <c r="F39" s="97"/>
    </row>
    <row r="40" spans="2:6">
      <c r="B40" s="2" t="s">
        <v>471</v>
      </c>
      <c r="D40" s="24">
        <v>1</v>
      </c>
      <c r="E40" s="27" t="s">
        <v>388</v>
      </c>
      <c r="F40" s="97"/>
    </row>
    <row r="41" spans="2:6">
      <c r="B41" s="2" t="s">
        <v>472</v>
      </c>
      <c r="D41" s="24">
        <v>1</v>
      </c>
      <c r="E41" s="27" t="s">
        <v>388</v>
      </c>
      <c r="F41" s="97"/>
    </row>
    <row r="42" spans="2:6">
      <c r="B42" s="2" t="s">
        <v>473</v>
      </c>
      <c r="D42" s="24">
        <v>3</v>
      </c>
      <c r="E42" s="27" t="s">
        <v>388</v>
      </c>
      <c r="F42" s="97"/>
    </row>
    <row r="43" spans="2:6">
      <c r="B43" s="2" t="s">
        <v>474</v>
      </c>
      <c r="D43" s="24">
        <v>1</v>
      </c>
      <c r="E43" s="27" t="s">
        <v>388</v>
      </c>
      <c r="F43" s="97"/>
    </row>
    <row r="44" spans="2:6">
      <c r="B44" s="2" t="s">
        <v>475</v>
      </c>
      <c r="D44" s="24">
        <v>1</v>
      </c>
      <c r="E44" s="27" t="s">
        <v>388</v>
      </c>
      <c r="F44" s="97"/>
    </row>
    <row r="45" spans="2:6">
      <c r="B45" s="2" t="s">
        <v>476</v>
      </c>
      <c r="D45" s="24">
        <v>1</v>
      </c>
      <c r="E45" s="27" t="s">
        <v>388</v>
      </c>
      <c r="F45" s="97"/>
    </row>
    <row r="46" spans="2:6">
      <c r="B46" s="19"/>
      <c r="C46" s="19"/>
      <c r="D46" s="116"/>
      <c r="F46" s="97"/>
    </row>
    <row r="47" spans="2:6">
      <c r="B47" s="20"/>
      <c r="C47" s="20"/>
      <c r="D47" s="116"/>
      <c r="F47" s="97"/>
    </row>
    <row r="48" spans="2:6">
      <c r="B48" s="20"/>
      <c r="C48" s="20"/>
      <c r="D48" s="116"/>
      <c r="F48" s="97"/>
    </row>
    <row r="49" spans="2:6">
      <c r="B49" s="20"/>
      <c r="C49" s="20"/>
      <c r="D49" s="116"/>
      <c r="F49" s="97"/>
    </row>
    <row r="50" spans="2:6">
      <c r="B50" s="116"/>
      <c r="C50" s="116"/>
      <c r="D50" s="116"/>
      <c r="F50" s="97"/>
    </row>
    <row r="51" spans="2:6">
      <c r="B51" s="18"/>
      <c r="C51" s="18"/>
      <c r="D51" s="116"/>
      <c r="F51" s="97"/>
    </row>
    <row r="52" spans="2:6">
      <c r="B52" s="116"/>
      <c r="C52" s="116"/>
      <c r="D52" s="116"/>
      <c r="F52" s="97"/>
    </row>
    <row r="53" spans="2:6">
      <c r="B53" s="116"/>
      <c r="C53" s="116"/>
      <c r="D53" s="116"/>
      <c r="F53" s="97"/>
    </row>
    <row r="54" spans="2:6">
      <c r="B54" s="116"/>
      <c r="C54" s="116"/>
      <c r="D54" s="116"/>
      <c r="F54" s="97"/>
    </row>
  </sheetData>
  <hyperlinks>
    <hyperlink ref="E3" r:id="rId1" display="625ZZ - 10PCS" xr:uid="{F48EDE7F-367F-4DD5-8E5F-1766D43C9B41}"/>
    <hyperlink ref="E4" r:id="rId2" display="M6x12x1mm" xr:uid="{6C57189E-EDCE-4D42-9162-E0C37FC23A48}"/>
    <hyperlink ref="E5" r:id="rId3" display="F606ZZ" xr:uid="{8F3ED359-6073-452D-B027-0EFC45058DD2}"/>
    <hyperlink ref="A2" r:id="rId4" xr:uid="{33B93EB3-A6DF-4A17-A77E-EACF6A288848}"/>
    <hyperlink ref="A3" r:id="rId5" xr:uid="{88270DE8-8176-4E46-AA0A-B0CD7BC41D02}"/>
    <hyperlink ref="A4" r:id="rId6" xr:uid="{56CBAA77-FDCB-4402-A663-572949F01714}"/>
  </hyperlinks>
  <pageMargins left="0.7" right="0.7" top="0.75" bottom="0.75" header="0.3" footer="0.3"/>
  <pageSetup paperSize="9" scale="61" orientation="portrait" r:id="rId7"/>
  <headerFooter>
    <oddHeader>&amp;C&amp;"Aptos Black,Regular"&amp;14VALKYRIE V2 - Z SYSTEM BOM</oddHeader>
    <oddFooter>&amp;CBETA PRELEASE</oddFooter>
  </headerFooter>
  <drawing r:id="rId8"/>
  <tableParts count="1">
    <tablePart r:id="rId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  <pageSetUpPr fitToPage="1"/>
  </sheetPr>
  <dimension ref="A1:G83"/>
  <sheetViews>
    <sheetView view="pageLayout" zoomScaleNormal="100" workbookViewId="0">
      <selection activeCell="E1" sqref="E1"/>
    </sheetView>
  </sheetViews>
  <sheetFormatPr defaultColWidth="11.42578125" defaultRowHeight="15"/>
  <cols>
    <col min="1" max="1" width="15.5703125" style="2" bestFit="1" customWidth="1"/>
    <col min="2" max="2" width="34.5703125" style="2" customWidth="1"/>
    <col min="3" max="3" width="21.7109375" style="2" bestFit="1" customWidth="1"/>
    <col min="4" max="4" width="11" style="2" bestFit="1" customWidth="1"/>
    <col min="5" max="5" width="13.5703125" style="2" bestFit="1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7" ht="30" customHeight="1">
      <c r="A1" s="19" t="s">
        <v>360</v>
      </c>
      <c r="B1" s="14" t="s">
        <v>361</v>
      </c>
      <c r="C1" s="98" t="s">
        <v>362</v>
      </c>
      <c r="D1" s="98" t="s">
        <v>363</v>
      </c>
      <c r="E1" s="98" t="s">
        <v>364</v>
      </c>
      <c r="F1" s="18" t="s">
        <v>365</v>
      </c>
    </row>
    <row r="2" spans="1:7">
      <c r="A2" s="20" t="s">
        <v>366</v>
      </c>
      <c r="B2" s="46" t="s">
        <v>346</v>
      </c>
      <c r="C2" s="97" t="s">
        <v>393</v>
      </c>
      <c r="D2" s="24">
        <v>14</v>
      </c>
      <c r="E2" t="s">
        <v>385</v>
      </c>
      <c r="F2" s="116" t="s">
        <v>369</v>
      </c>
    </row>
    <row r="3" spans="1:7">
      <c r="A3" s="20" t="s">
        <v>370</v>
      </c>
      <c r="B3" t="s">
        <v>477</v>
      </c>
      <c r="C3" s="97" t="s">
        <v>12</v>
      </c>
      <c r="D3" s="24">
        <v>13</v>
      </c>
      <c r="E3" t="s">
        <v>385</v>
      </c>
      <c r="F3" s="116" t="s">
        <v>372</v>
      </c>
    </row>
    <row r="4" spans="1:7">
      <c r="A4" s="20" t="s">
        <v>373</v>
      </c>
      <c r="B4" s="97" t="s">
        <v>350</v>
      </c>
      <c r="C4" s="97" t="s">
        <v>393</v>
      </c>
      <c r="D4" s="24">
        <v>2</v>
      </c>
      <c r="E4" s="27" t="s">
        <v>385</v>
      </c>
      <c r="F4" s="116" t="s">
        <v>375</v>
      </c>
    </row>
    <row r="5" spans="1:7">
      <c r="B5" t="s">
        <v>478</v>
      </c>
      <c r="C5" s="97" t="s">
        <v>12</v>
      </c>
      <c r="D5" s="24">
        <v>2</v>
      </c>
      <c r="E5" t="s">
        <v>385</v>
      </c>
      <c r="F5" s="97"/>
    </row>
    <row r="6" spans="1:7">
      <c r="B6" s="97" t="s">
        <v>479</v>
      </c>
      <c r="C6" s="97" t="s">
        <v>305</v>
      </c>
      <c r="D6" s="24">
        <v>1</v>
      </c>
      <c r="E6" t="s">
        <v>385</v>
      </c>
      <c r="F6" s="97"/>
    </row>
    <row r="7" spans="1:7">
      <c r="B7" s="97" t="s">
        <v>480</v>
      </c>
      <c r="C7" s="97" t="s">
        <v>218</v>
      </c>
      <c r="D7" s="24">
        <v>4</v>
      </c>
      <c r="E7" t="s">
        <v>385</v>
      </c>
      <c r="F7" s="97"/>
    </row>
    <row r="8" spans="1:7">
      <c r="B8" s="1" t="s">
        <v>481</v>
      </c>
      <c r="C8" s="97" t="s">
        <v>345</v>
      </c>
      <c r="D8" s="24">
        <v>6</v>
      </c>
      <c r="E8" s="27" t="s">
        <v>385</v>
      </c>
      <c r="F8" s="97"/>
      <c r="G8" s="116"/>
    </row>
    <row r="9" spans="1:7">
      <c r="B9" s="1" t="s">
        <v>482</v>
      </c>
      <c r="C9" s="97" t="s">
        <v>163</v>
      </c>
      <c r="D9" s="24">
        <v>6</v>
      </c>
      <c r="E9" s="27" t="s">
        <v>385</v>
      </c>
      <c r="F9" s="97"/>
      <c r="G9" s="116"/>
    </row>
    <row r="10" spans="1:7">
      <c r="B10" s="22" t="s">
        <v>483</v>
      </c>
      <c r="C10" s="2" t="s">
        <v>484</v>
      </c>
      <c r="D10" s="24">
        <v>2</v>
      </c>
      <c r="E10" t="s">
        <v>385</v>
      </c>
      <c r="F10" s="97"/>
      <c r="G10" s="116"/>
    </row>
    <row r="11" spans="1:7">
      <c r="B11" s="22" t="s">
        <v>38</v>
      </c>
      <c r="C11" s="97" t="s">
        <v>485</v>
      </c>
      <c r="D11" s="24">
        <v>1</v>
      </c>
      <c r="E11" s="45" t="s">
        <v>385</v>
      </c>
      <c r="F11" s="97"/>
    </row>
    <row r="12" spans="1:7">
      <c r="B12" s="97" t="s">
        <v>51</v>
      </c>
      <c r="C12" s="97" t="s">
        <v>485</v>
      </c>
      <c r="D12" s="24">
        <v>1</v>
      </c>
      <c r="E12" s="45" t="s">
        <v>385</v>
      </c>
      <c r="F12" s="97"/>
    </row>
    <row r="13" spans="1:7">
      <c r="B13" s="97" t="s">
        <v>54</v>
      </c>
      <c r="C13" s="97" t="s">
        <v>485</v>
      </c>
      <c r="D13" s="24">
        <v>1</v>
      </c>
      <c r="E13" s="27" t="s">
        <v>385</v>
      </c>
      <c r="F13" s="97"/>
    </row>
    <row r="14" spans="1:7">
      <c r="B14" t="s">
        <v>426</v>
      </c>
      <c r="C14" s="1" t="s">
        <v>176</v>
      </c>
      <c r="D14" s="24">
        <v>29</v>
      </c>
      <c r="E14" t="s">
        <v>385</v>
      </c>
      <c r="F14" s="97"/>
    </row>
    <row r="15" spans="1:7">
      <c r="B15" t="s">
        <v>486</v>
      </c>
      <c r="C15" s="1" t="s">
        <v>345</v>
      </c>
      <c r="D15" s="24">
        <v>19</v>
      </c>
      <c r="E15" t="s">
        <v>385</v>
      </c>
      <c r="F15" s="97"/>
    </row>
    <row r="16" spans="1:7">
      <c r="B16" t="s">
        <v>487</v>
      </c>
      <c r="C16" s="97" t="s">
        <v>488</v>
      </c>
      <c r="D16" s="24">
        <v>4</v>
      </c>
      <c r="E16" s="27" t="s">
        <v>385</v>
      </c>
      <c r="F16" s="97"/>
    </row>
    <row r="17" spans="2:6">
      <c r="B17" s="2" t="s">
        <v>429</v>
      </c>
      <c r="C17" s="97" t="s">
        <v>251</v>
      </c>
      <c r="D17" s="24">
        <v>19</v>
      </c>
      <c r="E17" s="27" t="s">
        <v>385</v>
      </c>
      <c r="F17" s="97"/>
    </row>
    <row r="18" spans="2:6">
      <c r="B18" s="41" t="s">
        <v>263</v>
      </c>
      <c r="C18" s="97" t="s">
        <v>251</v>
      </c>
      <c r="D18" s="24">
        <v>6</v>
      </c>
      <c r="E18" t="s">
        <v>385</v>
      </c>
      <c r="F18" s="97"/>
    </row>
    <row r="19" spans="2:6">
      <c r="B19" s="2" t="s">
        <v>455</v>
      </c>
      <c r="C19" s="97" t="s">
        <v>176</v>
      </c>
      <c r="D19" s="24">
        <v>13</v>
      </c>
      <c r="E19" s="27" t="s">
        <v>385</v>
      </c>
      <c r="F19" s="97"/>
    </row>
    <row r="20" spans="2:6">
      <c r="B20" s="97" t="s">
        <v>489</v>
      </c>
      <c r="C20" s="97" t="s">
        <v>176</v>
      </c>
      <c r="D20" s="24">
        <v>4</v>
      </c>
      <c r="E20" s="27" t="s">
        <v>385</v>
      </c>
      <c r="F20" s="97"/>
    </row>
    <row r="21" spans="2:6">
      <c r="B21" s="97" t="s">
        <v>490</v>
      </c>
      <c r="C21" s="97" t="s">
        <v>345</v>
      </c>
      <c r="D21" s="24">
        <v>6</v>
      </c>
      <c r="E21" s="27" t="s">
        <v>385</v>
      </c>
      <c r="F21" s="97"/>
    </row>
    <row r="22" spans="2:6">
      <c r="B22" s="46" t="s">
        <v>271</v>
      </c>
      <c r="C22" s="97" t="s">
        <v>251</v>
      </c>
      <c r="D22" s="24">
        <v>4</v>
      </c>
      <c r="E22" s="27" t="s">
        <v>385</v>
      </c>
      <c r="F22" s="97"/>
    </row>
    <row r="23" spans="2:6">
      <c r="B23" t="s">
        <v>491</v>
      </c>
      <c r="C23" s="97" t="s">
        <v>251</v>
      </c>
      <c r="D23" s="24">
        <v>6</v>
      </c>
      <c r="E23" s="27" t="s">
        <v>385</v>
      </c>
      <c r="F23" s="97"/>
    </row>
    <row r="24" spans="2:6">
      <c r="B24" s="46" t="s">
        <v>277</v>
      </c>
      <c r="C24" s="97" t="s">
        <v>251</v>
      </c>
      <c r="D24" s="24">
        <v>4</v>
      </c>
      <c r="E24" s="27" t="s">
        <v>385</v>
      </c>
      <c r="F24" s="97"/>
    </row>
    <row r="25" spans="2:6">
      <c r="B25" s="46" t="s">
        <v>283</v>
      </c>
      <c r="C25" s="97" t="s">
        <v>251</v>
      </c>
      <c r="D25" s="24">
        <v>4</v>
      </c>
      <c r="E25" s="27" t="s">
        <v>385</v>
      </c>
      <c r="F25" s="97"/>
    </row>
    <row r="26" spans="2:6">
      <c r="B26" s="97" t="s">
        <v>492</v>
      </c>
      <c r="C26" s="97" t="s">
        <v>176</v>
      </c>
      <c r="D26" s="24">
        <v>1</v>
      </c>
      <c r="E26" s="27" t="s">
        <v>385</v>
      </c>
      <c r="F26" s="97"/>
    </row>
    <row r="27" spans="2:6">
      <c r="B27" s="97" t="s">
        <v>190</v>
      </c>
      <c r="C27" s="97" t="s">
        <v>176</v>
      </c>
      <c r="D27" s="24">
        <v>16</v>
      </c>
      <c r="E27" s="27" t="s">
        <v>385</v>
      </c>
      <c r="F27" s="97"/>
    </row>
    <row r="28" spans="2:6">
      <c r="B28" s="2" t="s">
        <v>384</v>
      </c>
      <c r="C28" s="97" t="s">
        <v>176</v>
      </c>
      <c r="D28" s="24">
        <v>52</v>
      </c>
      <c r="E28" s="27" t="s">
        <v>385</v>
      </c>
      <c r="F28" s="97"/>
    </row>
    <row r="29" spans="2:6">
      <c r="B29" s="2" t="s">
        <v>386</v>
      </c>
      <c r="C29" s="97" t="s">
        <v>345</v>
      </c>
      <c r="D29" s="24">
        <v>77</v>
      </c>
      <c r="E29" s="27" t="s">
        <v>385</v>
      </c>
      <c r="F29" s="97"/>
    </row>
    <row r="30" spans="2:6">
      <c r="B30" s="2" t="s">
        <v>287</v>
      </c>
      <c r="C30" s="97" t="s">
        <v>251</v>
      </c>
      <c r="D30" s="24">
        <v>16</v>
      </c>
      <c r="E30" s="27" t="s">
        <v>385</v>
      </c>
      <c r="F30" s="97"/>
    </row>
    <row r="31" spans="2:6">
      <c r="B31" s="97" t="s">
        <v>493</v>
      </c>
      <c r="C31" s="97" t="s">
        <v>404</v>
      </c>
      <c r="D31" s="24">
        <v>44</v>
      </c>
      <c r="E31" t="s">
        <v>385</v>
      </c>
      <c r="F31" s="97"/>
    </row>
    <row r="32" spans="2:6">
      <c r="B32" s="97" t="s">
        <v>494</v>
      </c>
      <c r="C32" s="97" t="s">
        <v>404</v>
      </c>
      <c r="D32" s="24">
        <v>17</v>
      </c>
      <c r="E32" t="s">
        <v>385</v>
      </c>
      <c r="F32" s="97"/>
    </row>
    <row r="33" spans="2:6">
      <c r="B33" s="2" t="s">
        <v>495</v>
      </c>
      <c r="C33" s="2" t="s">
        <v>496</v>
      </c>
      <c r="D33" s="24">
        <v>1</v>
      </c>
      <c r="E33" t="s">
        <v>388</v>
      </c>
      <c r="F33" s="97"/>
    </row>
    <row r="34" spans="2:6">
      <c r="B34" s="97" t="s">
        <v>497</v>
      </c>
      <c r="C34" s="2" t="s">
        <v>498</v>
      </c>
      <c r="D34" s="24">
        <v>1</v>
      </c>
      <c r="E34" s="27" t="s">
        <v>499</v>
      </c>
      <c r="F34" s="97"/>
    </row>
    <row r="35" spans="2:6">
      <c r="B35" s="97" t="s">
        <v>500</v>
      </c>
      <c r="C35" s="2" t="s">
        <v>496</v>
      </c>
      <c r="D35" s="24">
        <v>2</v>
      </c>
      <c r="E35" s="27" t="s">
        <v>388</v>
      </c>
      <c r="F35" s="97"/>
    </row>
    <row r="36" spans="2:6">
      <c r="B36" s="2" t="s">
        <v>501</v>
      </c>
      <c r="C36" s="2" t="s">
        <v>496</v>
      </c>
      <c r="D36" s="24">
        <v>1</v>
      </c>
      <c r="E36" s="27" t="s">
        <v>388</v>
      </c>
      <c r="F36" s="97"/>
    </row>
    <row r="37" spans="2:6">
      <c r="B37" s="2" t="s">
        <v>502</v>
      </c>
      <c r="C37" s="2" t="s">
        <v>496</v>
      </c>
      <c r="D37" s="24">
        <v>1</v>
      </c>
      <c r="E37" s="27" t="s">
        <v>388</v>
      </c>
      <c r="F37" s="97"/>
    </row>
    <row r="38" spans="2:6">
      <c r="B38" s="103" t="s">
        <v>503</v>
      </c>
      <c r="C38" s="103" t="s">
        <v>247</v>
      </c>
      <c r="D38" s="44">
        <v>1</v>
      </c>
      <c r="E38" s="51" t="s">
        <v>247</v>
      </c>
      <c r="F38" s="97"/>
    </row>
    <row r="39" spans="2:6">
      <c r="B39" s="2" t="s">
        <v>504</v>
      </c>
      <c r="C39" s="2" t="s">
        <v>496</v>
      </c>
      <c r="D39" s="24">
        <v>4</v>
      </c>
      <c r="E39" s="27" t="s">
        <v>388</v>
      </c>
      <c r="F39" s="97"/>
    </row>
    <row r="40" spans="2:6">
      <c r="B40" s="97" t="s">
        <v>505</v>
      </c>
      <c r="C40" s="2" t="s">
        <v>496</v>
      </c>
      <c r="D40" s="24">
        <v>2</v>
      </c>
      <c r="E40" s="27" t="s">
        <v>388</v>
      </c>
      <c r="F40" s="97"/>
    </row>
    <row r="41" spans="2:6">
      <c r="B41" s="2" t="s">
        <v>506</v>
      </c>
      <c r="C41" s="2" t="s">
        <v>496</v>
      </c>
      <c r="D41" s="24">
        <v>1</v>
      </c>
      <c r="E41" s="27" t="s">
        <v>388</v>
      </c>
      <c r="F41" s="97"/>
    </row>
    <row r="42" spans="2:6">
      <c r="B42" s="2" t="s">
        <v>507</v>
      </c>
      <c r="C42" s="2" t="s">
        <v>496</v>
      </c>
      <c r="D42" s="24">
        <v>1</v>
      </c>
      <c r="E42" s="27" t="s">
        <v>388</v>
      </c>
      <c r="F42" s="97"/>
    </row>
    <row r="43" spans="2:6">
      <c r="B43" s="2" t="s">
        <v>508</v>
      </c>
      <c r="C43" s="2" t="s">
        <v>496</v>
      </c>
      <c r="D43" s="24">
        <v>2</v>
      </c>
      <c r="E43" s="27" t="s">
        <v>388</v>
      </c>
      <c r="F43" s="97"/>
    </row>
    <row r="44" spans="2:6">
      <c r="B44" s="2" t="s">
        <v>509</v>
      </c>
      <c r="C44" s="2" t="s">
        <v>496</v>
      </c>
      <c r="D44" s="24">
        <v>1</v>
      </c>
      <c r="E44" s="27" t="s">
        <v>388</v>
      </c>
      <c r="F44" s="97"/>
    </row>
    <row r="45" spans="2:6">
      <c r="B45" s="2" t="s">
        <v>510</v>
      </c>
      <c r="C45" s="2" t="s">
        <v>496</v>
      </c>
      <c r="D45" s="24">
        <v>1</v>
      </c>
      <c r="E45" s="27" t="s">
        <v>388</v>
      </c>
      <c r="F45" s="97"/>
    </row>
    <row r="46" spans="2:6">
      <c r="B46" s="2" t="s">
        <v>511</v>
      </c>
      <c r="C46" s="2" t="s">
        <v>496</v>
      </c>
      <c r="D46" s="24">
        <v>1</v>
      </c>
      <c r="E46" s="27" t="s">
        <v>388</v>
      </c>
      <c r="F46" s="97"/>
    </row>
    <row r="47" spans="2:6">
      <c r="B47" s="2" t="s">
        <v>512</v>
      </c>
      <c r="C47" s="2" t="s">
        <v>496</v>
      </c>
      <c r="D47" s="24">
        <v>1</v>
      </c>
      <c r="E47" s="27" t="s">
        <v>388</v>
      </c>
      <c r="F47" s="97"/>
    </row>
    <row r="48" spans="2:6">
      <c r="B48" s="97" t="s">
        <v>513</v>
      </c>
      <c r="C48" s="2" t="s">
        <v>496</v>
      </c>
      <c r="D48" s="24">
        <v>1</v>
      </c>
      <c r="E48" s="27" t="s">
        <v>388</v>
      </c>
      <c r="F48" s="97"/>
    </row>
    <row r="49" spans="2:6">
      <c r="B49" s="97" t="s">
        <v>514</v>
      </c>
      <c r="C49" s="2" t="s">
        <v>496</v>
      </c>
      <c r="D49" s="24">
        <v>1</v>
      </c>
      <c r="E49" s="27" t="s">
        <v>388</v>
      </c>
      <c r="F49" s="97"/>
    </row>
    <row r="50" spans="2:6">
      <c r="B50" s="97" t="s">
        <v>515</v>
      </c>
      <c r="C50" s="2" t="s">
        <v>496</v>
      </c>
      <c r="D50" s="24">
        <v>1</v>
      </c>
      <c r="E50" s="27" t="s">
        <v>388</v>
      </c>
      <c r="F50" s="97"/>
    </row>
    <row r="51" spans="2:6">
      <c r="B51" s="97" t="s">
        <v>516</v>
      </c>
      <c r="C51" s="2" t="s">
        <v>496</v>
      </c>
      <c r="D51" s="24">
        <v>1</v>
      </c>
      <c r="E51" s="27" t="s">
        <v>388</v>
      </c>
      <c r="F51" s="97"/>
    </row>
    <row r="52" spans="2:6">
      <c r="B52" s="2" t="s">
        <v>517</v>
      </c>
      <c r="C52" s="2" t="s">
        <v>496</v>
      </c>
      <c r="D52" s="24">
        <v>1</v>
      </c>
      <c r="E52" s="27" t="s">
        <v>388</v>
      </c>
      <c r="F52" s="97"/>
    </row>
    <row r="53" spans="2:6">
      <c r="B53" s="2" t="s">
        <v>518</v>
      </c>
      <c r="C53" s="2" t="s">
        <v>496</v>
      </c>
      <c r="D53" s="24">
        <v>1</v>
      </c>
      <c r="E53" s="27" t="s">
        <v>388</v>
      </c>
      <c r="F53" s="97"/>
    </row>
    <row r="54" spans="2:6">
      <c r="B54" s="2" t="s">
        <v>519</v>
      </c>
      <c r="C54" s="2" t="s">
        <v>520</v>
      </c>
      <c r="D54" s="24">
        <v>1</v>
      </c>
      <c r="E54" s="27" t="s">
        <v>499</v>
      </c>
      <c r="F54" s="97"/>
    </row>
    <row r="55" spans="2:6">
      <c r="B55" s="2" t="s">
        <v>521</v>
      </c>
      <c r="C55" s="2" t="s">
        <v>520</v>
      </c>
      <c r="D55" s="24">
        <v>1</v>
      </c>
      <c r="E55" s="27" t="s">
        <v>499</v>
      </c>
      <c r="F55" s="97"/>
    </row>
    <row r="56" spans="2:6">
      <c r="B56" s="2" t="s">
        <v>522</v>
      </c>
      <c r="C56" s="2" t="s">
        <v>520</v>
      </c>
      <c r="D56" s="24">
        <v>1</v>
      </c>
      <c r="E56" s="27" t="s">
        <v>499</v>
      </c>
      <c r="F56" s="97"/>
    </row>
    <row r="57" spans="2:6">
      <c r="B57" s="2" t="s">
        <v>523</v>
      </c>
      <c r="C57" s="2" t="s">
        <v>520</v>
      </c>
      <c r="D57" s="24">
        <v>1</v>
      </c>
      <c r="E57" s="27" t="s">
        <v>499</v>
      </c>
      <c r="F57" s="97"/>
    </row>
    <row r="58" spans="2:6">
      <c r="B58" s="2" t="s">
        <v>524</v>
      </c>
      <c r="C58" s="2" t="s">
        <v>520</v>
      </c>
      <c r="D58" s="24">
        <v>1</v>
      </c>
      <c r="E58" s="27" t="s">
        <v>499</v>
      </c>
      <c r="F58" s="97"/>
    </row>
    <row r="59" spans="2:6">
      <c r="B59" s="2" t="s">
        <v>525</v>
      </c>
      <c r="C59" s="2" t="s">
        <v>520</v>
      </c>
      <c r="D59" s="24">
        <v>1</v>
      </c>
      <c r="E59" s="27" t="s">
        <v>499</v>
      </c>
      <c r="F59" s="97"/>
    </row>
    <row r="60" spans="2:6">
      <c r="B60" s="2" t="s">
        <v>526</v>
      </c>
      <c r="C60" s="2" t="s">
        <v>527</v>
      </c>
      <c r="D60" s="24">
        <v>1</v>
      </c>
      <c r="E60" s="27" t="s">
        <v>499</v>
      </c>
      <c r="F60" s="97"/>
    </row>
    <row r="61" spans="2:6">
      <c r="B61" s="2" t="s">
        <v>528</v>
      </c>
      <c r="C61" s="2" t="s">
        <v>527</v>
      </c>
      <c r="D61" s="24">
        <v>2</v>
      </c>
      <c r="E61" s="27" t="s">
        <v>499</v>
      </c>
      <c r="F61" s="97"/>
    </row>
    <row r="62" spans="2:6">
      <c r="B62" s="2" t="s">
        <v>529</v>
      </c>
      <c r="C62" s="2" t="s">
        <v>527</v>
      </c>
      <c r="D62" s="24">
        <v>1</v>
      </c>
      <c r="E62" s="27" t="s">
        <v>499</v>
      </c>
      <c r="F62" s="97"/>
    </row>
    <row r="63" spans="2:6">
      <c r="B63" s="2" t="s">
        <v>530</v>
      </c>
      <c r="C63" s="2" t="s">
        <v>527</v>
      </c>
      <c r="D63" s="24">
        <v>1</v>
      </c>
      <c r="E63" s="27" t="s">
        <v>499</v>
      </c>
      <c r="F63" s="97"/>
    </row>
    <row r="64" spans="2:6">
      <c r="B64" s="2" t="s">
        <v>531</v>
      </c>
      <c r="C64" s="2" t="s">
        <v>527</v>
      </c>
      <c r="D64" s="24">
        <v>1</v>
      </c>
      <c r="E64" s="27" t="s">
        <v>499</v>
      </c>
      <c r="F64" s="97"/>
    </row>
    <row r="65" spans="2:6">
      <c r="B65" s="2" t="s">
        <v>532</v>
      </c>
      <c r="C65" s="2" t="s">
        <v>527</v>
      </c>
      <c r="D65" s="24">
        <v>1</v>
      </c>
      <c r="E65" s="27" t="s">
        <v>499</v>
      </c>
      <c r="F65" s="97"/>
    </row>
    <row r="66" spans="2:6">
      <c r="B66" s="2" t="s">
        <v>533</v>
      </c>
      <c r="C66" s="2" t="s">
        <v>527</v>
      </c>
      <c r="D66" s="24">
        <v>1</v>
      </c>
      <c r="E66" s="27" t="s">
        <v>499</v>
      </c>
      <c r="F66" s="97"/>
    </row>
    <row r="67" spans="2:6">
      <c r="B67" s="2" t="s">
        <v>534</v>
      </c>
      <c r="C67" s="2" t="s">
        <v>527</v>
      </c>
      <c r="D67" s="24">
        <v>1</v>
      </c>
      <c r="E67" s="27" t="s">
        <v>499</v>
      </c>
      <c r="F67" s="97"/>
    </row>
    <row r="68" spans="2:6">
      <c r="B68" s="2" t="s">
        <v>535</v>
      </c>
      <c r="C68" s="2" t="s">
        <v>527</v>
      </c>
      <c r="D68" s="24">
        <v>1</v>
      </c>
      <c r="E68" s="27" t="s">
        <v>499</v>
      </c>
      <c r="F68" s="97"/>
    </row>
    <row r="69" spans="2:6">
      <c r="B69" s="97" t="s">
        <v>536</v>
      </c>
      <c r="C69" s="2" t="s">
        <v>496</v>
      </c>
      <c r="D69" s="24">
        <v>6</v>
      </c>
      <c r="E69" s="27" t="s">
        <v>388</v>
      </c>
      <c r="F69" s="97"/>
    </row>
    <row r="70" spans="2:6">
      <c r="B70" s="2" t="s">
        <v>537</v>
      </c>
      <c r="C70" s="2" t="s">
        <v>527</v>
      </c>
      <c r="D70" s="24">
        <v>1</v>
      </c>
      <c r="E70" s="27" t="s">
        <v>499</v>
      </c>
      <c r="F70" s="97"/>
    </row>
    <row r="71" spans="2:6">
      <c r="B71" s="1" t="s">
        <v>538</v>
      </c>
      <c r="C71" s="97" t="s">
        <v>496</v>
      </c>
      <c r="D71" s="24">
        <v>1</v>
      </c>
      <c r="E71" s="27" t="s">
        <v>388</v>
      </c>
      <c r="F71" s="97"/>
    </row>
    <row r="72" spans="2:6">
      <c r="B72" t="s">
        <v>539</v>
      </c>
      <c r="C72" s="97" t="s">
        <v>496</v>
      </c>
      <c r="D72" s="24">
        <v>2</v>
      </c>
      <c r="E72" s="27" t="s">
        <v>388</v>
      </c>
      <c r="F72" s="97"/>
    </row>
    <row r="73" spans="2:6">
      <c r="B73" t="s">
        <v>540</v>
      </c>
      <c r="C73" s="97" t="s">
        <v>496</v>
      </c>
      <c r="D73" s="24">
        <v>2</v>
      </c>
      <c r="E73" s="27" t="s">
        <v>388</v>
      </c>
      <c r="F73" s="97"/>
    </row>
    <row r="74" spans="2:6">
      <c r="B74" s="2" t="s">
        <v>541</v>
      </c>
      <c r="C74" s="2" t="s">
        <v>496</v>
      </c>
      <c r="D74" s="24">
        <v>2</v>
      </c>
      <c r="E74" s="27" t="s">
        <v>388</v>
      </c>
      <c r="F74" s="97"/>
    </row>
    <row r="75" spans="2:6">
      <c r="B75" s="2" t="s">
        <v>542</v>
      </c>
      <c r="C75" s="2" t="s">
        <v>496</v>
      </c>
      <c r="D75" s="24">
        <v>1</v>
      </c>
      <c r="E75" s="27" t="s">
        <v>388</v>
      </c>
      <c r="F75" s="97"/>
    </row>
    <row r="76" spans="2:6">
      <c r="F76" s="97"/>
    </row>
    <row r="77" spans="2:6">
      <c r="F77" s="97"/>
    </row>
    <row r="78" spans="2:6">
      <c r="F78" s="97"/>
    </row>
    <row r="79" spans="2:6">
      <c r="F79" s="97"/>
    </row>
    <row r="80" spans="2:6">
      <c r="C80" s="18"/>
      <c r="D80" s="116"/>
      <c r="F80" s="97"/>
    </row>
    <row r="81" spans="3:6">
      <c r="C81" s="116"/>
      <c r="F81" s="97"/>
    </row>
    <row r="82" spans="3:6">
      <c r="C82" s="116"/>
      <c r="F82" s="97"/>
    </row>
    <row r="83" spans="3:6">
      <c r="C83" s="116"/>
      <c r="F83" s="97"/>
    </row>
  </sheetData>
  <hyperlinks>
    <hyperlink ref="A2" r:id="rId1" xr:uid="{D107209A-6101-4C31-B53C-6E10604DFF0C}"/>
    <hyperlink ref="A3" r:id="rId2" xr:uid="{E4E10CD9-D3EB-42B1-8470-0DC8A8AE22F0}"/>
    <hyperlink ref="A4" r:id="rId3" xr:uid="{A4ED6380-5003-48D7-8576-86BDB4250366}"/>
  </hyperlinks>
  <printOptions horizontalCentered="1"/>
  <pageMargins left="0.19685039370078741" right="0.19685039370078741" top="0.39370078740157483" bottom="0.39370078740157483" header="0.19685039370078741" footer="0.19685039370078741"/>
  <pageSetup paperSize="9" scale="70" orientation="portrait" r:id="rId4"/>
  <headerFooter>
    <oddHeader>&amp;C&amp;"Aptos Black,Regular"&amp;14VALKYRIE V2 - ENCLOSURE BOM</oddHeader>
    <oddFooter>&amp;CBETA PRELEASE</oddFooter>
  </headerFooter>
  <drawing r:id="rId5"/>
  <tableParts count="1"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B1:H53"/>
  <sheetViews>
    <sheetView view="pageLayout" zoomScaleNormal="100" workbookViewId="0"/>
  </sheetViews>
  <sheetFormatPr defaultColWidth="11.42578125" defaultRowHeight="15"/>
  <cols>
    <col min="1" max="1" width="5.42578125" style="2" customWidth="1"/>
    <col min="2" max="2" width="30.7109375" style="2" customWidth="1"/>
    <col min="3" max="3" width="14" style="2" bestFit="1" customWidth="1"/>
    <col min="4" max="4" width="11" style="2" bestFit="1" customWidth="1"/>
    <col min="5" max="5" width="10.42578125" style="2" customWidth="1"/>
    <col min="6" max="6" width="14" style="2" bestFit="1" customWidth="1"/>
    <col min="7" max="7" width="8.5703125" style="2" customWidth="1"/>
    <col min="8" max="8" width="7.7109375" style="2" customWidth="1"/>
    <col min="9" max="16364" width="11.42578125" style="2"/>
    <col min="16365" max="16370" width="11.42578125" style="2" bestFit="1" customWidth="1"/>
    <col min="16371" max="16384" width="11.42578125" style="2"/>
  </cols>
  <sheetData>
    <row r="1" spans="2:8" ht="30" customHeight="1">
      <c r="B1" s="14" t="s">
        <v>361</v>
      </c>
      <c r="C1" s="98" t="s">
        <v>362</v>
      </c>
      <c r="D1" s="98" t="s">
        <v>363</v>
      </c>
      <c r="E1" s="98" t="s">
        <v>543</v>
      </c>
      <c r="F1" s="98" t="s">
        <v>364</v>
      </c>
      <c r="G1" s="98" t="s">
        <v>544</v>
      </c>
      <c r="H1" s="98" t="s">
        <v>545</v>
      </c>
    </row>
    <row r="2" spans="2:8">
      <c r="B2" s="22" t="s">
        <v>546</v>
      </c>
      <c r="C2" s="98" t="s">
        <v>393</v>
      </c>
      <c r="D2" s="173" t="s">
        <v>547</v>
      </c>
      <c r="E2" s="98"/>
      <c r="F2" s="98" t="s">
        <v>385</v>
      </c>
      <c r="G2" s="98"/>
      <c r="H2" s="98"/>
    </row>
    <row r="3" spans="2:8">
      <c r="B3" s="97" t="s">
        <v>148</v>
      </c>
      <c r="D3" s="97">
        <v>1</v>
      </c>
      <c r="E3" s="24"/>
      <c r="F3" s="27" t="s">
        <v>385</v>
      </c>
      <c r="G3" s="30"/>
      <c r="H3" s="30"/>
    </row>
    <row r="4" spans="2:8">
      <c r="B4" t="s">
        <v>477</v>
      </c>
      <c r="D4" s="97">
        <v>4</v>
      </c>
      <c r="E4" s="24"/>
      <c r="F4" s="27" t="s">
        <v>385</v>
      </c>
      <c r="G4" s="30"/>
      <c r="H4" s="30"/>
    </row>
    <row r="5" spans="2:8">
      <c r="B5" s="97" t="s">
        <v>308</v>
      </c>
      <c r="D5" s="97">
        <v>3</v>
      </c>
      <c r="E5" s="24"/>
      <c r="F5" s="27" t="s">
        <v>385</v>
      </c>
      <c r="G5" s="30"/>
      <c r="H5" s="30"/>
    </row>
    <row r="6" spans="2:8">
      <c r="B6" s="22" t="s">
        <v>321</v>
      </c>
      <c r="D6" s="97">
        <v>1</v>
      </c>
      <c r="E6" s="24"/>
      <c r="F6" s="27" t="s">
        <v>385</v>
      </c>
      <c r="G6" s="30"/>
      <c r="H6" s="30"/>
    </row>
    <row r="7" spans="2:8">
      <c r="B7" s="97" t="s">
        <v>548</v>
      </c>
      <c r="D7" s="2">
        <v>2</v>
      </c>
      <c r="E7" s="24"/>
      <c r="F7" s="27" t="s">
        <v>385</v>
      </c>
      <c r="G7" s="30"/>
      <c r="H7" s="30"/>
    </row>
    <row r="8" spans="2:8">
      <c r="B8" s="97" t="s">
        <v>549</v>
      </c>
      <c r="D8" s="97">
        <v>1</v>
      </c>
      <c r="E8" s="24"/>
      <c r="F8" s="27" t="s">
        <v>485</v>
      </c>
      <c r="G8" s="30"/>
      <c r="H8" s="30"/>
    </row>
    <row r="9" spans="2:8">
      <c r="B9" s="151" t="s">
        <v>43</v>
      </c>
      <c r="D9" s="97">
        <v>1</v>
      </c>
      <c r="E9" s="24"/>
      <c r="F9" s="27" t="s">
        <v>485</v>
      </c>
      <c r="G9" s="30"/>
      <c r="H9" s="30"/>
    </row>
    <row r="10" spans="2:8">
      <c r="B10" s="2" t="s">
        <v>63</v>
      </c>
      <c r="D10" s="97">
        <v>1</v>
      </c>
      <c r="E10" s="24"/>
      <c r="F10" s="27" t="s">
        <v>485</v>
      </c>
      <c r="G10" s="30"/>
      <c r="H10" s="30"/>
    </row>
    <row r="11" spans="2:8">
      <c r="B11" s="46" t="s">
        <v>550</v>
      </c>
      <c r="D11" s="97">
        <v>1</v>
      </c>
      <c r="E11" s="24"/>
      <c r="F11" s="27" t="s">
        <v>485</v>
      </c>
      <c r="G11" s="30"/>
      <c r="H11" s="30"/>
    </row>
    <row r="12" spans="2:8">
      <c r="B12" s="2" t="s">
        <v>258</v>
      </c>
      <c r="D12" s="97">
        <v>10</v>
      </c>
      <c r="E12" s="24"/>
      <c r="F12" s="27" t="s">
        <v>385</v>
      </c>
      <c r="G12" s="30"/>
      <c r="H12" s="30"/>
    </row>
    <row r="13" spans="2:8">
      <c r="B13" s="97" t="s">
        <v>261</v>
      </c>
      <c r="D13" s="97">
        <v>1</v>
      </c>
      <c r="E13" s="24"/>
      <c r="F13" s="27" t="s">
        <v>385</v>
      </c>
      <c r="G13" s="30"/>
      <c r="H13" s="30"/>
    </row>
    <row r="14" spans="2:8">
      <c r="B14" s="2" t="s">
        <v>551</v>
      </c>
      <c r="D14" s="97">
        <v>2</v>
      </c>
      <c r="E14" s="24"/>
      <c r="F14" s="27" t="s">
        <v>385</v>
      </c>
      <c r="G14" s="30"/>
      <c r="H14" s="30"/>
    </row>
    <row r="15" spans="2:8">
      <c r="B15" s="2" t="s">
        <v>552</v>
      </c>
      <c r="D15" s="97">
        <v>7</v>
      </c>
      <c r="E15" s="24"/>
      <c r="F15" s="27" t="s">
        <v>385</v>
      </c>
      <c r="G15" s="30"/>
      <c r="H15" s="30"/>
    </row>
    <row r="16" spans="2:8">
      <c r="B16" s="2" t="s">
        <v>273</v>
      </c>
      <c r="D16" s="97">
        <v>3</v>
      </c>
      <c r="E16" s="24"/>
      <c r="F16" s="27" t="s">
        <v>385</v>
      </c>
      <c r="G16" s="30"/>
      <c r="H16" s="30"/>
    </row>
    <row r="17" spans="2:8">
      <c r="B17" s="97" t="s">
        <v>553</v>
      </c>
      <c r="D17" s="2">
        <v>2</v>
      </c>
      <c r="E17" s="24"/>
      <c r="F17" s="27" t="s">
        <v>385</v>
      </c>
      <c r="G17" s="30"/>
      <c r="H17" s="30"/>
    </row>
    <row r="18" spans="2:8">
      <c r="B18" s="97" t="s">
        <v>285</v>
      </c>
      <c r="D18" s="97">
        <v>1</v>
      </c>
      <c r="E18" s="156"/>
      <c r="F18" s="27" t="s">
        <v>385</v>
      </c>
      <c r="G18" s="30"/>
      <c r="H18" s="30"/>
    </row>
    <row r="19" spans="2:8">
      <c r="B19" t="s">
        <v>554</v>
      </c>
      <c r="D19" s="97">
        <v>2</v>
      </c>
      <c r="E19" s="156"/>
      <c r="F19" s="27" t="s">
        <v>385</v>
      </c>
      <c r="G19" s="30"/>
      <c r="H19" s="30"/>
    </row>
    <row r="20" spans="2:8">
      <c r="B20" t="s">
        <v>555</v>
      </c>
      <c r="D20" s="97">
        <v>2</v>
      </c>
      <c r="E20" s="156"/>
      <c r="F20" s="27" t="s">
        <v>385</v>
      </c>
      <c r="G20" s="30"/>
      <c r="H20" s="30"/>
    </row>
    <row r="21" spans="2:8">
      <c r="B21" s="97" t="s">
        <v>556</v>
      </c>
      <c r="D21" s="2">
        <v>1</v>
      </c>
      <c r="E21" s="24"/>
      <c r="F21" s="27" t="s">
        <v>485</v>
      </c>
      <c r="G21" s="30"/>
      <c r="H21" s="30"/>
    </row>
    <row r="22" spans="2:8">
      <c r="B22" t="s">
        <v>557</v>
      </c>
      <c r="D22" s="2">
        <v>1</v>
      </c>
      <c r="E22" s="24"/>
      <c r="F22" s="27" t="s">
        <v>388</v>
      </c>
      <c r="G22" s="30"/>
      <c r="H22" s="30"/>
    </row>
    <row r="23" spans="2:8">
      <c r="B23" t="s">
        <v>558</v>
      </c>
      <c r="D23" s="2">
        <v>2</v>
      </c>
      <c r="E23" s="24"/>
      <c r="F23" s="27" t="s">
        <v>388</v>
      </c>
      <c r="G23" s="30"/>
      <c r="H23" s="30"/>
    </row>
    <row r="24" spans="2:8">
      <c r="B24" t="s">
        <v>559</v>
      </c>
      <c r="D24" s="2">
        <v>1</v>
      </c>
      <c r="E24" s="24"/>
      <c r="F24" s="27" t="s">
        <v>388</v>
      </c>
      <c r="G24" s="30"/>
      <c r="H24" s="30"/>
    </row>
    <row r="25" spans="2:8">
      <c r="B25" t="s">
        <v>560</v>
      </c>
      <c r="C25" s="97" t="s">
        <v>561</v>
      </c>
      <c r="D25" s="97">
        <v>1</v>
      </c>
      <c r="E25" s="24"/>
      <c r="F25" s="27" t="s">
        <v>388</v>
      </c>
      <c r="G25" s="30"/>
      <c r="H25" s="30"/>
    </row>
    <row r="26" spans="2:8">
      <c r="B26" t="s">
        <v>562</v>
      </c>
      <c r="D26" s="1">
        <v>1</v>
      </c>
      <c r="E26" s="24"/>
      <c r="F26" s="27" t="s">
        <v>388</v>
      </c>
      <c r="G26" s="30"/>
      <c r="H26" s="30"/>
    </row>
    <row r="27" spans="2:8">
      <c r="B27" t="s">
        <v>563</v>
      </c>
      <c r="D27" s="1">
        <v>1</v>
      </c>
      <c r="E27" s="24"/>
      <c r="F27" s="27" t="s">
        <v>388</v>
      </c>
      <c r="G27" s="30"/>
      <c r="H27" s="30"/>
    </row>
    <row r="28" spans="2:8">
      <c r="B28" s="1" t="s">
        <v>564</v>
      </c>
      <c r="D28" s="97">
        <v>2</v>
      </c>
      <c r="E28" s="24"/>
      <c r="F28" s="27" t="s">
        <v>388</v>
      </c>
      <c r="G28" s="30"/>
      <c r="H28" s="30"/>
    </row>
    <row r="29" spans="2:8">
      <c r="B29" s="97" t="s">
        <v>565</v>
      </c>
      <c r="D29" s="2">
        <v>4</v>
      </c>
      <c r="E29" s="24"/>
      <c r="F29" s="27" t="s">
        <v>388</v>
      </c>
      <c r="G29" s="39"/>
      <c r="H29" s="30"/>
    </row>
    <row r="30" spans="2:8">
      <c r="B30" s="97" t="s">
        <v>566</v>
      </c>
      <c r="C30" s="97" t="s">
        <v>527</v>
      </c>
      <c r="D30" s="2">
        <v>1</v>
      </c>
      <c r="E30" s="24"/>
      <c r="F30" s="27" t="s">
        <v>499</v>
      </c>
      <c r="G30" s="39"/>
      <c r="H30" s="30"/>
    </row>
    <row r="31" spans="2:8">
      <c r="B31" t="s">
        <v>567</v>
      </c>
      <c r="D31" s="97">
        <v>1</v>
      </c>
      <c r="E31" s="24"/>
      <c r="F31" s="27" t="s">
        <v>388</v>
      </c>
      <c r="G31" s="30"/>
      <c r="H31" s="30"/>
    </row>
    <row r="32" spans="2:8">
      <c r="B32" s="1" t="s">
        <v>568</v>
      </c>
      <c r="C32" s="97" t="s">
        <v>569</v>
      </c>
      <c r="D32" s="97">
        <v>2</v>
      </c>
      <c r="E32" s="24"/>
      <c r="F32" s="27" t="s">
        <v>499</v>
      </c>
      <c r="G32" s="30"/>
      <c r="H32" s="30"/>
    </row>
    <row r="33" spans="2:8">
      <c r="B33" t="s">
        <v>570</v>
      </c>
      <c r="C33" s="97" t="s">
        <v>571</v>
      </c>
      <c r="D33" s="97">
        <v>2</v>
      </c>
      <c r="E33" s="24"/>
      <c r="F33" s="27" t="s">
        <v>499</v>
      </c>
      <c r="G33" s="30"/>
      <c r="H33" s="30"/>
    </row>
    <row r="34" spans="2:8">
      <c r="B34" s="1" t="s">
        <v>572</v>
      </c>
      <c r="C34" s="97" t="s">
        <v>573</v>
      </c>
      <c r="D34" s="97">
        <v>2</v>
      </c>
      <c r="E34" s="24"/>
      <c r="F34" s="27" t="s">
        <v>499</v>
      </c>
      <c r="G34" s="30"/>
      <c r="H34" s="30"/>
    </row>
    <row r="35" spans="2:8">
      <c r="B35" s="1" t="s">
        <v>574</v>
      </c>
      <c r="C35" s="97" t="s">
        <v>569</v>
      </c>
      <c r="D35" s="97">
        <v>2</v>
      </c>
      <c r="E35" s="24"/>
      <c r="F35" s="27" t="s">
        <v>499</v>
      </c>
      <c r="G35" s="30"/>
      <c r="H35" s="30"/>
    </row>
    <row r="36" spans="2:8">
      <c r="B36" s="97" t="s">
        <v>575</v>
      </c>
      <c r="C36" s="97" t="s">
        <v>576</v>
      </c>
      <c r="D36" s="97">
        <v>2</v>
      </c>
      <c r="E36" s="24"/>
      <c r="F36" s="27" t="s">
        <v>499</v>
      </c>
      <c r="G36" s="30"/>
      <c r="H36" s="30"/>
    </row>
    <row r="37" spans="2:8">
      <c r="B37" s="97" t="s">
        <v>577</v>
      </c>
      <c r="C37" s="97" t="s">
        <v>573</v>
      </c>
      <c r="D37" s="97">
        <v>2</v>
      </c>
      <c r="E37" s="24"/>
      <c r="F37" s="27" t="s">
        <v>499</v>
      </c>
      <c r="G37" s="30"/>
      <c r="H37" s="30"/>
    </row>
    <row r="38" spans="2:8">
      <c r="B38" s="1" t="s">
        <v>578</v>
      </c>
      <c r="D38" s="97">
        <v>1</v>
      </c>
      <c r="E38" s="24"/>
      <c r="F38" s="27" t="s">
        <v>388</v>
      </c>
      <c r="G38" s="30"/>
      <c r="H38" s="30"/>
    </row>
    <row r="39" spans="2:8">
      <c r="B39" s="97" t="s">
        <v>579</v>
      </c>
      <c r="D39" s="2">
        <v>1</v>
      </c>
      <c r="E39" s="24"/>
      <c r="F39" s="27" t="s">
        <v>388</v>
      </c>
      <c r="G39" s="39"/>
      <c r="H39" s="39"/>
    </row>
    <row r="40" spans="2:8">
      <c r="B40" s="97" t="s">
        <v>580</v>
      </c>
      <c r="D40" s="2">
        <v>1</v>
      </c>
      <c r="E40" s="24"/>
      <c r="F40" s="27" t="s">
        <v>388</v>
      </c>
      <c r="G40" s="39"/>
      <c r="H40" s="39"/>
    </row>
    <row r="41" spans="2:8">
      <c r="B41" s="97" t="s">
        <v>581</v>
      </c>
      <c r="D41" s="2">
        <v>1</v>
      </c>
      <c r="E41" s="24"/>
      <c r="F41" s="27" t="s">
        <v>388</v>
      </c>
      <c r="G41" s="39"/>
      <c r="H41" s="39"/>
    </row>
    <row r="42" spans="2:8">
      <c r="B42" s="97" t="s">
        <v>582</v>
      </c>
      <c r="D42" s="2">
        <v>1</v>
      </c>
      <c r="E42" s="24"/>
      <c r="F42" s="27" t="s">
        <v>388</v>
      </c>
      <c r="G42" s="39"/>
      <c r="H42" s="39"/>
    </row>
    <row r="43" spans="2:8">
      <c r="B43" s="97" t="s">
        <v>583</v>
      </c>
      <c r="D43" s="97">
        <v>1</v>
      </c>
      <c r="E43" s="24"/>
      <c r="F43" s="27" t="s">
        <v>388</v>
      </c>
      <c r="G43" s="30"/>
      <c r="H43" s="30"/>
    </row>
    <row r="44" spans="2:8">
      <c r="B44" s="97" t="s">
        <v>584</v>
      </c>
      <c r="D44" s="2">
        <v>1</v>
      </c>
      <c r="E44" s="24"/>
      <c r="F44" s="27" t="s">
        <v>388</v>
      </c>
      <c r="G44" s="39"/>
      <c r="H44" s="39"/>
    </row>
    <row r="45" spans="2:8">
      <c r="B45" s="46" t="s">
        <v>585</v>
      </c>
      <c r="C45" s="46"/>
      <c r="D45" s="97">
        <v>1</v>
      </c>
      <c r="E45" s="24"/>
      <c r="F45" s="27" t="s">
        <v>388</v>
      </c>
      <c r="G45" s="30"/>
      <c r="H45" s="30"/>
    </row>
    <row r="46" spans="2:8">
      <c r="B46" s="19" t="s">
        <v>586</v>
      </c>
      <c r="C46" s="19"/>
      <c r="D46" s="18" t="s">
        <v>365</v>
      </c>
    </row>
    <row r="47" spans="2:8">
      <c r="B47" s="20" t="s">
        <v>366</v>
      </c>
      <c r="C47" s="20"/>
      <c r="D47" s="116" t="s">
        <v>369</v>
      </c>
      <c r="F47" s="116" t="s">
        <v>587</v>
      </c>
    </row>
    <row r="48" spans="2:8">
      <c r="B48" s="20" t="s">
        <v>370</v>
      </c>
      <c r="C48" s="20"/>
      <c r="D48" s="116" t="s">
        <v>372</v>
      </c>
      <c r="F48" s="116" t="s">
        <v>588</v>
      </c>
    </row>
    <row r="49" spans="2:6">
      <c r="B49" s="20" t="s">
        <v>373</v>
      </c>
      <c r="C49" s="20"/>
      <c r="D49" s="116" t="s">
        <v>375</v>
      </c>
      <c r="F49" s="116" t="s">
        <v>589</v>
      </c>
    </row>
    <row r="50" spans="2:6">
      <c r="C50" s="18"/>
      <c r="D50" s="116"/>
    </row>
    <row r="51" spans="2:6">
      <c r="C51" s="116"/>
    </row>
    <row r="52" spans="2:6">
      <c r="C52" s="116"/>
    </row>
    <row r="53" spans="2:6">
      <c r="C53" s="116"/>
    </row>
  </sheetData>
  <hyperlinks>
    <hyperlink ref="B47" r:id="rId1" xr:uid="{FC9EA8F3-E0E5-4DA7-9896-FB7961016A7C}"/>
    <hyperlink ref="B48" r:id="rId2" xr:uid="{27CF5F51-5B66-479C-8DAF-867150F2740A}"/>
    <hyperlink ref="B49" r:id="rId3" xr:uid="{5D676784-68B5-4F53-8887-BD54C5D86FFC}"/>
  </hyperlinks>
  <pageMargins left="0.19685039370078741" right="0.19685039370078741" top="0.39370078740157483" bottom="0.39370078740157483" header="9.8425196850393706E-2" footer="0.19685039370078741"/>
  <pageSetup paperSize="9" scale="98" orientation="portrait" r:id="rId4"/>
  <headerFooter>
    <oddHeader>&amp;C&amp;"Aptos Black,Regular"&amp;14VALKYRIE V2 - DRYBOX BOM</oddHeader>
    <oddFooter>&amp;CBETA PRELEASE</oddFooter>
  </headerFooter>
  <drawing r:id="rId5"/>
  <tableParts count="1">
    <tablePart r:id="rId6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B1:E27"/>
  <sheetViews>
    <sheetView view="pageLayout" zoomScaleNormal="100" workbookViewId="0">
      <selection activeCell="E1" sqref="E1"/>
    </sheetView>
  </sheetViews>
  <sheetFormatPr defaultColWidth="11.42578125" defaultRowHeight="15"/>
  <cols>
    <col min="1" max="1" width="7.5703125" style="2" customWidth="1"/>
    <col min="2" max="2" width="26" style="2" customWidth="1"/>
    <col min="3" max="3" width="20.140625" style="2" bestFit="1" customWidth="1"/>
    <col min="4" max="4" width="11" style="2" bestFit="1" customWidth="1"/>
    <col min="5" max="5" width="28.7109375" style="2" bestFit="1" customWidth="1"/>
    <col min="6" max="16356" width="11.42578125" style="2"/>
    <col min="16357" max="16362" width="11.42578125" style="2" bestFit="1" customWidth="1"/>
    <col min="16363" max="16384" width="11.42578125" style="2"/>
  </cols>
  <sheetData>
    <row r="1" spans="2:5" ht="30" customHeight="1">
      <c r="B1" s="33" t="s">
        <v>361</v>
      </c>
      <c r="C1" s="169" t="s">
        <v>362</v>
      </c>
      <c r="D1" s="169" t="s">
        <v>363</v>
      </c>
      <c r="E1" s="98" t="s">
        <v>364</v>
      </c>
    </row>
    <row r="2" spans="2:5">
      <c r="B2" s="29" t="s">
        <v>590</v>
      </c>
      <c r="C2" s="2" t="s">
        <v>591</v>
      </c>
      <c r="D2" s="97">
        <v>6</v>
      </c>
      <c r="E2" s="27" t="s">
        <v>385</v>
      </c>
    </row>
    <row r="3" spans="2:5">
      <c r="B3" s="174" t="s">
        <v>204</v>
      </c>
      <c r="D3" s="97">
        <v>1</v>
      </c>
      <c r="E3" s="27" t="s">
        <v>385</v>
      </c>
    </row>
    <row r="4" spans="2:5">
      <c r="B4" s="40" t="s">
        <v>210</v>
      </c>
      <c r="C4" s="97" t="s">
        <v>592</v>
      </c>
      <c r="D4" s="97">
        <v>1</v>
      </c>
      <c r="E4" s="27" t="s">
        <v>385</v>
      </c>
    </row>
    <row r="5" spans="2:5">
      <c r="B5" s="174" t="s">
        <v>213</v>
      </c>
      <c r="C5" s="97"/>
      <c r="D5" s="97">
        <v>1</v>
      </c>
      <c r="E5" s="27" t="s">
        <v>385</v>
      </c>
    </row>
    <row r="6" spans="2:5">
      <c r="B6" s="174" t="s">
        <v>593</v>
      </c>
      <c r="D6" s="97">
        <v>1</v>
      </c>
      <c r="E6" s="27" t="s">
        <v>385</v>
      </c>
    </row>
    <row r="7" spans="2:5">
      <c r="B7" s="175" t="s">
        <v>594</v>
      </c>
      <c r="C7" s="97" t="s">
        <v>595</v>
      </c>
      <c r="D7" s="97">
        <v>1</v>
      </c>
      <c r="E7" s="27" t="s">
        <v>385</v>
      </c>
    </row>
    <row r="8" spans="2:5">
      <c r="B8" t="s">
        <v>180</v>
      </c>
      <c r="C8" s="97"/>
      <c r="D8" s="97">
        <v>4</v>
      </c>
      <c r="E8" s="27" t="s">
        <v>385</v>
      </c>
    </row>
    <row r="9" spans="2:5">
      <c r="B9" t="s">
        <v>352</v>
      </c>
      <c r="D9" s="97">
        <v>12</v>
      </c>
      <c r="E9" s="27" t="s">
        <v>385</v>
      </c>
    </row>
    <row r="10" spans="2:5">
      <c r="B10" t="s">
        <v>596</v>
      </c>
      <c r="D10" s="97">
        <v>4</v>
      </c>
      <c r="E10" s="27" t="s">
        <v>385</v>
      </c>
    </row>
    <row r="11" spans="2:5">
      <c r="B11" t="s">
        <v>430</v>
      </c>
      <c r="D11" s="97">
        <v>4</v>
      </c>
      <c r="E11" s="27" t="s">
        <v>385</v>
      </c>
    </row>
    <row r="12" spans="2:5">
      <c r="B12" t="s">
        <v>384</v>
      </c>
      <c r="D12" s="97">
        <v>2</v>
      </c>
      <c r="E12" s="27" t="s">
        <v>385</v>
      </c>
    </row>
    <row r="13" spans="2:5">
      <c r="B13" s="1" t="s">
        <v>386</v>
      </c>
      <c r="D13" s="97">
        <v>2</v>
      </c>
      <c r="E13" s="27" t="s">
        <v>385</v>
      </c>
    </row>
    <row r="14" spans="2:5">
      <c r="B14" s="2" t="s">
        <v>287</v>
      </c>
      <c r="D14" s="97">
        <v>6</v>
      </c>
      <c r="E14" s="27" t="s">
        <v>385</v>
      </c>
    </row>
    <row r="15" spans="2:5">
      <c r="B15" t="s">
        <v>597</v>
      </c>
      <c r="D15" s="97">
        <v>1</v>
      </c>
      <c r="E15" s="176" t="s">
        <v>598</v>
      </c>
    </row>
    <row r="16" spans="2:5">
      <c r="B16" s="177" t="s">
        <v>599</v>
      </c>
      <c r="D16" s="97">
        <v>1</v>
      </c>
      <c r="E16" s="27" t="s">
        <v>388</v>
      </c>
    </row>
    <row r="17" spans="2:5">
      <c r="B17" s="49" t="s">
        <v>600</v>
      </c>
      <c r="D17" s="97">
        <v>1</v>
      </c>
      <c r="E17" s="27" t="s">
        <v>388</v>
      </c>
    </row>
    <row r="18" spans="2:5">
      <c r="B18" s="40" t="s">
        <v>601</v>
      </c>
      <c r="D18" s="97">
        <v>1</v>
      </c>
      <c r="E18" s="27" t="s">
        <v>388</v>
      </c>
    </row>
    <row r="19" spans="2:5">
      <c r="B19" s="19" t="s">
        <v>602</v>
      </c>
      <c r="C19" s="19"/>
      <c r="D19" s="116"/>
    </row>
    <row r="20" spans="2:5">
      <c r="B20" s="20" t="s">
        <v>366</v>
      </c>
      <c r="C20" s="20"/>
      <c r="D20" s="116"/>
    </row>
    <row r="21" spans="2:5">
      <c r="B21" s="20" t="s">
        <v>370</v>
      </c>
      <c r="C21" s="20"/>
      <c r="D21" s="116"/>
    </row>
    <row r="22" spans="2:5">
      <c r="B22" s="20" t="s">
        <v>373</v>
      </c>
      <c r="C22" s="20"/>
      <c r="D22" s="116"/>
    </row>
    <row r="23" spans="2:5">
      <c r="B23" s="116"/>
      <c r="C23" s="116"/>
      <c r="D23" s="116"/>
    </row>
    <row r="24" spans="2:5">
      <c r="B24" s="18" t="s">
        <v>365</v>
      </c>
      <c r="C24" s="18"/>
      <c r="D24" s="116"/>
    </row>
    <row r="25" spans="2:5">
      <c r="B25" s="116" t="s">
        <v>369</v>
      </c>
      <c r="C25" s="116"/>
      <c r="D25" s="116" t="s">
        <v>587</v>
      </c>
    </row>
    <row r="26" spans="2:5">
      <c r="B26" s="116" t="s">
        <v>372</v>
      </c>
      <c r="C26" s="116"/>
      <c r="D26" s="116" t="s">
        <v>588</v>
      </c>
    </row>
    <row r="27" spans="2:5">
      <c r="B27" s="116" t="s">
        <v>375</v>
      </c>
      <c r="C27" s="116"/>
      <c r="D27" s="116" t="s">
        <v>589</v>
      </c>
    </row>
  </sheetData>
  <phoneticPr fontId="33" type="noConversion"/>
  <hyperlinks>
    <hyperlink ref="B20" r:id="rId1" xr:uid="{A08D53C6-D379-46AA-9F70-60828147D22E}"/>
    <hyperlink ref="B21" r:id="rId2" xr:uid="{64C6E7CC-1EE7-403C-BA1D-C136CF7AACAB}"/>
    <hyperlink ref="B22" r:id="rId3" xr:uid="{A3267783-7917-4321-840E-6280A62792AE}"/>
  </hyperlinks>
  <pageMargins left="0.19685039370078741" right="0.19685039370078741" top="0.39370078740157483" bottom="0.39370078740157483" header="9.8425196850393706E-2" footer="0.19685039370078741"/>
  <pageSetup paperSize="9" orientation="portrait" r:id="rId4"/>
  <headerFooter>
    <oddHeader>&amp;C&amp;"Aptos Black,Regular"&amp;14VALKYRIE V2 - LC BOM</oddHeader>
    <oddFooter>&amp;CBETA PRELEASE</oddFooter>
  </headerFooter>
  <drawing r:id="rId5"/>
  <tableParts count="1">
    <tablePart r:id="rId6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B1:J53"/>
  <sheetViews>
    <sheetView view="pageLayout" zoomScaleNormal="100" workbookViewId="0">
      <selection sqref="A1:A1048576"/>
    </sheetView>
  </sheetViews>
  <sheetFormatPr defaultColWidth="11.42578125" defaultRowHeight="15"/>
  <cols>
    <col min="1" max="1" width="11.42578125" style="2"/>
    <col min="2" max="2" width="42.140625" style="2" bestFit="1" customWidth="1"/>
    <col min="3" max="3" width="24.42578125" style="2" customWidth="1"/>
    <col min="4" max="4" width="11" style="2" bestFit="1" customWidth="1"/>
    <col min="5" max="5" width="15.5703125" style="2" customWidth="1"/>
    <col min="6" max="9" width="11.42578125" style="2"/>
    <col min="10" max="10" width="36.5703125" style="2" bestFit="1" customWidth="1"/>
    <col min="11" max="16338" width="11.42578125" style="2"/>
    <col min="16339" max="16344" width="11.42578125" style="2" bestFit="1" customWidth="1"/>
    <col min="16345" max="16384" width="11.42578125" style="2"/>
  </cols>
  <sheetData>
    <row r="1" spans="2:5" ht="30" customHeight="1">
      <c r="B1" s="33" t="s">
        <v>361</v>
      </c>
      <c r="C1" s="169" t="s">
        <v>362</v>
      </c>
      <c r="D1" s="169" t="s">
        <v>363</v>
      </c>
      <c r="E1" s="98" t="s">
        <v>364</v>
      </c>
    </row>
    <row r="2" spans="2:5">
      <c r="B2" s="52" t="s">
        <v>603</v>
      </c>
      <c r="C2" s="2" t="s">
        <v>604</v>
      </c>
      <c r="D2" s="24">
        <v>1</v>
      </c>
      <c r="E2" s="58" t="s">
        <v>385</v>
      </c>
    </row>
    <row r="3" spans="2:5">
      <c r="B3" s="52" t="s">
        <v>603</v>
      </c>
      <c r="C3" s="2" t="s">
        <v>605</v>
      </c>
      <c r="D3" s="24">
        <v>1</v>
      </c>
      <c r="E3" s="58" t="s">
        <v>385</v>
      </c>
    </row>
    <row r="4" spans="2:5">
      <c r="B4" s="52" t="s">
        <v>603</v>
      </c>
      <c r="C4" s="2" t="s">
        <v>606</v>
      </c>
      <c r="D4" s="24">
        <v>1</v>
      </c>
      <c r="E4" s="58" t="s">
        <v>385</v>
      </c>
    </row>
    <row r="5" spans="2:5">
      <c r="B5" s="49" t="s">
        <v>607</v>
      </c>
      <c r="C5" s="97" t="s">
        <v>608</v>
      </c>
      <c r="D5" s="156">
        <v>2</v>
      </c>
      <c r="E5" s="58" t="s">
        <v>385</v>
      </c>
    </row>
    <row r="6" spans="2:5">
      <c r="B6" s="174" t="s">
        <v>607</v>
      </c>
      <c r="C6" s="97" t="s">
        <v>609</v>
      </c>
      <c r="D6" s="156">
        <v>5</v>
      </c>
      <c r="E6" s="58" t="s">
        <v>385</v>
      </c>
    </row>
    <row r="7" spans="2:5">
      <c r="B7" s="34" t="s">
        <v>610</v>
      </c>
      <c r="C7" s="97" t="s">
        <v>608</v>
      </c>
      <c r="D7" s="156">
        <v>2</v>
      </c>
      <c r="E7" s="58" t="s">
        <v>385</v>
      </c>
    </row>
    <row r="8" spans="2:5">
      <c r="B8" s="34" t="s">
        <v>610</v>
      </c>
      <c r="C8" s="97" t="s">
        <v>609</v>
      </c>
      <c r="D8" s="24">
        <v>2</v>
      </c>
      <c r="E8" s="58" t="s">
        <v>385</v>
      </c>
    </row>
    <row r="9" spans="2:5">
      <c r="B9" s="49" t="s">
        <v>611</v>
      </c>
      <c r="C9" s="97" t="s">
        <v>608</v>
      </c>
      <c r="D9" s="156">
        <v>2</v>
      </c>
      <c r="E9" s="58" t="s">
        <v>385</v>
      </c>
    </row>
    <row r="10" spans="2:5">
      <c r="B10" s="49" t="s">
        <v>611</v>
      </c>
      <c r="C10" s="97" t="s">
        <v>609</v>
      </c>
      <c r="D10" s="24">
        <v>2</v>
      </c>
      <c r="E10" s="58" t="s">
        <v>385</v>
      </c>
    </row>
    <row r="11" spans="2:5">
      <c r="B11" s="175" t="s">
        <v>108</v>
      </c>
      <c r="C11" s="97" t="s">
        <v>612</v>
      </c>
      <c r="D11" s="24">
        <v>5</v>
      </c>
      <c r="E11" s="58" t="s">
        <v>385</v>
      </c>
    </row>
    <row r="12" spans="2:5">
      <c r="B12" s="49" t="s">
        <v>613</v>
      </c>
      <c r="C12" s="97" t="s">
        <v>608</v>
      </c>
      <c r="D12" s="156">
        <v>2</v>
      </c>
      <c r="E12" s="58" t="s">
        <v>385</v>
      </c>
    </row>
    <row r="13" spans="2:5">
      <c r="B13" s="49" t="s">
        <v>613</v>
      </c>
      <c r="C13" s="97" t="s">
        <v>609</v>
      </c>
      <c r="D13" s="156">
        <v>5</v>
      </c>
      <c r="E13" s="58" t="s">
        <v>385</v>
      </c>
    </row>
    <row r="14" spans="2:5">
      <c r="B14" s="175" t="s">
        <v>614</v>
      </c>
      <c r="C14" s="97" t="s">
        <v>615</v>
      </c>
      <c r="D14" s="156">
        <v>5</v>
      </c>
      <c r="E14" s="58" t="s">
        <v>385</v>
      </c>
    </row>
    <row r="15" spans="2:5">
      <c r="B15" s="175" t="s">
        <v>614</v>
      </c>
      <c r="C15" s="97" t="s">
        <v>609</v>
      </c>
      <c r="D15" s="156">
        <v>5</v>
      </c>
      <c r="E15" s="58" t="s">
        <v>385</v>
      </c>
    </row>
    <row r="16" spans="2:5">
      <c r="B16" s="175" t="s">
        <v>616</v>
      </c>
      <c r="C16" s="2" t="s">
        <v>617</v>
      </c>
      <c r="D16" s="24">
        <v>1</v>
      </c>
      <c r="E16" s="58" t="s">
        <v>385</v>
      </c>
    </row>
    <row r="17" spans="2:10">
      <c r="B17" s="103" t="s">
        <v>618</v>
      </c>
      <c r="C17" s="103" t="s">
        <v>435</v>
      </c>
      <c r="D17" s="44"/>
      <c r="E17" s="55"/>
    </row>
    <row r="18" spans="2:10">
      <c r="B18" s="97" t="s">
        <v>139</v>
      </c>
      <c r="C18" s="97" t="s">
        <v>619</v>
      </c>
      <c r="D18" s="97">
        <v>1</v>
      </c>
      <c r="E18" s="58" t="s">
        <v>385</v>
      </c>
    </row>
    <row r="19" spans="2:10">
      <c r="B19" s="97" t="s">
        <v>142</v>
      </c>
      <c r="D19" s="24">
        <v>1</v>
      </c>
      <c r="E19" s="58" t="s">
        <v>385</v>
      </c>
    </row>
    <row r="20" spans="2:10">
      <c r="B20" s="50" t="s">
        <v>425</v>
      </c>
      <c r="D20" s="24">
        <v>1</v>
      </c>
      <c r="E20" s="58" t="s">
        <v>385</v>
      </c>
      <c r="J20"/>
    </row>
    <row r="21" spans="2:10" ht="14.25" customHeight="1">
      <c r="B21" s="158" t="s">
        <v>118</v>
      </c>
      <c r="C21" s="54"/>
      <c r="D21" s="54">
        <v>1</v>
      </c>
      <c r="E21" s="58" t="s">
        <v>385</v>
      </c>
      <c r="J21" s="56"/>
    </row>
    <row r="22" spans="2:10" ht="15.75" customHeight="1">
      <c r="B22" s="158" t="s">
        <v>120</v>
      </c>
      <c r="C22" s="54"/>
      <c r="D22" s="54">
        <v>1</v>
      </c>
      <c r="E22" s="58" t="s">
        <v>385</v>
      </c>
      <c r="J22" s="56"/>
    </row>
    <row r="23" spans="2:10" ht="15" customHeight="1">
      <c r="B23" s="158" t="s">
        <v>113</v>
      </c>
      <c r="C23" s="54"/>
      <c r="D23" s="54">
        <v>2</v>
      </c>
      <c r="E23" s="58" t="s">
        <v>385</v>
      </c>
      <c r="J23" s="56"/>
    </row>
    <row r="24" spans="2:10" ht="14.25" customHeight="1">
      <c r="B24" s="158" t="s">
        <v>116</v>
      </c>
      <c r="C24" s="54"/>
      <c r="D24" s="54">
        <v>2</v>
      </c>
      <c r="E24" s="58" t="s">
        <v>385</v>
      </c>
      <c r="J24" s="56"/>
    </row>
    <row r="25" spans="2:10">
      <c r="B25" s="157" t="s">
        <v>144</v>
      </c>
      <c r="D25" s="97">
        <v>1</v>
      </c>
      <c r="E25" s="58" t="s">
        <v>385</v>
      </c>
    </row>
    <row r="26" spans="2:10">
      <c r="B26" t="s">
        <v>180</v>
      </c>
      <c r="C26" s="46"/>
      <c r="D26">
        <v>6</v>
      </c>
      <c r="E26" s="58" t="s">
        <v>385</v>
      </c>
    </row>
    <row r="27" spans="2:10">
      <c r="B27" t="s">
        <v>352</v>
      </c>
      <c r="C27" s="46"/>
      <c r="D27">
        <v>20</v>
      </c>
      <c r="E27" s="58" t="s">
        <v>385</v>
      </c>
    </row>
    <row r="28" spans="2:10">
      <c r="B28" s="31" t="s">
        <v>596</v>
      </c>
      <c r="C28" s="46"/>
      <c r="D28">
        <v>12</v>
      </c>
      <c r="E28" s="58" t="s">
        <v>385</v>
      </c>
    </row>
    <row r="29" spans="2:10">
      <c r="B29" s="31" t="s">
        <v>430</v>
      </c>
      <c r="C29" s="46"/>
      <c r="D29">
        <v>6</v>
      </c>
      <c r="E29" s="58" t="s">
        <v>385</v>
      </c>
    </row>
    <row r="30" spans="2:10">
      <c r="B30" s="31" t="s">
        <v>190</v>
      </c>
      <c r="C30" s="46"/>
      <c r="D30">
        <v>3</v>
      </c>
      <c r="E30" s="58" t="s">
        <v>385</v>
      </c>
    </row>
    <row r="31" spans="2:10">
      <c r="B31" s="31" t="s">
        <v>384</v>
      </c>
      <c r="C31" s="46"/>
      <c r="D31">
        <v>14</v>
      </c>
      <c r="E31" s="58" t="s">
        <v>385</v>
      </c>
    </row>
    <row r="32" spans="2:10">
      <c r="B32" s="31" t="s">
        <v>386</v>
      </c>
      <c r="C32" s="46"/>
      <c r="D32">
        <v>15</v>
      </c>
      <c r="E32" s="58" t="s">
        <v>385</v>
      </c>
    </row>
    <row r="33" spans="2:10">
      <c r="B33" s="31" t="s">
        <v>287</v>
      </c>
      <c r="C33" s="46"/>
      <c r="D33">
        <v>17</v>
      </c>
      <c r="E33" s="58" t="s">
        <v>385</v>
      </c>
    </row>
    <row r="34" spans="2:10">
      <c r="B34" s="175" t="s">
        <v>620</v>
      </c>
      <c r="C34" s="97" t="s">
        <v>621</v>
      </c>
      <c r="D34" s="24">
        <v>2</v>
      </c>
      <c r="E34" s="58" t="s">
        <v>385</v>
      </c>
    </row>
    <row r="35" spans="2:10" ht="15" customHeight="1">
      <c r="B35" s="175" t="s">
        <v>130</v>
      </c>
      <c r="C35" s="97" t="s">
        <v>622</v>
      </c>
      <c r="D35" s="24">
        <v>2</v>
      </c>
      <c r="E35" s="58" t="s">
        <v>385</v>
      </c>
    </row>
    <row r="36" spans="2:10">
      <c r="B36" s="175" t="s">
        <v>133</v>
      </c>
      <c r="C36" s="97" t="s">
        <v>622</v>
      </c>
      <c r="D36" s="24">
        <v>1</v>
      </c>
      <c r="E36" s="58" t="s">
        <v>385</v>
      </c>
    </row>
    <row r="37" spans="2:10">
      <c r="B37" s="40" t="s">
        <v>135</v>
      </c>
      <c r="C37" s="97" t="s">
        <v>622</v>
      </c>
      <c r="D37" s="24">
        <v>1</v>
      </c>
      <c r="E37" s="58" t="s">
        <v>385</v>
      </c>
    </row>
    <row r="38" spans="2:10">
      <c r="B38" s="175" t="s">
        <v>127</v>
      </c>
      <c r="C38" s="97" t="s">
        <v>623</v>
      </c>
      <c r="D38" s="24">
        <v>1</v>
      </c>
      <c r="E38" s="58" t="s">
        <v>385</v>
      </c>
    </row>
    <row r="39" spans="2:10">
      <c r="B39" s="29" t="s">
        <v>122</v>
      </c>
      <c r="C39" s="97" t="s">
        <v>624</v>
      </c>
      <c r="D39" s="97">
        <v>1</v>
      </c>
      <c r="E39" s="58" t="s">
        <v>385</v>
      </c>
    </row>
    <row r="40" spans="2:10">
      <c r="B40" s="97" t="s">
        <v>125</v>
      </c>
      <c r="C40" s="97" t="s">
        <v>625</v>
      </c>
      <c r="D40" s="97">
        <v>1</v>
      </c>
      <c r="E40" s="58" t="s">
        <v>385</v>
      </c>
    </row>
    <row r="41" spans="2:10" ht="16.5" customHeight="1">
      <c r="B41" s="2" t="s">
        <v>137</v>
      </c>
      <c r="C41" s="97" t="s">
        <v>626</v>
      </c>
      <c r="D41" s="24">
        <v>3</v>
      </c>
      <c r="E41" s="58" t="s">
        <v>385</v>
      </c>
    </row>
    <row r="42" spans="2:10" ht="16.5" customHeight="1">
      <c r="B42" t="s">
        <v>627</v>
      </c>
      <c r="C42" s="97" t="s">
        <v>628</v>
      </c>
      <c r="D42" s="24">
        <v>1</v>
      </c>
      <c r="E42" s="53" t="s">
        <v>388</v>
      </c>
    </row>
    <row r="43" spans="2:10" ht="16.5" customHeight="1">
      <c r="B43" t="s">
        <v>629</v>
      </c>
      <c r="C43" s="97" t="s">
        <v>630</v>
      </c>
      <c r="D43" s="24">
        <v>1</v>
      </c>
      <c r="E43" s="53" t="s">
        <v>388</v>
      </c>
    </row>
    <row r="44" spans="2:10" ht="16.5" customHeight="1">
      <c r="B44" t="s">
        <v>631</v>
      </c>
      <c r="C44" s="97" t="s">
        <v>628</v>
      </c>
      <c r="D44" s="24">
        <v>1</v>
      </c>
      <c r="E44" s="53" t="s">
        <v>388</v>
      </c>
    </row>
    <row r="45" spans="2:10">
      <c r="B45" s="19" t="s">
        <v>586</v>
      </c>
      <c r="C45" s="19"/>
      <c r="D45" s="116"/>
    </row>
    <row r="46" spans="2:10">
      <c r="B46" s="20" t="s">
        <v>366</v>
      </c>
      <c r="C46" s="20"/>
      <c r="D46" s="116"/>
    </row>
    <row r="47" spans="2:10" ht="30">
      <c r="B47" s="20" t="s">
        <v>370</v>
      </c>
      <c r="C47" s="20"/>
      <c r="D47" s="116"/>
      <c r="J47" s="6" t="s">
        <v>632</v>
      </c>
    </row>
    <row r="48" spans="2:10">
      <c r="B48" s="20" t="s">
        <v>373</v>
      </c>
      <c r="C48" s="20"/>
      <c r="D48" s="116"/>
    </row>
    <row r="49" spans="2:4">
      <c r="B49" s="116"/>
      <c r="C49" s="116"/>
      <c r="D49" s="116"/>
    </row>
    <row r="50" spans="2:4">
      <c r="B50" s="18" t="s">
        <v>365</v>
      </c>
      <c r="C50" s="18"/>
      <c r="D50" s="116"/>
    </row>
    <row r="51" spans="2:4">
      <c r="B51" s="116" t="s">
        <v>369</v>
      </c>
      <c r="C51" s="116"/>
      <c r="D51" s="116" t="s">
        <v>587</v>
      </c>
    </row>
    <row r="52" spans="2:4">
      <c r="B52" s="116" t="s">
        <v>372</v>
      </c>
      <c r="C52" s="116"/>
      <c r="D52" s="116" t="s">
        <v>588</v>
      </c>
    </row>
    <row r="53" spans="2:4">
      <c r="B53" s="116" t="s">
        <v>375</v>
      </c>
      <c r="C53" s="116"/>
      <c r="D53" s="116" t="s">
        <v>589</v>
      </c>
    </row>
  </sheetData>
  <hyperlinks>
    <hyperlink ref="B46" r:id="rId1" xr:uid="{470A2A01-49D9-432E-8C41-2444D5861B1A}"/>
    <hyperlink ref="B47" r:id="rId2" xr:uid="{EE85B95D-1DAF-42E9-830F-83A51679A452}"/>
    <hyperlink ref="B48" r:id="rId3" xr:uid="{178E35A6-928B-4502-83CE-83A6B10F1DB2}"/>
    <hyperlink ref="E34" location="'HW Full BOM'!A1" display="See HW List" xr:uid="{E741202D-3D92-44C0-840A-D43EC9771FA4}"/>
  </hyperlinks>
  <printOptions horizontalCentered="1"/>
  <pageMargins left="0.19685039370078741" right="0.19685039370078741" top="0.39370078740157483" bottom="0.39370078740157483" header="0.19685039370078741" footer="0.19685039370078741"/>
  <pageSetup paperSize="9" scale="53" fitToHeight="0" orientation="portrait" r:id="rId4"/>
  <headerFooter>
    <oddHeader>&amp;C&amp;"Aptos Black,Regular"&amp;14VALKYRIE V2 - Electronics BOM</oddHeader>
    <oddFooter>&amp;CBETA PRELEASE</oddFooter>
  </headerFooter>
  <drawing r:id="rId5"/>
  <tableParts count="1"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dimension ref="A1:E29"/>
  <sheetViews>
    <sheetView workbookViewId="0">
      <selection activeCell="C13" sqref="C13"/>
    </sheetView>
  </sheetViews>
  <sheetFormatPr defaultRowHeight="15"/>
  <cols>
    <col min="1" max="1" width="11" customWidth="1"/>
    <col min="2" max="2" width="11.140625" bestFit="1" customWidth="1"/>
    <col min="3" max="3" width="16.5703125" bestFit="1" customWidth="1"/>
    <col min="4" max="4" width="30.28515625" bestFit="1" customWidth="1"/>
    <col min="5" max="5" width="57.5703125" customWidth="1"/>
  </cols>
  <sheetData>
    <row r="1" spans="1:5">
      <c r="A1" s="113" t="s">
        <v>633</v>
      </c>
      <c r="B1" s="114"/>
      <c r="C1" s="114"/>
      <c r="D1" s="115"/>
      <c r="E1" s="153"/>
    </row>
    <row r="2" spans="1:5">
      <c r="A2" s="99" t="s">
        <v>634</v>
      </c>
      <c r="B2" s="102" t="s">
        <v>635</v>
      </c>
      <c r="C2" s="178" t="s">
        <v>636</v>
      </c>
      <c r="D2" s="179" t="s">
        <v>637</v>
      </c>
      <c r="E2" s="153"/>
    </row>
    <row r="3" spans="1:5">
      <c r="A3" s="99" t="s">
        <v>638</v>
      </c>
      <c r="B3" s="102"/>
      <c r="C3" s="100"/>
      <c r="D3" s="96"/>
      <c r="E3" s="13"/>
    </row>
    <row r="4" spans="1:5">
      <c r="A4" s="99">
        <v>1</v>
      </c>
      <c r="B4" s="102" t="s">
        <v>639</v>
      </c>
      <c r="C4" s="178" t="s">
        <v>640</v>
      </c>
      <c r="D4" s="179" t="s">
        <v>641</v>
      </c>
      <c r="E4" s="153"/>
    </row>
    <row r="5" spans="1:5">
      <c r="A5" s="99">
        <v>2</v>
      </c>
      <c r="B5" s="102" t="s">
        <v>642</v>
      </c>
      <c r="C5" s="178" t="s">
        <v>640</v>
      </c>
      <c r="D5" s="179" t="s">
        <v>643</v>
      </c>
      <c r="E5" s="153"/>
    </row>
    <row r="6" spans="1:5">
      <c r="A6" s="99">
        <v>3</v>
      </c>
      <c r="B6" s="102" t="s">
        <v>644</v>
      </c>
      <c r="C6" s="178" t="s">
        <v>640</v>
      </c>
      <c r="D6" s="179" t="s">
        <v>645</v>
      </c>
      <c r="E6" s="153"/>
    </row>
    <row r="7" spans="1:5">
      <c r="A7" s="99">
        <v>4</v>
      </c>
      <c r="B7" s="102" t="s">
        <v>646</v>
      </c>
      <c r="C7" s="178"/>
      <c r="D7" s="179"/>
      <c r="E7" s="153"/>
    </row>
    <row r="8" spans="1:5">
      <c r="A8" s="99"/>
      <c r="B8" s="102"/>
      <c r="C8" s="178"/>
      <c r="D8" s="179"/>
      <c r="E8" s="153"/>
    </row>
    <row r="9" spans="1:5">
      <c r="A9" s="99"/>
      <c r="B9" s="102"/>
      <c r="C9" s="178"/>
      <c r="D9" s="179"/>
      <c r="E9" s="153"/>
    </row>
    <row r="10" spans="1:5">
      <c r="A10" s="99" t="s">
        <v>647</v>
      </c>
      <c r="B10" s="102"/>
      <c r="C10" s="178"/>
      <c r="D10" s="179"/>
      <c r="E10" s="153"/>
    </row>
    <row r="11" spans="1:5">
      <c r="A11" s="99">
        <v>1</v>
      </c>
      <c r="B11" s="102"/>
      <c r="C11" s="178" t="s">
        <v>648</v>
      </c>
      <c r="D11" s="179" t="s">
        <v>649</v>
      </c>
      <c r="E11" s="153"/>
    </row>
    <row r="12" spans="1:5">
      <c r="A12" s="99">
        <v>2</v>
      </c>
      <c r="B12" s="102"/>
      <c r="C12" s="178" t="s">
        <v>648</v>
      </c>
      <c r="D12" s="179" t="s">
        <v>649</v>
      </c>
      <c r="E12" s="153"/>
    </row>
    <row r="13" spans="1:5">
      <c r="A13" s="99">
        <v>3</v>
      </c>
      <c r="B13" s="102"/>
      <c r="C13" s="178" t="s">
        <v>650</v>
      </c>
      <c r="D13" s="179" t="s">
        <v>651</v>
      </c>
      <c r="E13" s="153"/>
    </row>
    <row r="14" spans="1:5">
      <c r="A14" s="99">
        <v>4</v>
      </c>
      <c r="B14" s="102"/>
      <c r="C14" s="178" t="s">
        <v>650</v>
      </c>
      <c r="D14" s="179" t="s">
        <v>652</v>
      </c>
      <c r="E14" s="153"/>
    </row>
    <row r="15" spans="1:5">
      <c r="A15" s="99">
        <v>5</v>
      </c>
      <c r="B15" s="102"/>
      <c r="C15" s="178" t="s">
        <v>653</v>
      </c>
      <c r="D15" s="179" t="s">
        <v>654</v>
      </c>
      <c r="E15" s="153"/>
    </row>
    <row r="16" spans="1:5">
      <c r="A16" s="99">
        <v>6</v>
      </c>
      <c r="B16" s="102"/>
      <c r="C16" s="178" t="s">
        <v>653</v>
      </c>
      <c r="D16" s="179" t="s">
        <v>654</v>
      </c>
      <c r="E16" s="153"/>
    </row>
    <row r="17" spans="1:5">
      <c r="A17" s="99">
        <v>7</v>
      </c>
      <c r="B17" s="102"/>
      <c r="C17" s="178"/>
      <c r="D17" s="101" t="s">
        <v>655</v>
      </c>
      <c r="E17" s="153"/>
    </row>
    <row r="18" spans="1:5">
      <c r="A18" s="99">
        <v>8</v>
      </c>
      <c r="B18" s="102"/>
      <c r="C18" s="178"/>
      <c r="D18" s="101" t="s">
        <v>656</v>
      </c>
      <c r="E18" s="153"/>
    </row>
    <row r="19" spans="1:5">
      <c r="A19" s="99">
        <v>9</v>
      </c>
      <c r="B19" s="102"/>
      <c r="C19" s="178" t="s">
        <v>650</v>
      </c>
      <c r="D19" s="179" t="s">
        <v>657</v>
      </c>
      <c r="E19" s="153"/>
    </row>
    <row r="20" spans="1:5">
      <c r="A20" s="99">
        <v>10</v>
      </c>
      <c r="B20" s="102"/>
      <c r="C20" s="178" t="s">
        <v>650</v>
      </c>
      <c r="D20" s="179" t="s">
        <v>658</v>
      </c>
      <c r="E20" s="153"/>
    </row>
    <row r="21" spans="1:5">
      <c r="A21" s="99"/>
      <c r="B21" s="102"/>
      <c r="C21" s="178"/>
      <c r="D21" s="179"/>
      <c r="E21" s="153"/>
    </row>
    <row r="22" spans="1:5">
      <c r="A22" s="99" t="s">
        <v>638</v>
      </c>
      <c r="B22" s="102" t="s">
        <v>659</v>
      </c>
      <c r="C22" s="178" t="s">
        <v>636</v>
      </c>
      <c r="D22" s="179"/>
      <c r="E22" s="153"/>
    </row>
    <row r="23" spans="1:5">
      <c r="A23" s="99">
        <v>1</v>
      </c>
      <c r="B23" s="102" t="s">
        <v>639</v>
      </c>
      <c r="C23" s="178" t="s">
        <v>640</v>
      </c>
      <c r="D23" s="179" t="s">
        <v>660</v>
      </c>
      <c r="E23" s="153"/>
    </row>
    <row r="24" spans="1:5">
      <c r="A24" s="99">
        <v>2</v>
      </c>
      <c r="B24" s="102" t="s">
        <v>642</v>
      </c>
      <c r="C24" s="178" t="s">
        <v>640</v>
      </c>
      <c r="D24" s="179" t="s">
        <v>660</v>
      </c>
      <c r="E24" s="153"/>
    </row>
    <row r="25" spans="1:5">
      <c r="A25" s="99">
        <v>3</v>
      </c>
      <c r="B25" s="102" t="s">
        <v>644</v>
      </c>
      <c r="C25" s="178" t="s">
        <v>640</v>
      </c>
      <c r="D25" s="179" t="s">
        <v>660</v>
      </c>
      <c r="E25" s="153"/>
    </row>
    <row r="26" spans="1:5" ht="15.75" thickBot="1">
      <c r="A26" s="180">
        <v>4</v>
      </c>
      <c r="B26" s="181" t="s">
        <v>646</v>
      </c>
      <c r="C26" s="182"/>
      <c r="D26" s="183"/>
      <c r="E26" s="153"/>
    </row>
    <row r="27" spans="1:5">
      <c r="A27" s="153"/>
      <c r="B27" s="153"/>
      <c r="C27" s="8"/>
      <c r="D27" s="8"/>
      <c r="E27" s="153"/>
    </row>
    <row r="28" spans="1:5">
      <c r="A28" s="153"/>
      <c r="B28" s="153"/>
      <c r="C28" s="8"/>
      <c r="D28" s="8"/>
      <c r="E28" s="153"/>
    </row>
    <row r="29" spans="1:5">
      <c r="C29" s="8"/>
      <c r="D29" s="8"/>
      <c r="E29" s="153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7"/>
  <sheetViews>
    <sheetView workbookViewId="0">
      <selection activeCell="A11" sqref="A11"/>
    </sheetView>
  </sheetViews>
  <sheetFormatPr defaultRowHeight="15"/>
  <cols>
    <col min="1" max="1" width="83.140625" customWidth="1"/>
    <col min="2" max="2" width="11.42578125" customWidth="1"/>
    <col min="3" max="3" width="35.5703125" customWidth="1"/>
    <col min="4" max="4" width="70.85546875" customWidth="1"/>
  </cols>
  <sheetData>
    <row r="1" spans="1:4" ht="15.75">
      <c r="A1" s="7" t="s">
        <v>661</v>
      </c>
      <c r="B1" t="s">
        <v>662</v>
      </c>
      <c r="C1" t="s">
        <v>663</v>
      </c>
      <c r="D1" t="s">
        <v>664</v>
      </c>
    </row>
    <row r="2" spans="1:4" ht="20.25" customHeight="1">
      <c r="A2" s="6" t="s">
        <v>665</v>
      </c>
      <c r="B2" t="s">
        <v>666</v>
      </c>
      <c r="C2" s="6" t="s">
        <v>667</v>
      </c>
      <c r="D2" s="11" t="s">
        <v>668</v>
      </c>
    </row>
    <row r="3" spans="1:4">
      <c r="A3" t="s">
        <v>669</v>
      </c>
      <c r="B3" t="s">
        <v>670</v>
      </c>
      <c r="C3" s="10" t="s">
        <v>671</v>
      </c>
    </row>
    <row r="4" spans="1:4">
      <c r="A4" t="s">
        <v>672</v>
      </c>
      <c r="B4" t="s">
        <v>670</v>
      </c>
      <c r="C4" s="10" t="s">
        <v>671</v>
      </c>
    </row>
    <row r="5" spans="1:4">
      <c r="A5" t="s">
        <v>673</v>
      </c>
      <c r="B5" t="s">
        <v>674</v>
      </c>
      <c r="C5" s="12" t="s">
        <v>675</v>
      </c>
      <c r="D5" t="s">
        <v>676</v>
      </c>
    </row>
    <row r="6" spans="1:4">
      <c r="A6" t="s">
        <v>677</v>
      </c>
      <c r="B6" t="s">
        <v>678</v>
      </c>
      <c r="C6" s="6" t="s">
        <v>679</v>
      </c>
      <c r="D6" t="s">
        <v>680</v>
      </c>
    </row>
    <row r="7" spans="1:4">
      <c r="A7" t="s">
        <v>681</v>
      </c>
      <c r="B7" t="s">
        <v>682</v>
      </c>
      <c r="C7" s="9" t="s">
        <v>683</v>
      </c>
    </row>
    <row r="8" spans="1:4" ht="14.25" customHeight="1">
      <c r="A8" t="s">
        <v>684</v>
      </c>
      <c r="B8" t="s">
        <v>678</v>
      </c>
      <c r="C8" s="6" t="s">
        <v>685</v>
      </c>
    </row>
    <row r="9" spans="1:4">
      <c r="A9" t="s">
        <v>686</v>
      </c>
    </row>
    <row r="10" spans="1:4">
      <c r="A10" s="9" t="s">
        <v>687</v>
      </c>
      <c r="B10" s="9" t="s">
        <v>670</v>
      </c>
      <c r="C10" s="9" t="s">
        <v>683</v>
      </c>
    </row>
    <row r="11" spans="1:4">
      <c r="A11" t="s">
        <v>688</v>
      </c>
      <c r="C11" s="9" t="s">
        <v>683</v>
      </c>
    </row>
    <row r="12" spans="1:4">
      <c r="A12" s="9" t="s">
        <v>689</v>
      </c>
      <c r="B12" s="9" t="s">
        <v>678</v>
      </c>
      <c r="C12" s="9" t="s">
        <v>690</v>
      </c>
    </row>
    <row r="13" spans="1:4">
      <c r="A13" t="s">
        <v>691</v>
      </c>
      <c r="B13" t="s">
        <v>674</v>
      </c>
      <c r="C13" s="9" t="s">
        <v>690</v>
      </c>
    </row>
    <row r="14" spans="1:4">
      <c r="A14" s="9" t="s">
        <v>692</v>
      </c>
      <c r="B14" s="9" t="s">
        <v>674</v>
      </c>
      <c r="C14" s="9" t="s">
        <v>683</v>
      </c>
    </row>
    <row r="15" spans="1:4">
      <c r="A15" s="8" t="s">
        <v>693</v>
      </c>
      <c r="B15" t="s">
        <v>694</v>
      </c>
      <c r="C15" s="9" t="s">
        <v>683</v>
      </c>
    </row>
    <row r="16" spans="1:4">
      <c r="A16" t="s">
        <v>695</v>
      </c>
    </row>
    <row r="17" spans="1:2">
      <c r="A17" s="8" t="s">
        <v>696</v>
      </c>
      <c r="B17" t="s">
        <v>670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1"/>
  <sheetViews>
    <sheetView topLeftCell="A4" workbookViewId="0"/>
  </sheetViews>
  <sheetFormatPr defaultRowHeight="15"/>
  <cols>
    <col min="1" max="1" width="42.7109375" customWidth="1"/>
    <col min="2" max="2" width="20.42578125" customWidth="1"/>
    <col min="3" max="3" width="19.140625" customWidth="1"/>
    <col min="4" max="4" width="19.42578125" customWidth="1"/>
    <col min="5" max="5" width="34.42578125" customWidth="1"/>
  </cols>
  <sheetData>
    <row r="1" spans="1:5">
      <c r="A1" s="5" t="s">
        <v>361</v>
      </c>
      <c r="B1" s="5" t="s">
        <v>697</v>
      </c>
      <c r="C1" s="5" t="s">
        <v>362</v>
      </c>
      <c r="D1" s="5" t="s">
        <v>698</v>
      </c>
      <c r="E1" s="5" t="s">
        <v>699</v>
      </c>
    </row>
    <row r="2" spans="1:5">
      <c r="A2" t="s">
        <v>700</v>
      </c>
      <c r="C2" t="s">
        <v>701</v>
      </c>
    </row>
    <row r="3" spans="1:5">
      <c r="A3" t="s">
        <v>702</v>
      </c>
    </row>
    <row r="4" spans="1:5">
      <c r="A4" t="s">
        <v>703</v>
      </c>
    </row>
    <row r="5" spans="1:5">
      <c r="A5" t="s">
        <v>704</v>
      </c>
    </row>
    <row r="6" spans="1:5">
      <c r="A6" t="s">
        <v>705</v>
      </c>
    </row>
    <row r="7" spans="1:5">
      <c r="A7" t="s">
        <v>706</v>
      </c>
    </row>
    <row r="8" spans="1:5">
      <c r="A8" t="s">
        <v>707</v>
      </c>
    </row>
    <row r="9" spans="1:5">
      <c r="A9" t="s">
        <v>708</v>
      </c>
    </row>
    <row r="10" spans="1:5">
      <c r="A10" t="s">
        <v>709</v>
      </c>
    </row>
    <row r="11" spans="1:5" ht="14.25" customHeight="1">
      <c r="A11" s="6" t="s">
        <v>710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2026-01-07T10:24:53Z</dcterms:modified>
  <cp:category/>
  <cp:contentStatus/>
</cp:coreProperties>
</file>