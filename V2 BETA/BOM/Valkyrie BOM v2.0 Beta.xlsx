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7408" documentId="8_{63A4C33B-DB7D-4B96-8F5C-2848B14821C5}" xr6:coauthVersionLast="47" xr6:coauthVersionMax="47" xr10:uidLastSave="{E0D6C872-9E31-41DF-B212-1A87932B7793}"/>
  <bookViews>
    <workbookView xWindow="28680" yWindow="-45" windowWidth="29040" windowHeight="16440" firstSheet="6" activeTab="5" xr2:uid="{00000000-000D-0000-FFFF-FFFF00000000}"/>
  </bookViews>
  <sheets>
    <sheet name="2." sheetId="11" r:id="rId1"/>
    <sheet name="MISC" sheetId="30" r:id="rId2"/>
    <sheet name="3. " sheetId="15" r:id="rId3"/>
    <sheet name="5. " sheetId="14" r:id="rId4"/>
    <sheet name="6. " sheetId="16" r:id="rId5"/>
    <sheet name="Hardware" sheetId="8" r:id="rId6"/>
    <sheet name="V2 Frame BOM" sheetId="28" r:id="rId7"/>
    <sheet name="V2 AB Gantry BOM" sheetId="20" r:id="rId8"/>
    <sheet name="V2 Toolhead BOM" sheetId="27" r:id="rId9"/>
    <sheet name="V2 Z System BOM" sheetId="29" r:id="rId10"/>
    <sheet name="V2 Enclosure BOM 00" sheetId="23" r:id="rId11"/>
    <sheet name="V2 Drybox BOM" sheetId="24" r:id="rId12"/>
    <sheet name="Chamber connections" sheetId="35" r:id="rId13"/>
    <sheet name="To Do" sheetId="34" r:id="rId14"/>
    <sheet name="V2 Electronics BOM" sheetId="33" r:id="rId15"/>
    <sheet name="V2 Liquid Cooling BOM" sheetId="26" r:id="rId16"/>
  </sheets>
  <definedNames>
    <definedName name="_xlnm._FilterDatabase" localSheetId="5" hidden="1">Hardware!$A$1:$K$125</definedName>
    <definedName name="_xlnm._FilterDatabase" localSheetId="8" hidden="1">'V2 Toolhead BOM'!$B$1:$D$22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7" roundtripDataSignature="AMtx7mjXg2aXlIlZtHiGIVqqlSvDo2t44g=="/>
    </ext>
  </extLst>
</workbook>
</file>

<file path=xl/calcChain.xml><?xml version="1.0" encoding="utf-8"?>
<calcChain xmlns="http://schemas.openxmlformats.org/spreadsheetml/2006/main">
  <c r="H20" i="28" l="1"/>
  <c r="H2" i="28"/>
  <c r="H3" i="28"/>
  <c r="H4" i="28"/>
  <c r="H5" i="28"/>
  <c r="H6" i="28"/>
  <c r="H7" i="28"/>
  <c r="H8" i="28"/>
  <c r="H9" i="28"/>
  <c r="G3" i="20"/>
  <c r="G4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2" i="20"/>
  <c r="G2" i="29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F57" i="27"/>
  <c r="F43" i="27"/>
  <c r="G76" i="8"/>
  <c r="G111" i="8"/>
  <c r="G3" i="8"/>
  <c r="G110" i="8"/>
  <c r="G84" i="8"/>
  <c r="G14" i="11" l="1"/>
  <c r="G16" i="11"/>
  <c r="G17" i="11"/>
  <c r="G18" i="11"/>
  <c r="G13" i="11"/>
  <c r="G12" i="11"/>
  <c r="G11" i="11"/>
  <c r="G10" i="11"/>
  <c r="G9" i="11"/>
  <c r="G8" i="11"/>
  <c r="G5" i="11"/>
  <c r="G4" i="11"/>
  <c r="F11" i="16"/>
  <c r="F10" i="16"/>
  <c r="F9" i="16"/>
  <c r="F8" i="16"/>
  <c r="F7" i="16"/>
  <c r="E6" i="16"/>
  <c r="F6" i="16" s="1"/>
  <c r="F5" i="16"/>
  <c r="F4" i="16"/>
  <c r="F8" i="15"/>
  <c r="F7" i="15"/>
  <c r="F6" i="15"/>
  <c r="F5" i="15"/>
  <c r="F4" i="15"/>
  <c r="F9" i="15"/>
  <c r="G9" i="14"/>
  <c r="G8" i="14"/>
  <c r="G7" i="14"/>
  <c r="G6" i="14"/>
  <c r="G5" i="14"/>
  <c r="G4" i="14"/>
  <c r="F12" i="16" l="1"/>
  <c r="G10" i="14"/>
  <c r="G23" i="11"/>
  <c r="G108" i="8"/>
  <c r="G93" i="8" l="1"/>
  <c r="G4" i="8"/>
  <c r="G5" i="8"/>
  <c r="G2" i="8"/>
  <c r="F7" i="8" l="1"/>
  <c r="G7" i="8" s="1"/>
  <c r="G14" i="8"/>
  <c r="G42" i="8"/>
  <c r="G114" i="8"/>
  <c r="G109" i="8"/>
  <c r="G96" i="8"/>
  <c r="G94" i="8"/>
  <c r="G116" i="8"/>
  <c r="G47" i="8"/>
  <c r="G46" i="8"/>
  <c r="G45" i="8"/>
  <c r="G90" i="8"/>
  <c r="G115" i="8"/>
  <c r="G44" i="8"/>
  <c r="G43" i="8"/>
  <c r="G86" i="8"/>
  <c r="G82" i="8"/>
  <c r="G74" i="8"/>
  <c r="G41" i="8"/>
  <c r="G40" i="8"/>
  <c r="G125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Roy Berntsen</author>
  </authors>
  <commentList>
    <comment ref="H9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Roy Berntsen:</t>
        </r>
        <r>
          <rPr>
            <sz val="9"/>
            <color indexed="81"/>
            <rFont val="Tahoma"/>
            <family val="2"/>
          </rPr>
          <t xml:space="preserve">
Choose sujited fuse temp for your system</t>
        </r>
      </text>
    </comment>
  </commentList>
</comments>
</file>

<file path=xl/sharedStrings.xml><?xml version="1.0" encoding="utf-8"?>
<sst xmlns="http://schemas.openxmlformats.org/spreadsheetml/2006/main" count="1399" uniqueCount="821">
  <si>
    <t>XYZ  Assembly</t>
  </si>
  <si>
    <t>Part Type</t>
  </si>
  <si>
    <t>Description</t>
  </si>
  <si>
    <t>Cut Length mm</t>
  </si>
  <si>
    <t xml:space="preserve">Quantity Required </t>
  </si>
  <si>
    <t>Pack Order Quantity</t>
  </si>
  <si>
    <t>Pack Price $USD</t>
  </si>
  <si>
    <t>Cost Price $USD</t>
  </si>
  <si>
    <t>Order Parts Link</t>
  </si>
  <si>
    <t>Tube</t>
  </si>
  <si>
    <t xml:space="preserve">X-Axis Tube Aluminum  20x20x18 </t>
  </si>
  <si>
    <t>410</t>
  </si>
  <si>
    <t>1</t>
  </si>
  <si>
    <t>12</t>
  </si>
  <si>
    <t xml:space="preserve"> $8.00 </t>
  </si>
  <si>
    <t xml:space="preserve"> $8.00 3</t>
  </si>
  <si>
    <t>1x 20X20X1.5mm 500mm</t>
  </si>
  <si>
    <t>Rod</t>
  </si>
  <si>
    <t>5x25mm Rod For Tension Forks</t>
  </si>
  <si>
    <t>1x Length: 25mm 8PC</t>
  </si>
  <si>
    <t>https://www.aliexpress.com/item/1005005970231547.html</t>
  </si>
  <si>
    <t>5x40mm Rod For AB Idlers</t>
  </si>
  <si>
    <t>3x Length: 40mm 5PC</t>
  </si>
  <si>
    <t>6x25 Bearing Shaft</t>
  </si>
  <si>
    <t>6x40 Bearing Shaft</t>
  </si>
  <si>
    <t>Belt</t>
  </si>
  <si>
    <t>Timing Belt 2GT 9mm 135C</t>
  </si>
  <si>
    <t>1x 8M Heat Resistant - 9mm</t>
  </si>
  <si>
    <t>Idler</t>
  </si>
  <si>
    <t>Idlers Smooth 11mm</t>
  </si>
  <si>
    <t>10x W 11mm without t</t>
  </si>
  <si>
    <t>GT2 Pulley 20T 11mm</t>
  </si>
  <si>
    <t>5x W 11mm with t</t>
  </si>
  <si>
    <t>Pulley</t>
  </si>
  <si>
    <t>Pulley 11mm 2GT</t>
  </si>
  <si>
    <t>5x For 9mm</t>
  </si>
  <si>
    <t>Gear</t>
  </si>
  <si>
    <t>2GT 20T-80T 4:1 Belt Gear</t>
  </si>
  <si>
    <t>3x 20T(5mm)-80T(5mm)-200mm</t>
  </si>
  <si>
    <t>Steppermotor</t>
  </si>
  <si>
    <t>42mm NEMA 17 1.7A</t>
  </si>
  <si>
    <t>1x 5Pcs 40mm 45N-cm 2A</t>
  </si>
  <si>
    <t xml:space="preserve">carnt get these  in a qty of 3 , this might be an alternative  </t>
  </si>
  <si>
    <t>https://www.aliexpress.com/item/4000794108779.html</t>
  </si>
  <si>
    <t> Nema 17  55mm shaft High Temp</t>
  </si>
  <si>
    <t>https://www.aliexpress.com/item/1005007050116319.html</t>
  </si>
  <si>
    <t>Plate</t>
  </si>
  <si>
    <t>Cast Aluminum 350x350x8mm</t>
  </si>
  <si>
    <t>1225 cm^2</t>
  </si>
  <si>
    <t xml:space="preserve">to source </t>
  </si>
  <si>
    <t>Print Surface</t>
  </si>
  <si>
    <t>Removal Spring Steel PEI Sheet</t>
  </si>
  <si>
    <t>1x Size: (130C)330x330mm</t>
  </si>
  <si>
    <t>5x50mm Rod For Ball Joint</t>
  </si>
  <si>
    <t>2x Length: 50mm 4PC</t>
  </si>
  <si>
    <t>https://www.aliexpress.com/item/1005007696967716.html</t>
  </si>
  <si>
    <t>Ball Joint</t>
  </si>
  <si>
    <t>Precision Ball 10mm M4</t>
  </si>
  <si>
    <t>1x Size: 10pc</t>
  </si>
  <si>
    <t>Bearing</t>
  </si>
  <si>
    <t>MGN 12 Rail  400mm</t>
  </si>
  <si>
    <t>MGN 12H CARRAGE</t>
  </si>
  <si>
    <t>MGN 9 400mm</t>
  </si>
  <si>
    <t>MGN9-H CARRAGE</t>
  </si>
  <si>
    <t>Price exl Taxes</t>
  </si>
  <si>
    <t xml:space="preserve">Link to Drawings </t>
  </si>
  <si>
    <t>Part name</t>
  </si>
  <si>
    <t>Quantity M</t>
  </si>
  <si>
    <t>Column1</t>
  </si>
  <si>
    <t>Column2</t>
  </si>
  <si>
    <t>HT cable  Red  0.xmm</t>
  </si>
  <si>
    <t>HT cable  Black  0.xmm</t>
  </si>
  <si>
    <t>HT cable  Green  0.xmm</t>
  </si>
  <si>
    <t>HT cable  Blue  0.xmm</t>
  </si>
  <si>
    <t>HT cable  white 0.xmm</t>
  </si>
  <si>
    <t xml:space="preserve">EPDM foam </t>
  </si>
  <si>
    <t>Door seal / Dry Box</t>
  </si>
  <si>
    <t>Heat Shrink Tubing  ?mm</t>
  </si>
  <si>
    <t xml:space="preserve">Tools required </t>
  </si>
  <si>
    <t xml:space="preserve">Square </t>
  </si>
  <si>
    <t>Allen keys</t>
  </si>
  <si>
    <t xml:space="preserve">steel Rule or  Equiverlant </t>
  </si>
  <si>
    <t xml:space="preserve">G or F clamp </t>
  </si>
  <si>
    <t>Spanner  AF</t>
  </si>
  <si>
    <t xml:space="preserve">Drill and drill bits </t>
  </si>
  <si>
    <t xml:space="preserve">solder iron and solder </t>
  </si>
  <si>
    <t xml:space="preserve">crimp tool for  control board connection </t>
  </si>
  <si>
    <t>Tool Head Assembly</t>
  </si>
  <si>
    <t>Quantity Required</t>
  </si>
  <si>
    <t>PCB</t>
  </si>
  <si>
    <t>LIS3DSH Accelerometer</t>
  </si>
  <si>
    <t xml:space="preserve"> $8.89 </t>
  </si>
  <si>
    <t xml:space="preserve"> $8.89 3</t>
  </si>
  <si>
    <t>1x LIS3DSH Accelerometer</t>
  </si>
  <si>
    <t>https://www.digikey.co.nz/en/products/detail/adafruit-industries-llc/2809/5774319?gclsrc=aw.ds&amp;gad_source=1&amp;gad_campaignid=20104923089&amp;gbraid=0AAAAADrbLlgdi87UGAUglUogkgR_6w3hi&amp;gclid=Cj0KCQjwndHEBhDVARIsAGh0g3Ak6uH_wsV3wheOwtP_PRij5CktZlySrxDYMnLAm9yqdaVEJpKfcacaAqsQEALw_wcB</t>
  </si>
  <si>
    <t>Hotend</t>
  </si>
  <si>
    <t>Dragon Hotend HF</t>
  </si>
  <si>
    <t>1x Dragon HF</t>
  </si>
  <si>
    <t>https://www.aliexpress.com/item/1005009522742769.html</t>
  </si>
  <si>
    <t>Thermistor</t>
  </si>
  <si>
    <t>PT1000 Thermistor Up to 450C</t>
  </si>
  <si>
    <t xml:space="preserve">1x PT1000 Thermistor Cartridge </t>
  </si>
  <si>
    <t>Extruder</t>
  </si>
  <si>
    <t>BIQU H2 V2X</t>
  </si>
  <si>
    <t>PTFE Teflon Tube</t>
  </si>
  <si>
    <t>1x Size: 1M ID 2MM OD 3MM</t>
  </si>
  <si>
    <t>https://www.aliexpress.com/item/1005005754150879.html</t>
  </si>
  <si>
    <t>1x Size: 2M ID 4MM OD 6MM</t>
  </si>
  <si>
    <t>Link To Drawings</t>
  </si>
  <si>
    <t>Picture</t>
  </si>
  <si>
    <t>Electronics and electrical</t>
  </si>
  <si>
    <t>Column3</t>
  </si>
  <si>
    <t>Column4</t>
  </si>
  <si>
    <t>Column5</t>
  </si>
  <si>
    <t>Column6</t>
  </si>
  <si>
    <t>Column7</t>
  </si>
  <si>
    <t>Column8</t>
  </si>
  <si>
    <t>Controller Board</t>
  </si>
  <si>
    <t>Duet 3 6HC</t>
  </si>
  <si>
    <t xml:space="preserve"> 1x Duet 3 6HC</t>
  </si>
  <si>
    <t>PSU</t>
  </si>
  <si>
    <t>Power Supply Unit</t>
  </si>
  <si>
    <t>24V10A 240W</t>
  </si>
  <si>
    <t>Switch</t>
  </si>
  <si>
    <t>Power Switch</t>
  </si>
  <si>
    <t>1x Power switch</t>
  </si>
  <si>
    <t>Heater</t>
  </si>
  <si>
    <t>Keenovo 750W Silicone Heater</t>
  </si>
  <si>
    <t>1x Color: 220V/110V</t>
  </si>
  <si>
    <t>Solid State Relay</t>
  </si>
  <si>
    <t>Omron Solid State Relay</t>
  </si>
  <si>
    <t>Fuse</t>
  </si>
  <si>
    <t>Thermal Fuse for AC Heater</t>
  </si>
  <si>
    <t>1x Temperature: 150/180 degree</t>
  </si>
  <si>
    <t>Dry Box Assembly</t>
  </si>
  <si>
    <t>Sensor</t>
  </si>
  <si>
    <t>5KG Load Cell and HX711 ADC</t>
  </si>
  <si>
    <t>Color: 5KG With HX711</t>
  </si>
  <si>
    <t>PTC Heater 12x7cm 260C</t>
  </si>
  <si>
    <t>PTC Heater with Cord (US or EU)</t>
  </si>
  <si>
    <t>https://www.aliexpress.com/item/1005007390172176.html</t>
  </si>
  <si>
    <t>Thermal Fuse 95C</t>
  </si>
  <si>
    <r>
      <rPr>
        <u/>
        <sz val="11"/>
        <color rgb="FF0070C0"/>
        <rFont val="serif"/>
      </rPr>
      <t xml:space="preserve">1x 15A - 95C </t>
    </r>
  </si>
  <si>
    <t>PCB assy</t>
  </si>
  <si>
    <t>HX711 + 5kg Load cell</t>
  </si>
  <si>
    <t>1x5kg loadcell + HX711</t>
  </si>
  <si>
    <t>ESP32 WiFi Board</t>
  </si>
  <si>
    <t>1xESP-32 30Pin</t>
  </si>
  <si>
    <t>ESP32 DEV BOARD</t>
  </si>
  <si>
    <t>1xESP32-V1 SHIELD 30P</t>
  </si>
  <si>
    <t>DHT22 Humididty + Temp Sensor</t>
  </si>
  <si>
    <t>1xDHT22 Sensor</t>
  </si>
  <si>
    <t>Desiccant</t>
  </si>
  <si>
    <t>Calsium Chloride</t>
  </si>
  <si>
    <t>Source Locally</t>
  </si>
  <si>
    <t xml:space="preserve">Picture </t>
  </si>
  <si>
    <t>Cut length</t>
  </si>
  <si>
    <t>Line Price $USD</t>
  </si>
  <si>
    <t>Supplier</t>
  </si>
  <si>
    <t>DIN</t>
  </si>
  <si>
    <t>ISO</t>
  </si>
  <si>
    <t xml:space="preserve">new links </t>
  </si>
  <si>
    <t xml:space="preserve">Roys Links </t>
  </si>
  <si>
    <t>Bearings</t>
  </si>
  <si>
    <t>05x16x5 625ZZ Bearing</t>
  </si>
  <si>
    <t>10pcs 625ZZ 5x16x5mm</t>
  </si>
  <si>
    <t>08x16x5 688zz Bearing</t>
  </si>
  <si>
    <t>1 x 10 PCS 688zz</t>
  </si>
  <si>
    <t xml:space="preserve">
APE</t>
  </si>
  <si>
    <t>https://www.aliexpress.com/item/1005008537901204.html</t>
  </si>
  <si>
    <t>08x22x7 608zz Bearing</t>
  </si>
  <si>
    <t>1x  10PCS 608ZZ</t>
  </si>
  <si>
    <t>https://www.aliexpress.com/item/1005009280390671.html</t>
  </si>
  <si>
    <t>Draw Slides</t>
  </si>
  <si>
    <t>Color: Buffer 16inch 40cm</t>
  </si>
  <si>
    <t>Naierdi</t>
  </si>
  <si>
    <t>https://www.aliexpress.com/item/4001085251691.html</t>
  </si>
  <si>
    <t xml:space="preserve">Bearings </t>
  </si>
  <si>
    <t>04.5 mm SS ball</t>
  </si>
  <si>
    <t xml:space="preserve">1 x 10PCS  4.5mm SS 304 </t>
  </si>
  <si>
    <t xml:space="preserve">
Gosenballs </t>
  </si>
  <si>
    <t>https://www.aliexpress.com/item/1005003518289238.html</t>
  </si>
  <si>
    <t>05x8x2.5M Bushings</t>
  </si>
  <si>
    <t>1x 10pcs Bushings 5x8x2.5</t>
  </si>
  <si>
    <t>GEPS</t>
  </si>
  <si>
    <t>https://www.aliexpress.com/store/5715012</t>
  </si>
  <si>
    <t>06x17x6 F606ZZ Bearing</t>
  </si>
  <si>
    <t>2 x 10 PCS F606zz</t>
  </si>
  <si>
    <t>https://www.aliexpress.com/item/1005009065865687.html</t>
  </si>
  <si>
    <t>10mm Ball Bearing M4 tapped</t>
  </si>
  <si>
    <t>20pcs 10mm*M4 Stainless Steel Ball</t>
  </si>
  <si>
    <t>Mellow</t>
  </si>
  <si>
    <t>https://www.aliexpress.com/item/1005007783703537.html</t>
  </si>
  <si>
    <t>MGN 12h 350</t>
  </si>
  <si>
    <t>MGN 12H 350mm with pre load light</t>
  </si>
  <si>
    <t>CNA Mechanical </t>
  </si>
  <si>
    <t>https://www.aliexpress.com/item/1005006662945699.html</t>
  </si>
  <si>
    <t>MGN 12h 400</t>
  </si>
  <si>
    <t xml:space="preserve">MGN 12H 400mm  with medium pre load </t>
  </si>
  <si>
    <t>MGN 9H 400</t>
  </si>
  <si>
    <t xml:space="preserve">MGN 9H 400 mm Medium pre load </t>
  </si>
  <si>
    <t>Collar</t>
  </si>
  <si>
    <t>05x10 D5 Shaft Collar DIN 705</t>
  </si>
  <si>
    <t>GDZS-D5-10-6</t>
  </si>
  <si>
    <t>Hui Xing Hardware Fittings </t>
  </si>
  <si>
    <t>https://www.aliexpress.com/item/1005008040980034.html</t>
  </si>
  <si>
    <t>Electrical</t>
  </si>
  <si>
    <t>Ceramic Cartridge Heater 24v 50W</t>
  </si>
  <si>
    <t xml:space="preserve"> heater 24v 50W 1M</t>
  </si>
  <si>
    <t>Big Tree Tech</t>
  </si>
  <si>
    <t>https://www.aliexpress.com/item/1005006820897849.html</t>
  </si>
  <si>
    <t>Cpap Blower Robo Fan</t>
  </si>
  <si>
    <t xml:space="preserve">DHT 22 temp/humid sensor </t>
  </si>
  <si>
    <t xml:space="preserve">Digikey </t>
  </si>
  <si>
    <t xml:space="preserve">ESP32  Expansion Board + Dev Board </t>
  </si>
  <si>
    <t>Dev board and esp32</t>
  </si>
  <si>
    <t xml:space="preserve">EZ-Electro </t>
  </si>
  <si>
    <t>https://www.aliexpress.com/item/1005009358733460.html</t>
  </si>
  <si>
    <t>Fan 120mm</t>
  </si>
  <si>
    <t>GX20 flange mount &amp; Plug 10pin</t>
  </si>
  <si>
    <t>https://s.click.aliexpress.com/e/_c3WgzI23</t>
  </si>
  <si>
    <t>MannHwa </t>
  </si>
  <si>
    <t>GX20 flange mount &amp; Plug 6pin</t>
  </si>
  <si>
    <t>Heater Pad 310x310 750w  230V AC</t>
  </si>
  <si>
    <t>Load Cell 5kg</t>
  </si>
  <si>
    <t>? dimensions</t>
  </si>
  <si>
    <t xml:space="preserve">Load cell amplifier </t>
  </si>
  <si>
    <t xml:space="preserve">Nema 17 40mm </t>
  </si>
  <si>
    <t>3 x 17hs16-2004s1</t>
  </si>
  <si>
    <t>STEPPERONLINE</t>
  </si>
  <si>
    <t>Nema 17 48 S55</t>
  </si>
  <si>
    <t>1 x 17HS19-2504S-H-V1 class H</t>
  </si>
  <si>
    <t>PT 1000</t>
  </si>
  <si>
    <t>PT 1000 1.3M</t>
  </si>
  <si>
    <t>Mellow 3D</t>
  </si>
  <si>
    <t>https://www.aliexpress.com/item/1005004518673001.html</t>
  </si>
  <si>
    <t>PTC 300W Heater</t>
  </si>
  <si>
    <t xml:space="preserve">PTC 300W </t>
  </si>
  <si>
    <t>GT</t>
  </si>
  <si>
    <t xml:space="preserve">2GT EPDM 10mm +135℃ </t>
  </si>
  <si>
    <t>10M HT EPDM GATES-LL-2GT</t>
  </si>
  <si>
    <t>https://www.aliexpress.com/item/1005002307826257.html</t>
  </si>
  <si>
    <t>GT1.5 AB Timing Belt</t>
  </si>
  <si>
    <t>GT1.5 Pulley 26T 11mm</t>
  </si>
  <si>
    <t>GT2 Pulley 20T 7mm + Pulley 80T 7mm + 200mm belt</t>
  </si>
  <si>
    <t>KIT 1</t>
  </si>
  <si>
    <t>Magnet</t>
  </si>
  <si>
    <t>Magnet 20mm 10kg</t>
  </si>
  <si>
    <t xml:space="preserve"> 1 x 6PCS  D20 magnet </t>
  </si>
  <si>
    <t xml:space="preserve">
SZ-Ming Store</t>
  </si>
  <si>
    <t>https://www.aliexpress.com/item/1005010051321048.html</t>
  </si>
  <si>
    <t>Magnet HT 06x05</t>
  </si>
  <si>
    <t>Magnet Keeper 20x3</t>
  </si>
  <si>
    <t>?</t>
  </si>
  <si>
    <t>Melt zone</t>
  </si>
  <si>
    <t>BIQU H2 V2X Direct Extruder</t>
  </si>
  <si>
    <t>https://www.aliexpress.com/item/1005007142578986.html</t>
  </si>
  <si>
    <t>Part Fan CPAP Tube 125C+</t>
  </si>
  <si>
    <t>Nut</t>
  </si>
  <si>
    <t>M2.5 Nut</t>
  </si>
  <si>
    <t>1 x 50PCS  M2.5 nut</t>
  </si>
  <si>
    <t>Michastu Store</t>
  </si>
  <si>
    <t>https://www.aliexpress.com/item/1005003712392580.html</t>
  </si>
  <si>
    <t>M3 Nut</t>
  </si>
  <si>
    <t>1x Size: M3 50PCS</t>
  </si>
  <si>
    <t>M3 Hammer Nut</t>
  </si>
  <si>
    <t>1x 5PCS Size: 20-m3</t>
  </si>
  <si>
    <t>https://www.aliexpress.com/item/1005004662051929.html</t>
  </si>
  <si>
    <t>M3 Nut Locknut</t>
  </si>
  <si>
    <t>1x Size: M3 50PCS - SS</t>
  </si>
  <si>
    <t>M4 Nut</t>
  </si>
  <si>
    <t>Size: M4 25PCS-SS</t>
  </si>
  <si>
    <t>https://www.aliexpress.com/item/1005001966426139.html</t>
  </si>
  <si>
    <t>M4 Nut Locknut</t>
  </si>
  <si>
    <t>Size: M4 25PCS - Color SS</t>
  </si>
  <si>
    <t>https://www.aliexpress.com/item/1005002027895577.html?</t>
  </si>
  <si>
    <t>M5 Nut DIN 934</t>
  </si>
  <si>
    <t>1x Size: M5 50PCS</t>
  </si>
  <si>
    <t>M5 Hammer Nut</t>
  </si>
  <si>
    <t>1x M5 100 PCS</t>
  </si>
  <si>
    <t>M5 Nut Locknut</t>
  </si>
  <si>
    <t>1x M5 50 PCS - SS</t>
  </si>
  <si>
    <t>https://www.aliexpress.com/item/1005004737775535.html</t>
  </si>
  <si>
    <t>Plastic</t>
  </si>
  <si>
    <t>V2 PC Window</t>
  </si>
  <si>
    <t>https://www.aliexpress.com/item/1005008810621364.html</t>
  </si>
  <si>
    <t>Buildplate 350x350x8  cast 5083</t>
  </si>
  <si>
    <t xml:space="preserve"> local  supplier </t>
  </si>
  <si>
    <t>Plumbing</t>
  </si>
  <si>
    <t>04mm ID Barb 1/4"</t>
  </si>
  <si>
    <t>https://s.click.aliexpress.com/e/_c3L3d1ir</t>
  </si>
  <si>
    <t xml:space="preserve">
EES Handle Store</t>
  </si>
  <si>
    <t>06mm ID Barb 1/4"</t>
  </si>
  <si>
    <t>CPAP Tube rated at 125C+  ?Lmm</t>
  </si>
  <si>
    <t>extruder radiator  30 x 30 x9.5</t>
  </si>
  <si>
    <t xml:space="preserve">copper radiator </t>
  </si>
  <si>
    <t xml:space="preserve">
Cynzo</t>
  </si>
  <si>
    <t>https://www.aliexpress.com/item/1005005932015800.html</t>
  </si>
  <si>
    <t>M5-6OD Elbow Fitting</t>
  </si>
  <si>
    <t>1 x 5 PCS PL6-M5</t>
  </si>
  <si>
    <t>https://www.aliexpress.com/item/1005003339030118.html</t>
  </si>
  <si>
    <t>Tubing 4x6 mm IDxOD</t>
  </si>
  <si>
    <t>Color: 4x6 5 meter</t>
  </si>
  <si>
    <t>Tubing 6x8mm IDxOD</t>
  </si>
  <si>
    <t>Color: 6x8 5 meter</t>
  </si>
  <si>
    <t>V2 Radiator 240mm</t>
  </si>
  <si>
    <t>Water cooling pump</t>
  </si>
  <si>
    <t>Profile</t>
  </si>
  <si>
    <t>2820 L-Bracket</t>
  </si>
  <si>
    <t xml:space="preserve"> 1 x 10 PCS 2820</t>
  </si>
  <si>
    <t xml:space="preserve">	Niuren 3D Parts Store</t>
  </si>
  <si>
    <t>https://www.aliexpress.com/item/1005008146846938.html</t>
  </si>
  <si>
    <t>Joining Plate 90 Deg</t>
  </si>
  <si>
    <t xml:space="preserve">1 x 4 PCS  check type </t>
  </si>
  <si>
    <t>https://www.aliexpress.com/item/1005009524345697.html</t>
  </si>
  <si>
    <t>15x15x1 Aluminum Tube x  230mm</t>
  </si>
  <si>
    <t xml:space="preserve"> 1 x PCS  250mm </t>
  </si>
  <si>
    <t xml:space="preserve">	18th Gwningen Store</t>
  </si>
  <si>
    <t>https://www.aliexpress.com/item/1005009594847685.html</t>
  </si>
  <si>
    <t>20x20x1 Aluminum Tube x 410mm</t>
  </si>
  <si>
    <t xml:space="preserve"> 1 x PCS  500mm</t>
  </si>
  <si>
    <t>Profile 2020</t>
  </si>
  <si>
    <t>X Profile Top Rear</t>
  </si>
  <si>
    <t>Z Center Rear</t>
  </si>
  <si>
    <t>Z Center Rear Top</t>
  </si>
  <si>
    <t>Profile 2040</t>
  </si>
  <si>
    <t>X Length Profile</t>
  </si>
  <si>
    <t>Y Length Profile</t>
  </si>
  <si>
    <t>Z Height Profile Tapped</t>
  </si>
  <si>
    <t>Screw</t>
  </si>
  <si>
    <t>M2.5X08 SH DIN 912 ISO 4762</t>
  </si>
  <si>
    <t>1 x 50 PCS  M2.5</t>
  </si>
  <si>
    <t>https://www.aliexpress.com/item/1005002270744409.html</t>
  </si>
  <si>
    <t xml:space="preserve">M2.5x10 FH CS </t>
  </si>
  <si>
    <t>1 x 50 PCS M2.5</t>
  </si>
  <si>
    <t>https://www.aliexpress.com/item/1005002337028166.html</t>
  </si>
  <si>
    <t>M3x03  FP Set Screw  DIN 913 ISO 4026</t>
  </si>
  <si>
    <t>M3x05 Set Screw DIN 916 ISO 4029</t>
  </si>
  <si>
    <t xml:space="preserve">1 x 50 PCS M3 </t>
  </si>
  <si>
    <t>https://www.aliexpress.com/item/1005007991700488.html</t>
  </si>
  <si>
    <t>M3x06 BH ISO 7380</t>
  </si>
  <si>
    <t>1 x  50 PCS  M3 x 6</t>
  </si>
  <si>
    <t>https://www.aliexpress.com/item/1005002275589280.html</t>
  </si>
  <si>
    <t>M3x08 BH ISO 7380</t>
  </si>
  <si>
    <t xml:space="preserve">1x Size: M3 50PCS - 8mm </t>
  </si>
  <si>
    <t>M3x08 FH DIN 7991</t>
  </si>
  <si>
    <t>1 x 50PCs M3 x 8mm SS</t>
  </si>
  <si>
    <t>M3x08 SH DIN 912 ISO 4762</t>
  </si>
  <si>
    <t>1x 10PCS M3 x 8mm - 304 SS</t>
  </si>
  <si>
    <t>M3x10 SH DIN 912 ISO 4762</t>
  </si>
  <si>
    <t xml:space="preserve">1 x 10PCs  M3 x 10mm SS </t>
  </si>
  <si>
    <t>M3x12 FH CS</t>
  </si>
  <si>
    <t>1 x 50PCS M3 x12</t>
  </si>
  <si>
    <t>M3x12 SH DIN 912 ISO 4762</t>
  </si>
  <si>
    <t>1 x 10 PCSM3 x 12</t>
  </si>
  <si>
    <t>M3x14 FH DIN 7991</t>
  </si>
  <si>
    <t>1 x  50 PCS M3 x14</t>
  </si>
  <si>
    <t>M3x14 SH  DIN 912 ISO 4762</t>
  </si>
  <si>
    <t>1 x 10 PCS  M3 x14</t>
  </si>
  <si>
    <t>M3x16 BH ISO 7380</t>
  </si>
  <si>
    <t xml:space="preserve">1x Size: M3 50PCS - 16mm </t>
  </si>
  <si>
    <t>M3x16 HEX ISO 4017 DIN933</t>
  </si>
  <si>
    <t>1 x 10 PCS M3 x 14</t>
  </si>
  <si>
    <t>https://www.aliexpress.com/item/1005002408962081.html</t>
  </si>
  <si>
    <t>M3x20 SH Din 912</t>
  </si>
  <si>
    <t>M3x20 SH   50PCS</t>
  </si>
  <si>
    <t>https://www.aliexpress.com/item/1005001975621423.html</t>
  </si>
  <si>
    <t>M4 D5 L16 Shoulder Screw</t>
  </si>
  <si>
    <t>M4 D5 L55 Shoulder Screw</t>
  </si>
  <si>
    <t>Size: M4-D5mm x 55mm</t>
  </si>
  <si>
    <t xml:space="preserve">
WeiQi Precision Machinery </t>
  </si>
  <si>
    <t>https://www.aliexpress.com/item/1005004802215831.html</t>
  </si>
  <si>
    <t>M4.2 x25 Pan Hd DIN 7981</t>
  </si>
  <si>
    <t>M4x04 Set/Grub Screw</t>
  </si>
  <si>
    <t>1 x 50 PCS M4 x 8mm</t>
  </si>
  <si>
    <t>M4x14 SH DIN 912 ISO 4762</t>
  </si>
  <si>
    <t>1 x 10 PCS M4 x 14</t>
  </si>
  <si>
    <t>M4x20 FH CS</t>
  </si>
  <si>
    <t xml:space="preserve">1x  M4 10PCS - 20mm </t>
  </si>
  <si>
    <t>M4x25 FH CS DIN 7991</t>
  </si>
  <si>
    <t>1 x 10 PCS M4x 25</t>
  </si>
  <si>
    <t>M4x35 HEX ISO 4017 DIN 933</t>
  </si>
  <si>
    <t xml:space="preserve">M4x50 FH CS </t>
  </si>
  <si>
    <t>1 xM4 10PCS - 50</t>
  </si>
  <si>
    <t>M5x10 BH ISO 7380</t>
  </si>
  <si>
    <t xml:space="preserve">12x 10PCS Size: M5 - 10mm </t>
  </si>
  <si>
    <t>M5x16 BH ISO 7380</t>
  </si>
  <si>
    <t>1 x 10 PCS M5 x 16</t>
  </si>
  <si>
    <t>M5x20 BH ISO 7380</t>
  </si>
  <si>
    <t xml:space="preserve">1x 10PCS Size: M5 - 20mm </t>
  </si>
  <si>
    <t>M5x20 HEX ISO 4017 DIN 933</t>
  </si>
  <si>
    <t>1 x 10 PCS M5 x 30</t>
  </si>
  <si>
    <t>M5x30 BH ISO 7380</t>
  </si>
  <si>
    <t xml:space="preserve">1 x 10 PCS M5 x 30 </t>
  </si>
  <si>
    <t>M5x30 HEX ISO 4017 DIN 933</t>
  </si>
  <si>
    <t xml:space="preserve">1 x 10 PCS  M5 x 30 </t>
  </si>
  <si>
    <t>M5x40 HEX ISO 4017 DIN 933</t>
  </si>
  <si>
    <t>1 x 10 PCS M5 x 40</t>
  </si>
  <si>
    <t>M5x55 HEX ISO 4017 DIN 933</t>
  </si>
  <si>
    <t>1 x 10 PCS  M5 x 55</t>
  </si>
  <si>
    <t>M6x10 BH ISO 7380</t>
  </si>
  <si>
    <t>1 x 10 PCS M6 x 10</t>
  </si>
  <si>
    <t>Shaft</t>
  </si>
  <si>
    <t>03x25 steel shaft</t>
  </si>
  <si>
    <t>05x40 Bearing Shaft</t>
  </si>
  <si>
    <t>05x50 Bearing Shaft</t>
  </si>
  <si>
    <t>06x25 Bearing Shaft</t>
  </si>
  <si>
    <t>06x40 Bearing Shaft</t>
  </si>
  <si>
    <r>
      <rPr>
        <sz val="11"/>
        <color rgb="FF000000"/>
        <rFont val="Calibri"/>
      </rPr>
      <t>08x400 Steel Rod - Door Link</t>
    </r>
    <r>
      <rPr>
        <sz val="11"/>
        <color rgb="FFFF0000"/>
        <rFont val="Calibri"/>
      </rPr>
      <t>(maybe Stainless S or silver steel)</t>
    </r>
  </si>
  <si>
    <t>1 x 8mm dia x 400mm SS</t>
  </si>
  <si>
    <t>Shim</t>
  </si>
  <si>
    <t>M5x7x1 Precision Shim</t>
  </si>
  <si>
    <t xml:space="preserve"> 1 x 50PCS M5 x8x1 </t>
  </si>
  <si>
    <t xml:space="preserve">
TINGGOO Official Store</t>
  </si>
  <si>
    <t>https://www.aliexpress.com/item/1005010042779749.html</t>
  </si>
  <si>
    <t>M6x 8 x1 Precision Shim</t>
  </si>
  <si>
    <t xml:space="preserve"> 1 x 50PCS M6 x9x1 </t>
  </si>
  <si>
    <t>M8x11 x1 Precision Shim</t>
  </si>
  <si>
    <t xml:space="preserve">1 x 50PCs M8 x 11mm </t>
  </si>
  <si>
    <t>Spring</t>
  </si>
  <si>
    <t xml:space="preserve">Spring  7mm x 10mm 0.4 WD </t>
  </si>
  <si>
    <t>Washer</t>
  </si>
  <si>
    <t>M2.5 Washer DIN 433 ISO 7092</t>
  </si>
  <si>
    <t xml:space="preserve"> 1x  100PCS 2.5mm washer </t>
  </si>
  <si>
    <t>https://www.aliexpress.com/item/1005002938730762.html</t>
  </si>
  <si>
    <t>M3x06 Washer DIN 125 iso 7089</t>
  </si>
  <si>
    <t>1x: M3 50pcs</t>
  </si>
  <si>
    <t>M4x08 WASHER</t>
  </si>
  <si>
    <t>1x M4  washer 50pcs</t>
  </si>
  <si>
    <t>M5 WASHER DIN 125</t>
  </si>
  <si>
    <t>2x M5 50PCS</t>
  </si>
  <si>
    <t>BOM Quantity</t>
  </si>
  <si>
    <t>Pack Quantity</t>
  </si>
  <si>
    <t>Part Link</t>
  </si>
  <si>
    <t>Unit Price</t>
  </si>
  <si>
    <t>Line Price</t>
  </si>
  <si>
    <t>2020 T-Slot Profile</t>
  </si>
  <si>
    <t>X Top Rear</t>
  </si>
  <si>
    <t>Color: L 420mm - 2020</t>
  </si>
  <si>
    <t>Color: L 368mm - 2020</t>
  </si>
  <si>
    <t>Color: L 172mm - 2020</t>
  </si>
  <si>
    <t>2040 T-Slot Profile</t>
  </si>
  <si>
    <t>Color: L 420mm - 2040</t>
  </si>
  <si>
    <t>Color: L 480mm - 2040</t>
  </si>
  <si>
    <t>Z Height Profile</t>
  </si>
  <si>
    <t>Color: L 750mm - 2040</t>
  </si>
  <si>
    <t>Corner Bracket</t>
  </si>
  <si>
    <t>Color: 10PCS 2028 Silver</t>
  </si>
  <si>
    <t>Joining plate 90</t>
  </si>
  <si>
    <t>Color: 2020 (4pcs)</t>
  </si>
  <si>
    <t>M5 Nut Hammer Nut</t>
  </si>
  <si>
    <t>V2 Center Z Support Bracket_1x</t>
  </si>
  <si>
    <t>printed part</t>
  </si>
  <si>
    <t>V2 DoorStop_4x</t>
  </si>
  <si>
    <t>printed or buy</t>
  </si>
  <si>
    <t>V2 Leg Base_4x</t>
  </si>
  <si>
    <t>V2 Leg Nut_4x</t>
  </si>
  <si>
    <t>Sum Parts</t>
  </si>
  <si>
    <t>I appreciate any support of the development:</t>
  </si>
  <si>
    <t>Buy Me a Coffee</t>
  </si>
  <si>
    <t>By Patreon</t>
  </si>
  <si>
    <t>By PayPal</t>
  </si>
  <si>
    <t>Order Link</t>
  </si>
  <si>
    <t>Shipping</t>
  </si>
  <si>
    <t>05x16x5 625ZZ  Bearing</t>
  </si>
  <si>
    <t>06x1 Precision Shim</t>
  </si>
  <si>
    <t>M3 Nut Hammer Nut</t>
  </si>
  <si>
    <t>M3 Nut Lock Nut</t>
  </si>
  <si>
    <t>M3 Washer  DIN 125 iso 7089</t>
  </si>
  <si>
    <t>M5 LOCK NUT</t>
  </si>
  <si>
    <t>M5 Nut DIN</t>
  </si>
  <si>
    <t>MGN12H 400</t>
  </si>
  <si>
    <t>Color: L400 - MGN12H</t>
  </si>
  <si>
    <t>MGN9H 400</t>
  </si>
  <si>
    <t>Color: L400 - MGN9H</t>
  </si>
  <si>
    <t>Color: 17HS19-2504S</t>
  </si>
  <si>
    <t>V2 AB Brace_1x</t>
  </si>
  <si>
    <t>V2 AB Idler Spacer_4x</t>
  </si>
  <si>
    <t>V2 Brace Bearing Buddy_2x</t>
  </si>
  <si>
    <t>V2 Idler Bracket Front A_1X</t>
  </si>
  <si>
    <t>V2 Idler Bracket Front B_1X</t>
  </si>
  <si>
    <t>V2 Idler Bracket Rear AB_2X</t>
  </si>
  <si>
    <t>V2 Idler Tension Tower_A_1x</t>
  </si>
  <si>
    <t>V2 Idler Tension Tower_B_1x</t>
  </si>
  <si>
    <t>V2 Motor Bracket AB</t>
  </si>
  <si>
    <t>V2 Tension Fork Smooth_2x</t>
  </si>
  <si>
    <t>V2 Y Carrier A_1x</t>
  </si>
  <si>
    <t>V2 Y Carrier B_1x</t>
  </si>
  <si>
    <t>X Axis 2020 AL Tube 410</t>
  </si>
  <si>
    <t>Quantity</t>
  </si>
  <si>
    <t>Column32</t>
  </si>
  <si>
    <t>Part Name</t>
  </si>
  <si>
    <t>3x25 steel shaft</t>
  </si>
  <si>
    <t>https://www.aliexpress.com/item/1005007177096770.html?spm=a2g0o.order_list.order_list_main.10.1d2d1802cUCm96</t>
  </si>
  <si>
    <t>BIQU H2 V2X Extruder radiator  30 x 30 x9.5</t>
  </si>
  <si>
    <t>https://s.click.aliexpress.com/e/_c2Q8jfcT</t>
  </si>
  <si>
    <t xml:space="preserve">Cpap Blower Fan </t>
  </si>
  <si>
    <t>M3 Washer DIN 125 ISO 7089</t>
  </si>
  <si>
    <t>M3x05 Set Screw  DIN 916 ISO 4029</t>
  </si>
  <si>
    <t xml:space="preserve">Spring   7mm x10mm Long   0.4mm WD </t>
  </si>
  <si>
    <t>V2 extruder cable buddy_1x</t>
  </si>
  <si>
    <t>V2 FlintZone Probe_1x</t>
  </si>
  <si>
    <t>V2 FlintZone_1x</t>
  </si>
  <si>
    <t>V2 Part Fan CPAP Chimney_1x</t>
  </si>
  <si>
    <t xml:space="preserve">see below </t>
  </si>
  <si>
    <t>V2 Part Fan Duct_1x</t>
  </si>
  <si>
    <t>V2 Toolhead Cover Cable Clamp_2x</t>
  </si>
  <si>
    <t>V2 Toolhead Cover_1x</t>
  </si>
  <si>
    <t>V2 Valkyrie Tool Plate _1x</t>
  </si>
  <si>
    <t xml:space="preserve">Option for Hot Ends + extra parts required </t>
  </si>
  <si>
    <t xml:space="preserve">Moth Block water cooled </t>
  </si>
  <si>
    <t>Qty Required</t>
  </si>
  <si>
    <t xml:space="preserve">Order  Quanty </t>
  </si>
  <si>
    <t>Price $ USD</t>
  </si>
  <si>
    <t xml:space="preserve">Link </t>
  </si>
  <si>
    <t>melt zone</t>
  </si>
  <si>
    <t>V2 Valkyrie Tool Plate  Moth Block</t>
  </si>
  <si>
    <t>V2 CPAP Chimney_</t>
  </si>
  <si>
    <t>V2 CPAP Part Fan Duct</t>
  </si>
  <si>
    <t>Mothend Ball plug Ø4.5</t>
  </si>
  <si>
    <t>https://www.aliexpress.com/item/1005003788713178.html</t>
  </si>
  <si>
    <t>Mothend Cartridge Heater 24v 70W</t>
  </si>
  <si>
    <t>https://www.aliexpress.com/item/1005005110181643.html</t>
  </si>
  <si>
    <t>https://www.aliexpress.com/item/1005007872641164.html</t>
  </si>
  <si>
    <t xml:space="preserve">Heat_Block NF Crazy copper </t>
  </si>
  <si>
    <t>copper heat block only</t>
  </si>
  <si>
    <t>https://www.aliexpress.com/item/4000287897509.html</t>
  </si>
  <si>
    <t>Lerdge Bi-Metal heat break</t>
  </si>
  <si>
    <t>need to check</t>
  </si>
  <si>
    <t xml:space="preserve">Lerdge </t>
  </si>
  <si>
    <t>https://www.aliexpress.com/item/1005003496068336.html</t>
  </si>
  <si>
    <t>Mothblock V2</t>
  </si>
  <si>
    <t>JLC PCB/other</t>
  </si>
  <si>
    <t xml:space="preserve">PCB WAY </t>
  </si>
  <si>
    <t>V6 Nozzle Hardened 0.6,0.4</t>
  </si>
  <si>
    <t>https://www.aliexpress.com/item/32850756758.html</t>
  </si>
  <si>
    <t xml:space="preserve">melt zone </t>
  </si>
  <si>
    <t>NF crazy screw kit 1.4mm x 08 PK2</t>
  </si>
  <si>
    <t>Screw kit set 6</t>
  </si>
  <si>
    <t>https://www.aliexpress.com/item/1005002412083566.html</t>
  </si>
  <si>
    <t>NF crazy Tubes pk 4</t>
  </si>
  <si>
    <t>Tube kit set 2</t>
  </si>
  <si>
    <t xml:space="preserve"> NF-Crazy Silicone Sock</t>
  </si>
  <si>
    <t xml:space="preserve">1 x 5 PCS </t>
  </si>
  <si>
    <t>https://www.aliexpress.com/item/4000461218502.html</t>
  </si>
  <si>
    <t>total</t>
  </si>
  <si>
    <r>
      <rPr>
        <b/>
        <sz val="11"/>
        <color rgb="FFFF0000"/>
        <rFont val="Calibri"/>
        <scheme val="minor"/>
      </rPr>
      <t>below not added to BOM</t>
    </r>
    <r>
      <rPr>
        <b/>
        <sz val="11"/>
        <color rgb="FF000000"/>
        <rFont val="Calibri"/>
        <scheme val="minor"/>
      </rPr>
      <t xml:space="preserve"> </t>
    </r>
  </si>
  <si>
    <t xml:space="preserve">TD6S-LC </t>
  </si>
  <si>
    <t>V2 Valkyrie Tool Plate  TD6S-LC</t>
  </si>
  <si>
    <t xml:space="preserve">to be designed </t>
  </si>
  <si>
    <t>Cartridge Heater 24v 70W</t>
  </si>
  <si>
    <t xml:space="preserve">TD6S-LC water Block </t>
  </si>
  <si>
    <t>https://www.aliexpress.com/item/1005004966101573.html</t>
  </si>
  <si>
    <t>TD6  Heat Brake</t>
  </si>
  <si>
    <t>https://www.aliexpress.com/item/1005001780334981.html</t>
  </si>
  <si>
    <t xml:space="preserve">heat block copper volcano </t>
  </si>
  <si>
    <t>https://www.aliexpress.com/item/4000012110390.html</t>
  </si>
  <si>
    <t>V6 volcano Nozzle Hardened 0.6,0.4</t>
  </si>
  <si>
    <t>https://www.aliexpress.com/item/4000974771676.html</t>
  </si>
  <si>
    <t>05x16x05 625-2ZZ Bearing</t>
  </si>
  <si>
    <t>Bearing Shaft</t>
  </si>
  <si>
    <t>5083 Cast AL</t>
  </si>
  <si>
    <t xml:space="preserve">GT2 EPDM 10mm +135℃ </t>
  </si>
  <si>
    <t>Order Z-10M</t>
  </si>
  <si>
    <t>GT2 Belt</t>
  </si>
  <si>
    <t>GT2 Pulley</t>
  </si>
  <si>
    <t>GT2 Pulley 20T 7mm</t>
  </si>
  <si>
    <t>kit 1</t>
  </si>
  <si>
    <t>GT2 Pulley 80T 7mm</t>
  </si>
  <si>
    <t>GT2 Z Belt Gear  box  ABC   200mm</t>
  </si>
  <si>
    <t>Heater Pad 310x310 750w (NO 3M adhisive)</t>
  </si>
  <si>
    <t>Bed Heater</t>
  </si>
  <si>
    <t>Fastener</t>
  </si>
  <si>
    <t>M3 Washer DIN 433 ISO 7092</t>
  </si>
  <si>
    <t>M3x20 SH DIN 912 ISO 4762</t>
  </si>
  <si>
    <t>M4 LOCK NUT</t>
  </si>
  <si>
    <t>M4 Ø10 Ball tapped</t>
  </si>
  <si>
    <t>Bed Ball Bearing</t>
  </si>
  <si>
    <t>M4x25 FH DIN 7991</t>
  </si>
  <si>
    <t>M5x20 HEX DIN 933 ISO 4017</t>
  </si>
  <si>
    <t>MGN12H 350 Linear Rail</t>
  </si>
  <si>
    <t>Color: L350 - MGN12H</t>
  </si>
  <si>
    <t>Linear Rail</t>
  </si>
  <si>
    <t>Nema 17 40mm</t>
  </si>
  <si>
    <t>Color: 17HS16 2004S1</t>
  </si>
  <si>
    <t>Stepper Motor</t>
  </si>
  <si>
    <t>V2 Gearbox Cover A_1x</t>
  </si>
  <si>
    <t>Printed Part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</si>
  <si>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</si>
  <si>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</si>
  <si>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</si>
  <si>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</si>
  <si>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</si>
  <si>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</si>
  <si>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</si>
  <si>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</si>
  <si>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</si>
  <si>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</si>
  <si>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</si>
  <si>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</si>
  <si>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</si>
  <si>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</si>
  <si>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08x400 Doorlink Steel Rod</t>
  </si>
  <si>
    <t>8mm rod x 400mm</t>
  </si>
  <si>
    <t>Color: L400 D8mm</t>
  </si>
  <si>
    <t>15x15 Aluminum Tube  230mm</t>
  </si>
  <si>
    <t>15ODx13ID L230mm</t>
  </si>
  <si>
    <t>Color: 15x15x1</t>
  </si>
  <si>
    <t>625-2ZZ 5-16-5</t>
  </si>
  <si>
    <t>688-2Z 16-08</t>
  </si>
  <si>
    <t>M3 WASHER  DIN 125 iso 7089</t>
  </si>
  <si>
    <t>M3x10 SH DIN 912</t>
  </si>
  <si>
    <t>M3x12 CS DIN965</t>
  </si>
  <si>
    <t>STEP AP203</t>
  </si>
  <si>
    <t>M3x5 Set Screw D913</t>
  </si>
  <si>
    <t>M4 NUT</t>
  </si>
  <si>
    <t>M4 WASHER</t>
  </si>
  <si>
    <t>M4x12 FH CS DIN 7991 ISO 10642</t>
  </si>
  <si>
    <t>M4x20 FH CS DIN 7991 ISO 10642</t>
  </si>
  <si>
    <t>M4x50 CS DIN 7991 ISO 10642</t>
  </si>
  <si>
    <t>M5x40 HEX DIN 931</t>
  </si>
  <si>
    <t>M5x55 HEX DIN 931 ISO 4014</t>
  </si>
  <si>
    <t>M8x12x1 Precision Shim</t>
  </si>
  <si>
    <t>V2 AB Motor Pocket Cover_1x</t>
  </si>
  <si>
    <t>Printed</t>
  </si>
  <si>
    <t>V2 Base Plate</t>
  </si>
  <si>
    <t>MDF Base Plate  12 mm</t>
  </si>
  <si>
    <t>V2 Cable Gland Insert_2x</t>
  </si>
  <si>
    <t>V2 Cable Gland Nut_1x</t>
  </si>
  <si>
    <t>V2 Cable Gland Tube_1x</t>
  </si>
  <si>
    <t>V2 Door Arm Hand  AB_4x</t>
  </si>
  <si>
    <t>V2 Door Arm Lower Elbow A_1x</t>
  </si>
  <si>
    <t>V2 Door Arm Lower Elbow B_1x</t>
  </si>
  <si>
    <t>V2 Door Arm Upper Elbow A_1x</t>
  </si>
  <si>
    <t>V2 Door Arm Upper Elbow B_1x</t>
  </si>
  <si>
    <t>V2 Door Bracket A_1x</t>
  </si>
  <si>
    <t>V2 Door Bracket B_1x</t>
  </si>
  <si>
    <t>V2 Door Handle A_1x</t>
  </si>
  <si>
    <t>V2 Door Handle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</si>
  <si>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</si>
  <si>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</si>
  <si>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</si>
  <si>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</si>
  <si>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</si>
  <si>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</si>
  <si>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</si>
  <si>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</si>
  <si>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</si>
  <si>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</si>
  <si>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</si>
  <si>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</si>
  <si>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</si>
  <si>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</si>
  <si>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</si>
  <si>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</si>
  <si>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</si>
  <si>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</si>
  <si>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</si>
  <si>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</si>
  <si>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</si>
  <si>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</si>
  <si>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</si>
  <si>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</si>
  <si>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 V2.0</t>
  </si>
  <si>
    <t>V2 Panel Top</t>
  </si>
  <si>
    <t>Polycarbonate 3mm</t>
  </si>
  <si>
    <t>V2 Window Frame Inner_2x</t>
  </si>
  <si>
    <t>V2 Window Frame Outer_1x</t>
  </si>
  <si>
    <t>5x10 D5 Shaft Collar DIN 705</t>
  </si>
  <si>
    <t>5x40 Bearing Shaft</t>
  </si>
  <si>
    <t>625ZZ 5-16-5</t>
  </si>
  <si>
    <t xml:space="preserve">Carousel Spring  7mm x 10mm 0.4 WD </t>
  </si>
  <si>
    <t>dbx bottom _1x 9mm MDF/Ply</t>
  </si>
  <si>
    <t>dbx front_1x 9mm MDF/Ply</t>
  </si>
  <si>
    <t>dbx insulation bottom_1x</t>
  </si>
  <si>
    <t>dbx insulation front_1x</t>
  </si>
  <si>
    <t>dbx insulation Lid 1x</t>
  </si>
  <si>
    <t>dbx insulation rear_1x</t>
  </si>
  <si>
    <t>dbx insulationside_2x</t>
  </si>
  <si>
    <t>dbx lid_1x 9mm MDF/Ply</t>
  </si>
  <si>
    <t>dbx rear_1x 9mm MDF/Ply</t>
  </si>
  <si>
    <t>dbx side_2x 9mm MDF/Ply</t>
  </si>
  <si>
    <t>esp 32 dev board Holder</t>
  </si>
  <si>
    <t xml:space="preserve">ESP32  Expansion Board </t>
  </si>
  <si>
    <t>ESP32 DEV board</t>
  </si>
  <si>
    <t>Load cell amplifier Holder</t>
  </si>
  <si>
    <t>Load cell amplifier HX711</t>
  </si>
  <si>
    <t>https://www.aliexpress.com/item/1005008379448870.html?spm=a2g0o.order_list.order_list_main.126.42a01802iIvUMX</t>
  </si>
  <si>
    <t>M4 WASHER  DIN 125 iso 7089</t>
  </si>
  <si>
    <t>M4x35 HEX DIN 933 ISO 4017</t>
  </si>
  <si>
    <t xml:space="preserve">MR85 ZZ Bearing  5x8x2,5 </t>
  </si>
  <si>
    <t>PTC 300W Heater (400W?) +24v fan</t>
  </si>
  <si>
    <t>https://www.aliexpress.com/item/1005001891297046.html?</t>
  </si>
  <si>
    <t>Steel Drawer Slides 11435A14</t>
  </si>
  <si>
    <t>V2 Carousel Bearing Plate_1x</t>
  </si>
  <si>
    <t>V2 dbx Aligning Spacer_2x</t>
  </si>
  <si>
    <t>V2 dbx draw handle_1x</t>
  </si>
  <si>
    <t>V2 Drybox Draw Brackets_4x</t>
  </si>
  <si>
    <t xml:space="preserve">V2 Drybox Draw Front </t>
  </si>
  <si>
    <t>V2 Inner ring under_1x</t>
  </si>
  <si>
    <t>V2 Loadcell Spacer_1x</t>
  </si>
  <si>
    <t>V2 Outer Ring_1x</t>
  </si>
  <si>
    <t>V2 PTC Heater bracket_1x</t>
  </si>
  <si>
    <t>V2 Spool adapter_1x</t>
  </si>
  <si>
    <t>V2 Top Spring Cup_1x</t>
  </si>
  <si>
    <t>V2 unspool_ring_1x</t>
  </si>
  <si>
    <t>desiccant container_1x</t>
  </si>
  <si>
    <t>desiccant Buddy</t>
  </si>
  <si>
    <t>desiccant Lid</t>
  </si>
  <si>
    <t>desiccant Knob</t>
  </si>
  <si>
    <t>Source locally</t>
  </si>
  <si>
    <t xml:space="preserve">Local Supplier </t>
  </si>
  <si>
    <t>3D printed parts</t>
  </si>
  <si>
    <t xml:space="preserve">Ptinted item </t>
  </si>
  <si>
    <t>Buy from suppliers</t>
  </si>
  <si>
    <t xml:space="preserve">on hardware list </t>
  </si>
  <si>
    <t>V2 Drybox</t>
  </si>
  <si>
    <t>assembly name?</t>
  </si>
  <si>
    <t>Connections for the heated chamber and Bed</t>
  </si>
  <si>
    <t>4Pin</t>
  </si>
  <si>
    <t>Wire Size Type</t>
  </si>
  <si>
    <t xml:space="preserve">Device </t>
  </si>
  <si>
    <t>Link</t>
  </si>
  <si>
    <t>Live 230 AC</t>
  </si>
  <si>
    <t>0.75 150C  rated</t>
  </si>
  <si>
    <t xml:space="preserve">Heated Bed </t>
  </si>
  <si>
    <t>https://www.aliexpress.com/item/4001156204533.html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</si>
  <si>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</si>
  <si>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</si>
  <si>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</si>
  <si>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</si>
  <si>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</si>
  <si>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</si>
  <si>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</si>
  <si>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</si>
  <si>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</si>
  <si>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</si>
  <si>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>https://www.aliexpress.com/item/1005008286646195.html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</si>
  <si>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</si>
  <si>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</si>
  <si>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</si>
  <si>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</si>
  <si>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</si>
  <si>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</si>
  <si>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</si>
  <si>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</si>
  <si>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</si>
  <si>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>connectors</t>
  </si>
  <si>
    <t>https://www.aliexpress.com/item/32953795713.html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</si>
  <si>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</si>
  <si>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</si>
  <si>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</si>
  <si>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</si>
  <si>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</si>
  <si>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</si>
  <si>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</si>
  <si>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</si>
  <si>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Finish Fitstone Docking Station </t>
  </si>
  <si>
    <t>Roy</t>
  </si>
  <si>
    <t xml:space="preserve">in Design </t>
  </si>
  <si>
    <t xml:space="preserve">Finish Brushing Station </t>
  </si>
  <si>
    <t xml:space="preserve">Test new  CPAP fan  </t>
  </si>
  <si>
    <t>Mark</t>
  </si>
  <si>
    <t>tested</t>
  </si>
  <si>
    <t>will need external fan 4020  to keep PCB cool</t>
  </si>
  <si>
    <t xml:space="preserve">Cpap  duct  redesign </t>
  </si>
  <si>
    <t xml:space="preserve">Roy </t>
  </si>
  <si>
    <t>needs printing /testing / In progress</t>
  </si>
  <si>
    <t xml:space="preserve">magnet layout on heated bed  </t>
  </si>
  <si>
    <t xml:space="preserve">mark </t>
  </si>
  <si>
    <t xml:space="preserve">design </t>
  </si>
  <si>
    <t xml:space="preserve">Test new Chamber  Heater &amp; Fan </t>
  </si>
  <si>
    <t xml:space="preserve">ordered awaiting parts </t>
  </si>
  <si>
    <t>Mark to Find  HT Fan for chamber heater  or use external motor  as per Roys previous design.</t>
  </si>
  <si>
    <t>New  Flintstone probe  BOM to be updated.</t>
  </si>
  <si>
    <t>completed</t>
  </si>
  <si>
    <t>Hotend BOM to be completed in Tool head.</t>
  </si>
  <si>
    <t xml:space="preserve">Dry Box BOM  to be finalised. </t>
  </si>
  <si>
    <t xml:space="preserve">completed </t>
  </si>
  <si>
    <t xml:space="preserve">Electrical BOM  to be completed </t>
  </si>
  <si>
    <t xml:space="preserve">ESP32  buddy </t>
  </si>
  <si>
    <t xml:space="preserve">Load cell amplifier buddy </t>
  </si>
  <si>
    <t>mark</t>
  </si>
  <si>
    <t xml:space="preserve">to design </t>
  </si>
  <si>
    <t xml:space="preserve">finally  finish the Hardware BOM  when all above done </t>
  </si>
  <si>
    <r>
      <rPr>
        <sz val="11"/>
        <color rgb="FF000000"/>
        <rFont val="Calibri"/>
      </rPr>
      <t>update  Git Hub  pre release  B</t>
    </r>
    <r>
      <rPr>
        <b/>
        <sz val="11"/>
        <color rgb="FF000000"/>
        <rFont val="Calibri"/>
      </rPr>
      <t xml:space="preserve">OM </t>
    </r>
  </si>
  <si>
    <t>control Board Octopus/duet 6hc</t>
  </si>
  <si>
    <t>cable red   ?AWG</t>
  </si>
  <si>
    <t>https://www.aliexpress.com/item/1005001980629942.html</t>
  </si>
  <si>
    <t>cable black ?AWG</t>
  </si>
  <si>
    <t>cable blue ?AWG</t>
  </si>
  <si>
    <t>cable green ?AWG</t>
  </si>
  <si>
    <t>cable red ?AWG</t>
  </si>
  <si>
    <t>cable white  ?AWG</t>
  </si>
  <si>
    <t>cable 8</t>
  </si>
  <si>
    <t>cable 9</t>
  </si>
  <si>
    <t>cable 10</t>
  </si>
  <si>
    <t>cable tie 120mm</t>
  </si>
  <si>
    <t>24v led strip</t>
  </si>
  <si>
    <t>IEC lead plug</t>
  </si>
  <si>
    <t xml:space="preserve">IEC lead socket </t>
  </si>
  <si>
    <t>buffer LLL</t>
  </si>
  <si>
    <t xml:space="preserve">fan cooling control board </t>
  </si>
  <si>
    <t xml:space="preserve">control board printed parts </t>
  </si>
  <si>
    <t>terminal block kit  UK2.5</t>
  </si>
  <si>
    <t>https://www.aliexpress.com/item/1005006795313924.html?</t>
  </si>
  <si>
    <t>? for Roy you have a buck converter hanging off your con troll board for what ?</t>
  </si>
  <si>
    <t>1/4" Barb - 4mm</t>
  </si>
  <si>
    <t>Barb for 4mm ID tube</t>
  </si>
  <si>
    <t>1/4" Barb - 6mm</t>
  </si>
  <si>
    <t>Barb for 6mm ID tube</t>
  </si>
  <si>
    <t>Fan 120x25</t>
  </si>
  <si>
    <t>Flow meter</t>
  </si>
  <si>
    <t>https://s.click.aliexpress.com/e/_c4pgOZGX</t>
  </si>
  <si>
    <t>Pump Bracket A</t>
  </si>
  <si>
    <t>pump bracket B</t>
  </si>
  <si>
    <t>https://s.click.aliexpress.com/e/_c4prSL15</t>
  </si>
  <si>
    <t>https://s.click.aliexpress.com/e/_c4TcEdOJ</t>
  </si>
  <si>
    <t>V2 Radiator Bracket_2x</t>
  </si>
  <si>
    <t>Syscooling P67D pump DC 12V water cooling pump</t>
  </si>
  <si>
    <t>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</si>
</sst>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_-[$$-409]* #,##0.00_ ;_-[$$-409]* \-#,##0.00\ ;_-[$$-409]* &quot;-&quot;??_ ;_-@_ "/>
    <numFmt numFmtId="165" formatCode="#,##0.00_ ;\-#,##0.00\ "/>
    <numFmt numFmtId="166" formatCode="_-[$$-409]* #,##0_ ;_-[$$-409]* \-#,##0\ ;_-[$$-409]* &quot;-&quot;_ ;_-@_ "/>
    <numFmt numFmtId="167" formatCode="[$$-409]#,##0"/>
  </numFmts>
  <fonts count="61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rgb="FF0563C1"/>
      <name val="Calibri"/>
      <family val="2"/>
    </font>
    <font>
      <sz val="11"/>
      <color theme="1"/>
      <name val="Serif"/>
    </font>
    <font>
      <u/>
      <sz val="11"/>
      <color theme="10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rgb="FF0070C0"/>
      <name val="Calibri"/>
      <family val="2"/>
    </font>
    <font>
      <sz val="11"/>
      <color rgb="FF222222"/>
      <name val="Calibri"/>
      <family val="2"/>
      <scheme val="minor"/>
    </font>
    <font>
      <b/>
      <sz val="20"/>
      <color theme="1"/>
      <name val="Agency FB"/>
      <family val="2"/>
    </font>
    <font>
      <sz val="11"/>
      <name val="Calibri"/>
      <family val="2"/>
    </font>
    <font>
      <u/>
      <sz val="11"/>
      <color rgb="FF0070C0"/>
      <name val="serif"/>
    </font>
    <font>
      <sz val="11"/>
      <color rgb="FF0070C0"/>
      <name val="Calibri"/>
      <family val="2"/>
    </font>
    <font>
      <u/>
      <sz val="11"/>
      <name val="Calibri"/>
      <family val="2"/>
    </font>
    <font>
      <b/>
      <sz val="16"/>
      <color theme="1"/>
      <name val="Calibri"/>
      <family val="2"/>
    </font>
    <font>
      <b/>
      <sz val="12"/>
      <color rgb="FF0070C0"/>
      <name val="Calibri"/>
      <family val="2"/>
    </font>
    <font>
      <sz val="12"/>
      <color rgb="FF0070C0"/>
      <name val="Calibri"/>
      <family val="2"/>
    </font>
    <font>
      <sz val="11"/>
      <color rgb="FF000000"/>
      <name val="Aptos Narrow"/>
      <family val="2"/>
    </font>
    <font>
      <sz val="11"/>
      <color rgb="FF000000"/>
      <name val="Calibri"/>
      <charset val="1"/>
    </font>
    <font>
      <sz val="11"/>
      <color rgb="FF000000"/>
      <name val="Calibri"/>
      <scheme val="minor"/>
    </font>
    <font>
      <sz val="10"/>
      <name val="Calibri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</font>
    <font>
      <sz val="11"/>
      <color rgb="FF0070C0"/>
      <name val="Calibri"/>
      <family val="2"/>
      <scheme val="minor"/>
    </font>
    <font>
      <sz val="8"/>
      <name val="Calibri"/>
    </font>
    <font>
      <sz val="11"/>
      <color rgb="FF000000"/>
      <name val="Calibri"/>
    </font>
    <font>
      <sz val="11"/>
      <color rgb="FFFF0000"/>
      <name val="Calibri"/>
    </font>
    <font>
      <sz val="11"/>
      <color theme="0"/>
      <name val="Calibri"/>
      <family val="2"/>
      <scheme val="minor"/>
    </font>
    <font>
      <b/>
      <sz val="11"/>
      <color theme="1"/>
      <name val="Calibri"/>
    </font>
    <font>
      <sz val="11"/>
      <color rgb="FF000000"/>
      <name val="Calibri"/>
      <family val="2"/>
      <scheme val="minor"/>
    </font>
    <font>
      <sz val="11"/>
      <color rgb="FF191919"/>
      <name val="Calibri"/>
      <scheme val="major"/>
    </font>
    <font>
      <sz val="11"/>
      <color rgb="FF222222"/>
      <name val="Calibri"/>
      <scheme val="minor"/>
    </font>
    <font>
      <sz val="11"/>
      <color rgb="FF222222"/>
      <name val="TT Norms Pro"/>
      <charset val="1"/>
    </font>
    <font>
      <sz val="11"/>
      <color rgb="FF191919"/>
      <name val="Calibri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</font>
    <font>
      <b/>
      <u/>
      <sz val="12"/>
      <color theme="10"/>
      <name val="Calibri"/>
      <family val="2"/>
    </font>
    <font>
      <sz val="11"/>
      <color rgb="FF00B0F0"/>
      <name val="Calibri"/>
      <family val="2"/>
      <scheme val="minor"/>
    </font>
    <font>
      <b/>
      <sz val="11"/>
      <color rgb="FF000000"/>
      <name val="Calibri"/>
      <scheme val="minor"/>
    </font>
    <font>
      <b/>
      <sz val="12"/>
      <color rgb="FF000000"/>
      <name val="Calibri"/>
    </font>
    <font>
      <b/>
      <sz val="11"/>
      <color rgb="FF000000"/>
      <name val="Calibri"/>
    </font>
    <font>
      <sz val="11"/>
      <color theme="1"/>
      <name val="Calibri"/>
      <scheme val="major"/>
    </font>
    <font>
      <b/>
      <sz val="11"/>
      <color rgb="FFFF0000"/>
      <name val="Calibri"/>
      <scheme val="minor"/>
    </font>
    <font>
      <i/>
      <sz val="11"/>
      <color rgb="FF95B3D7"/>
      <name val="Calibri"/>
      <family val="2"/>
    </font>
    <font>
      <sz val="11"/>
      <color rgb="FF9C57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B0F5"/>
        <bgColor indexed="64"/>
      </patternFill>
    </fill>
    <fill>
      <patternFill patternType="solid">
        <fgColor rgb="FFFFEB9C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12">
    <xf numFmtId="0" fontId="0" fillId="0" borderId="0"/>
    <xf numFmtId="0" fontId="15" fillId="0" borderId="0" applyNumberFormat="0" applyFill="0" applyBorder="0" applyAlignment="0" applyProtection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4" fillId="0" borderId="0"/>
    <xf numFmtId="0" fontId="58" fillId="11" borderId="0" applyNumberFormat="0" applyBorder="0" applyAlignment="0" applyProtection="0"/>
  </cellStyleXfs>
  <cellXfs count="332">
    <xf numFmtId="0" fontId="0" fillId="0" borderId="0" xfId="0"/>
    <xf numFmtId="0" fontId="12" fillId="0" borderId="0" xfId="0" applyFont="1"/>
    <xf numFmtId="0" fontId="17" fillId="0" borderId="0" xfId="0" applyFont="1"/>
    <xf numFmtId="44" fontId="0" fillId="0" borderId="0" xfId="0" applyNumberFormat="1"/>
    <xf numFmtId="44" fontId="0" fillId="0" borderId="5" xfId="0" applyNumberFormat="1" applyBorder="1"/>
    <xf numFmtId="0" fontId="23" fillId="0" borderId="0" xfId="0" applyFont="1"/>
    <xf numFmtId="0" fontId="15" fillId="0" borderId="0" xfId="1"/>
    <xf numFmtId="0" fontId="0" fillId="0" borderId="5" xfId="0" applyBorder="1"/>
    <xf numFmtId="0" fontId="15" fillId="0" borderId="0" xfId="1" applyFill="1"/>
    <xf numFmtId="0" fontId="0" fillId="0" borderId="7" xfId="0" applyBorder="1"/>
    <xf numFmtId="49" fontId="11" fillId="0" borderId="10" xfId="0" applyNumberFormat="1" applyFont="1" applyBorder="1" applyAlignment="1">
      <alignment horizontal="center" vertical="center" wrapText="1"/>
    </xf>
    <xf numFmtId="0" fontId="22" fillId="0" borderId="0" xfId="0" applyFont="1" applyAlignment="1">
      <alignment vertical="center" textRotation="255"/>
    </xf>
    <xf numFmtId="0" fontId="25" fillId="0" borderId="10" xfId="0" applyFont="1" applyBorder="1"/>
    <xf numFmtId="0" fontId="29" fillId="0" borderId="10" xfId="0" applyFont="1" applyBorder="1"/>
    <xf numFmtId="166" fontId="29" fillId="0" borderId="11" xfId="0" applyNumberFormat="1" applyFont="1" applyBorder="1"/>
    <xf numFmtId="0" fontId="0" fillId="0" borderId="0" xfId="0" applyAlignment="1">
      <alignment horizontal="center"/>
    </xf>
    <xf numFmtId="0" fontId="29" fillId="0" borderId="10" xfId="0" applyFont="1" applyBorder="1" applyAlignment="1">
      <alignment horizontal="center"/>
    </xf>
    <xf numFmtId="1" fontId="0" fillId="0" borderId="0" xfId="0" applyNumberFormat="1" applyAlignment="1">
      <alignment horizontal="center"/>
    </xf>
    <xf numFmtId="0" fontId="2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2" fillId="0" borderId="10" xfId="0" applyFont="1" applyBorder="1" applyAlignment="1">
      <alignment horizontal="center"/>
    </xf>
    <xf numFmtId="0" fontId="0" fillId="0" borderId="12" xfId="0" applyBorder="1" applyAlignment="1">
      <alignment horizontal="center"/>
    </xf>
    <xf numFmtId="166" fontId="29" fillId="0" borderId="11" xfId="0" applyNumberFormat="1" applyFont="1" applyBorder="1" applyAlignment="1">
      <alignment horizontal="center"/>
    </xf>
    <xf numFmtId="49" fontId="11" fillId="0" borderId="9" xfId="0" applyNumberFormat="1" applyFont="1" applyBorder="1" applyAlignment="1">
      <alignment horizontal="left" vertical="center" wrapText="1"/>
    </xf>
    <xf numFmtId="49" fontId="11" fillId="0" borderId="2" xfId="0" applyNumberFormat="1" applyFont="1" applyBorder="1" applyAlignment="1">
      <alignment horizontal="center" vertical="center" wrapText="1"/>
    </xf>
    <xf numFmtId="49" fontId="11" fillId="0" borderId="3" xfId="0" applyNumberFormat="1" applyFont="1" applyBorder="1" applyAlignment="1">
      <alignment horizontal="center" vertical="center" wrapText="1"/>
    </xf>
    <xf numFmtId="0" fontId="29" fillId="0" borderId="7" xfId="0" applyFont="1" applyBorder="1"/>
    <xf numFmtId="164" fontId="29" fillId="0" borderId="7" xfId="0" applyNumberFormat="1" applyFont="1" applyBorder="1" applyAlignment="1">
      <alignment horizontal="center"/>
    </xf>
    <xf numFmtId="0" fontId="29" fillId="0" borderId="7" xfId="0" applyFont="1" applyBorder="1" applyAlignment="1">
      <alignment horizontal="center"/>
    </xf>
    <xf numFmtId="0" fontId="25" fillId="0" borderId="7" xfId="0" applyFont="1" applyBorder="1"/>
    <xf numFmtId="166" fontId="29" fillId="0" borderId="8" xfId="0" applyNumberFormat="1" applyFont="1" applyBorder="1"/>
    <xf numFmtId="0" fontId="0" fillId="0" borderId="13" xfId="0" applyBorder="1" applyAlignment="1">
      <alignment horizontal="center"/>
    </xf>
    <xf numFmtId="0" fontId="27" fillId="0" borderId="1" xfId="0" applyFont="1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29" fillId="0" borderId="6" xfId="0" applyFont="1" applyBorder="1"/>
    <xf numFmtId="164" fontId="16" fillId="0" borderId="8" xfId="0" applyNumberFormat="1" applyFont="1" applyBorder="1"/>
    <xf numFmtId="0" fontId="0" fillId="5" borderId="0" xfId="0" applyFill="1"/>
    <xf numFmtId="0" fontId="0" fillId="5" borderId="0" xfId="0" applyFill="1" applyAlignment="1">
      <alignment horizontal="center"/>
    </xf>
    <xf numFmtId="1" fontId="0" fillId="5" borderId="0" xfId="0" applyNumberFormat="1" applyFill="1" applyAlignment="1">
      <alignment horizontal="center"/>
    </xf>
    <xf numFmtId="44" fontId="0" fillId="5" borderId="0" xfId="0" applyNumberFormat="1" applyFill="1"/>
    <xf numFmtId="0" fontId="29" fillId="0" borderId="9" xfId="0" applyFont="1" applyBorder="1"/>
    <xf numFmtId="49" fontId="11" fillId="0" borderId="14" xfId="0" applyNumberFormat="1" applyFont="1" applyBorder="1" applyAlignment="1">
      <alignment horizontal="center" vertical="center" wrapText="1"/>
    </xf>
    <xf numFmtId="0" fontId="0" fillId="0" borderId="8" xfId="0" applyBorder="1"/>
    <xf numFmtId="49" fontId="11" fillId="0" borderId="16" xfId="0" applyNumberFormat="1" applyFont="1" applyBorder="1" applyAlignment="1">
      <alignment horizontal="center" vertical="center" wrapText="1"/>
    </xf>
    <xf numFmtId="49" fontId="11" fillId="0" borderId="1" xfId="0" applyNumberFormat="1" applyFont="1" applyBorder="1" applyAlignment="1">
      <alignment horizontal="left" vertical="center" wrapText="1"/>
    </xf>
    <xf numFmtId="0" fontId="10" fillId="0" borderId="0" xfId="2"/>
    <xf numFmtId="0" fontId="13" fillId="0" borderId="15" xfId="0" applyFont="1" applyBorder="1" applyAlignment="1">
      <alignment horizontal="right"/>
    </xf>
    <xf numFmtId="0" fontId="20" fillId="5" borderId="15" xfId="0" applyFont="1" applyFill="1" applyBorder="1" applyAlignment="1">
      <alignment horizontal="right"/>
    </xf>
    <xf numFmtId="0" fontId="20" fillId="0" borderId="15" xfId="0" applyFont="1" applyBorder="1" applyAlignment="1">
      <alignment horizontal="right"/>
    </xf>
    <xf numFmtId="0" fontId="23" fillId="0" borderId="0" xfId="0" applyFont="1" applyAlignment="1">
      <alignment horizontal="center"/>
    </xf>
    <xf numFmtId="1" fontId="23" fillId="0" borderId="0" xfId="0" applyNumberFormat="1" applyFont="1" applyAlignment="1">
      <alignment horizontal="center"/>
    </xf>
    <xf numFmtId="44" fontId="23" fillId="0" borderId="0" xfId="0" applyNumberFormat="1" applyFont="1"/>
    <xf numFmtId="0" fontId="26" fillId="0" borderId="15" xfId="0" applyFont="1" applyBorder="1" applyAlignment="1">
      <alignment horizontal="right"/>
    </xf>
    <xf numFmtId="0" fontId="31" fillId="0" borderId="0" xfId="0" applyFont="1"/>
    <xf numFmtId="44" fontId="0" fillId="0" borderId="0" xfId="0" applyNumberFormat="1" applyAlignment="1">
      <alignment horizontal="left"/>
    </xf>
    <xf numFmtId="44" fontId="0" fillId="0" borderId="5" xfId="0" applyNumberFormat="1" applyBorder="1" applyAlignment="1">
      <alignment horizontal="center"/>
    </xf>
    <xf numFmtId="0" fontId="13" fillId="0" borderId="4" xfId="0" applyFont="1" applyBorder="1" applyAlignment="1">
      <alignment horizontal="right"/>
    </xf>
    <xf numFmtId="0" fontId="20" fillId="0" borderId="4" xfId="0" applyFont="1" applyBorder="1" applyAlignment="1">
      <alignment horizontal="right"/>
    </xf>
    <xf numFmtId="0" fontId="20" fillId="0" borderId="4" xfId="1" applyFont="1" applyFill="1" applyBorder="1" applyAlignment="1">
      <alignment horizontal="right"/>
    </xf>
    <xf numFmtId="0" fontId="15" fillId="0" borderId="4" xfId="1" applyFill="1" applyBorder="1" applyAlignment="1">
      <alignment horizontal="right"/>
    </xf>
    <xf numFmtId="0" fontId="20" fillId="0" borderId="0" xfId="0" applyFont="1" applyAlignment="1">
      <alignment horizontal="right"/>
    </xf>
    <xf numFmtId="0" fontId="20" fillId="0" borderId="0" xfId="1" applyFont="1" applyFill="1" applyBorder="1" applyAlignment="1">
      <alignment horizontal="right"/>
    </xf>
    <xf numFmtId="1" fontId="12" fillId="0" borderId="0" xfId="0" applyNumberFormat="1" applyFont="1" applyAlignment="1">
      <alignment horizontal="center"/>
    </xf>
    <xf numFmtId="44" fontId="12" fillId="0" borderId="0" xfId="0" applyNumberFormat="1" applyFont="1"/>
    <xf numFmtId="44" fontId="12" fillId="0" borderId="5" xfId="0" applyNumberFormat="1" applyFont="1" applyBorder="1"/>
    <xf numFmtId="0" fontId="25" fillId="0" borderId="0" xfId="0" applyFont="1" applyAlignment="1">
      <alignment horizontal="right"/>
    </xf>
    <xf numFmtId="0" fontId="32" fillId="0" borderId="0" xfId="0" applyFont="1"/>
    <xf numFmtId="0" fontId="33" fillId="0" borderId="0" xfId="0" applyFont="1"/>
    <xf numFmtId="49" fontId="11" fillId="0" borderId="17" xfId="0" applyNumberFormat="1" applyFont="1" applyBorder="1" applyAlignment="1">
      <alignment horizontal="center" vertical="center" wrapText="1"/>
    </xf>
    <xf numFmtId="0" fontId="8" fillId="0" borderId="0" xfId="4"/>
    <xf numFmtId="0" fontId="8" fillId="0" borderId="0" xfId="4" applyAlignment="1">
      <alignment horizontal="center"/>
    </xf>
    <xf numFmtId="0" fontId="7" fillId="0" borderId="0" xfId="5"/>
    <xf numFmtId="0" fontId="6" fillId="0" borderId="0" xfId="6"/>
    <xf numFmtId="0" fontId="0" fillId="0" borderId="0" xfId="5" applyFont="1"/>
    <xf numFmtId="0" fontId="6" fillId="0" borderId="0" xfId="6" applyAlignment="1">
      <alignment horizontal="center"/>
    </xf>
    <xf numFmtId="0" fontId="6" fillId="7" borderId="0" xfId="6" applyFill="1"/>
    <xf numFmtId="0" fontId="6" fillId="0" borderId="0" xfId="7"/>
    <xf numFmtId="0" fontId="6" fillId="7" borderId="0" xfId="7" applyFill="1"/>
    <xf numFmtId="0" fontId="6" fillId="0" borderId="0" xfId="7" applyAlignment="1">
      <alignment horizontal="center"/>
    </xf>
    <xf numFmtId="0" fontId="0" fillId="0" borderId="0" xfId="6" applyFont="1"/>
    <xf numFmtId="0" fontId="0" fillId="0" borderId="0" xfId="7" applyFont="1"/>
    <xf numFmtId="0" fontId="6" fillId="6" borderId="0" xfId="6" applyFill="1"/>
    <xf numFmtId="0" fontId="15" fillId="6" borderId="0" xfId="1" applyFill="1"/>
    <xf numFmtId="0" fontId="34" fillId="0" borderId="0" xfId="6" applyFont="1"/>
    <xf numFmtId="0" fontId="6" fillId="8" borderId="0" xfId="6" applyFill="1"/>
    <xf numFmtId="0" fontId="6" fillId="8" borderId="0" xfId="6" applyFill="1" applyAlignment="1">
      <alignment horizontal="center"/>
    </xf>
    <xf numFmtId="0" fontId="6" fillId="6" borderId="0" xfId="7" applyFill="1"/>
    <xf numFmtId="0" fontId="5" fillId="0" borderId="0" xfId="9"/>
    <xf numFmtId="0" fontId="32" fillId="0" borderId="0" xfId="0" applyFont="1" applyAlignment="1">
      <alignment wrapText="1"/>
    </xf>
    <xf numFmtId="0" fontId="5" fillId="7" borderId="0" xfId="9" applyFill="1"/>
    <xf numFmtId="0" fontId="5" fillId="6" borderId="0" xfId="9" applyFill="1"/>
    <xf numFmtId="0" fontId="10" fillId="7" borderId="0" xfId="2" applyFill="1"/>
    <xf numFmtId="0" fontId="35" fillId="0" borderId="18" xfId="5" applyFont="1" applyBorder="1"/>
    <xf numFmtId="0" fontId="0" fillId="3" borderId="0" xfId="5" applyFont="1" applyFill="1"/>
    <xf numFmtId="0" fontId="0" fillId="0" borderId="0" xfId="0" applyAlignment="1">
      <alignment wrapText="1"/>
    </xf>
    <xf numFmtId="0" fontId="0" fillId="0" borderId="0" xfId="9" applyFont="1"/>
    <xf numFmtId="0" fontId="15" fillId="0" borderId="15" xfId="1" applyBorder="1" applyAlignment="1">
      <alignment horizontal="right"/>
    </xf>
    <xf numFmtId="0" fontId="0" fillId="6" borderId="0" xfId="9" applyFont="1" applyFill="1"/>
    <xf numFmtId="49" fontId="8" fillId="0" borderId="0" xfId="4" applyNumberFormat="1"/>
    <xf numFmtId="49" fontId="8" fillId="6" borderId="0" xfId="4" applyNumberFormat="1" applyFill="1"/>
    <xf numFmtId="49" fontId="8" fillId="7" borderId="0" xfId="4" applyNumberFormat="1" applyFill="1"/>
    <xf numFmtId="0" fontId="41" fillId="6" borderId="0" xfId="7" applyFont="1" applyFill="1"/>
    <xf numFmtId="0" fontId="0" fillId="7" borderId="0" xfId="0" applyFill="1"/>
    <xf numFmtId="0" fontId="7" fillId="7" borderId="0" xfId="5" applyFill="1"/>
    <xf numFmtId="0" fontId="0" fillId="9" borderId="0" xfId="0" applyFill="1" applyAlignment="1">
      <alignment wrapText="1"/>
    </xf>
    <xf numFmtId="0" fontId="43" fillId="10" borderId="0" xfId="5" applyFont="1" applyFill="1"/>
    <xf numFmtId="0" fontId="7" fillId="10" borderId="0" xfId="5" applyFill="1"/>
    <xf numFmtId="0" fontId="7" fillId="6" borderId="0" xfId="5" applyFill="1"/>
    <xf numFmtId="0" fontId="0" fillId="0" borderId="0" xfId="0" applyAlignment="1">
      <alignment horizontal="center" vertical="center" wrapText="1"/>
    </xf>
    <xf numFmtId="0" fontId="0" fillId="0" borderId="13" xfId="7" applyFont="1" applyBorder="1"/>
    <xf numFmtId="0" fontId="0" fillId="0" borderId="13" xfId="7" applyFont="1" applyBorder="1" applyAlignment="1">
      <alignment horizontal="center" vertical="center" wrapText="1"/>
    </xf>
    <xf numFmtId="44" fontId="0" fillId="0" borderId="13" xfId="0" applyNumberFormat="1" applyBorder="1"/>
    <xf numFmtId="165" fontId="0" fillId="0" borderId="13" xfId="0" applyNumberFormat="1" applyBorder="1" applyAlignment="1">
      <alignment horizontal="left"/>
    </xf>
    <xf numFmtId="0" fontId="0" fillId="0" borderId="13" xfId="0" applyBorder="1" applyAlignment="1">
      <alignment horizontal="right"/>
    </xf>
    <xf numFmtId="1" fontId="8" fillId="0" borderId="13" xfId="4" applyNumberFormat="1" applyBorder="1" applyAlignment="1">
      <alignment horizontal="center" vertical="top"/>
    </xf>
    <xf numFmtId="0" fontId="0" fillId="0" borderId="13" xfId="0" applyBorder="1"/>
    <xf numFmtId="0" fontId="6" fillId="0" borderId="13" xfId="7" applyBorder="1" applyAlignment="1">
      <alignment horizontal="center" vertical="center" wrapText="1"/>
    </xf>
    <xf numFmtId="1" fontId="0" fillId="0" borderId="13" xfId="0" applyNumberFormat="1" applyBorder="1" applyAlignment="1">
      <alignment horizontal="center" vertical="center" wrapText="1"/>
    </xf>
    <xf numFmtId="0" fontId="15" fillId="0" borderId="13" xfId="1" applyBorder="1"/>
    <xf numFmtId="0" fontId="6" fillId="0" borderId="13" xfId="7" applyBorder="1"/>
    <xf numFmtId="0" fontId="39" fillId="0" borderId="13" xfId="0" applyFont="1" applyBorder="1" applyAlignment="1">
      <alignment horizontal="left"/>
    </xf>
    <xf numFmtId="1" fontId="17" fillId="0" borderId="13" xfId="0" applyNumberFormat="1" applyFont="1" applyBorder="1" applyAlignment="1">
      <alignment horizontal="center" vertical="top"/>
    </xf>
    <xf numFmtId="0" fontId="16" fillId="0" borderId="13" xfId="0" applyFont="1" applyBorder="1"/>
    <xf numFmtId="0" fontId="5" fillId="0" borderId="13" xfId="9" applyBorder="1"/>
    <xf numFmtId="0" fontId="49" fillId="0" borderId="13" xfId="0" applyFont="1" applyBorder="1" applyAlignment="1">
      <alignment horizontal="left"/>
    </xf>
    <xf numFmtId="49" fontId="11" fillId="0" borderId="0" xfId="0" applyNumberFormat="1" applyFont="1" applyAlignment="1">
      <alignment horizontal="center" vertical="center" wrapText="1"/>
    </xf>
    <xf numFmtId="49" fontId="11" fillId="0" borderId="0" xfId="0" applyNumberFormat="1" applyFont="1" applyAlignment="1">
      <alignment vertical="center" wrapText="1"/>
    </xf>
    <xf numFmtId="49" fontId="11" fillId="0" borderId="5" xfId="0" applyNumberFormat="1" applyFont="1" applyBorder="1" applyAlignment="1">
      <alignment horizontal="center" vertical="center" wrapText="1"/>
    </xf>
    <xf numFmtId="49" fontId="42" fillId="0" borderId="5" xfId="0" applyNumberFormat="1" applyFont="1" applyBorder="1" applyAlignment="1">
      <alignment horizontal="center" vertical="center" wrapText="1"/>
    </xf>
    <xf numFmtId="0" fontId="17" fillId="0" borderId="13" xfId="0" applyFont="1" applyBorder="1"/>
    <xf numFmtId="0" fontId="17" fillId="0" borderId="13" xfId="0" applyFont="1" applyBorder="1" applyAlignment="1">
      <alignment horizontal="left"/>
    </xf>
    <xf numFmtId="0" fontId="15" fillId="0" borderId="13" xfId="1" applyFill="1" applyBorder="1"/>
    <xf numFmtId="0" fontId="0" fillId="0" borderId="0" xfId="0" applyAlignment="1">
      <alignment horizontal="center" vertical="top"/>
    </xf>
    <xf numFmtId="0" fontId="39" fillId="8" borderId="13" xfId="0" applyFont="1" applyFill="1" applyBorder="1" applyAlignment="1">
      <alignment horizontal="left"/>
    </xf>
    <xf numFmtId="0" fontId="35" fillId="0" borderId="0" xfId="7" applyFont="1"/>
    <xf numFmtId="0" fontId="48" fillId="0" borderId="0" xfId="0" applyFont="1"/>
    <xf numFmtId="0" fontId="6" fillId="0" borderId="13" xfId="7" applyBorder="1" applyAlignment="1">
      <alignment horizontal="center"/>
    </xf>
    <xf numFmtId="0" fontId="43" fillId="0" borderId="13" xfId="7" applyFont="1" applyBorder="1" applyAlignment="1">
      <alignment horizontal="center"/>
    </xf>
    <xf numFmtId="0" fontId="48" fillId="0" borderId="0" xfId="0" applyFont="1" applyAlignment="1">
      <alignment wrapText="1"/>
    </xf>
    <xf numFmtId="0" fontId="6" fillId="0" borderId="0" xfId="7" applyAlignment="1">
      <alignment horizontal="center" wrapText="1"/>
    </xf>
    <xf numFmtId="0" fontId="39" fillId="0" borderId="13" xfId="7" applyFont="1" applyBorder="1" applyAlignment="1">
      <alignment horizontal="center" vertical="center" wrapText="1"/>
    </xf>
    <xf numFmtId="0" fontId="52" fillId="0" borderId="0" xfId="7" applyFont="1"/>
    <xf numFmtId="0" fontId="7" fillId="0" borderId="0" xfId="5" applyAlignment="1">
      <alignment wrapText="1"/>
    </xf>
    <xf numFmtId="0" fontId="53" fillId="0" borderId="0" xfId="0" applyFont="1"/>
    <xf numFmtId="0" fontId="39" fillId="0" borderId="0" xfId="0" applyFont="1"/>
    <xf numFmtId="0" fontId="0" fillId="4" borderId="0" xfId="0" applyFill="1"/>
    <xf numFmtId="0" fontId="0" fillId="8" borderId="0" xfId="0" applyFill="1"/>
    <xf numFmtId="0" fontId="55" fillId="0" borderId="0" xfId="0" applyFont="1" applyAlignment="1">
      <alignment wrapText="1"/>
    </xf>
    <xf numFmtId="0" fontId="0" fillId="0" borderId="19" xfId="0" applyBorder="1"/>
    <xf numFmtId="0" fontId="6" fillId="0" borderId="19" xfId="7" applyBorder="1"/>
    <xf numFmtId="0" fontId="0" fillId="0" borderId="20" xfId="0" applyBorder="1"/>
    <xf numFmtId="0" fontId="0" fillId="0" borderId="20" xfId="7" applyFont="1" applyBorder="1"/>
    <xf numFmtId="0" fontId="6" fillId="0" borderId="20" xfId="7" applyBorder="1" applyAlignment="1">
      <alignment horizontal="center" vertical="center" wrapText="1"/>
    </xf>
    <xf numFmtId="1" fontId="8" fillId="0" borderId="20" xfId="4" applyNumberFormat="1" applyBorder="1" applyAlignment="1">
      <alignment horizontal="center" vertical="top"/>
    </xf>
    <xf numFmtId="44" fontId="0" fillId="0" borderId="20" xfId="0" applyNumberFormat="1" applyBorder="1"/>
    <xf numFmtId="0" fontId="49" fillId="0" borderId="20" xfId="0" applyFont="1" applyBorder="1" applyAlignment="1">
      <alignment horizontal="left"/>
    </xf>
    <xf numFmtId="165" fontId="0" fillId="0" borderId="20" xfId="0" applyNumberFormat="1" applyBorder="1" applyAlignment="1">
      <alignment horizontal="left"/>
    </xf>
    <xf numFmtId="0" fontId="0" fillId="0" borderId="20" xfId="0" applyBorder="1" applyAlignment="1">
      <alignment horizontal="right"/>
    </xf>
    <xf numFmtId="0" fontId="15" fillId="0" borderId="20" xfId="1" applyBorder="1"/>
    <xf numFmtId="0" fontId="48" fillId="0" borderId="0" xfId="0" applyFont="1" applyAlignment="1">
      <alignment horizontal="center"/>
    </xf>
    <xf numFmtId="0" fontId="51" fillId="7" borderId="13" xfId="7" applyFont="1" applyFill="1" applyBorder="1" applyAlignment="1">
      <alignment horizontal="center"/>
    </xf>
    <xf numFmtId="0" fontId="6" fillId="7" borderId="13" xfId="7" applyFill="1" applyBorder="1" applyAlignment="1">
      <alignment horizontal="center"/>
    </xf>
    <xf numFmtId="0" fontId="6" fillId="6" borderId="13" xfId="7" applyFill="1" applyBorder="1" applyAlignment="1">
      <alignment horizontal="center"/>
    </xf>
    <xf numFmtId="0" fontId="0" fillId="6" borderId="13" xfId="7" applyFont="1" applyFill="1" applyBorder="1" applyAlignment="1">
      <alignment horizontal="center"/>
    </xf>
    <xf numFmtId="0" fontId="0" fillId="6" borderId="20" xfId="7" applyFont="1" applyFill="1" applyBorder="1" applyAlignment="1">
      <alignment horizontal="center"/>
    </xf>
    <xf numFmtId="49" fontId="6" fillId="0" borderId="0" xfId="7" applyNumberFormat="1" applyAlignment="1">
      <alignment horizontal="right"/>
    </xf>
    <xf numFmtId="49" fontId="6" fillId="0" borderId="0" xfId="7" applyNumberFormat="1" applyAlignment="1">
      <alignment horizontal="right" wrapText="1"/>
    </xf>
    <xf numFmtId="49" fontId="6" fillId="0" borderId="13" xfId="7" applyNumberFormat="1" applyBorder="1" applyAlignment="1">
      <alignment horizontal="right"/>
    </xf>
    <xf numFmtId="49" fontId="0" fillId="0" borderId="13" xfId="0" applyNumberFormat="1" applyBorder="1" applyAlignment="1">
      <alignment horizontal="right"/>
    </xf>
    <xf numFmtId="49" fontId="0" fillId="0" borderId="20" xfId="0" applyNumberFormat="1" applyBorder="1" applyAlignment="1">
      <alignment horizontal="right"/>
    </xf>
    <xf numFmtId="0" fontId="0" fillId="4" borderId="0" xfId="0" applyFill="1" applyAlignment="1">
      <alignment wrapText="1"/>
    </xf>
    <xf numFmtId="49" fontId="15" fillId="6" borderId="0" xfId="1" applyNumberFormat="1" applyFill="1"/>
    <xf numFmtId="49" fontId="8" fillId="10" borderId="0" xfId="4" applyNumberFormat="1" applyFill="1"/>
    <xf numFmtId="0" fontId="49" fillId="0" borderId="0" xfId="0" applyFont="1"/>
    <xf numFmtId="0" fontId="57" fillId="0" borderId="0" xfId="0" applyFont="1"/>
    <xf numFmtId="0" fontId="49" fillId="0" borderId="0" xfId="0" applyFont="1" applyAlignment="1">
      <alignment wrapText="1"/>
    </xf>
    <xf numFmtId="0" fontId="15" fillId="0" borderId="0" xfId="1" applyAlignment="1">
      <alignment wrapText="1"/>
    </xf>
    <xf numFmtId="0" fontId="2" fillId="0" borderId="0" xfId="2" applyFont="1"/>
    <xf numFmtId="0" fontId="49" fillId="0" borderId="0" xfId="0" applyFont="1" applyAlignment="1"/>
    <xf numFmtId="0" fontId="2" fillId="0" borderId="0" xfId="9" applyFont="1"/>
    <xf numFmtId="0" fontId="0" fillId="0" borderId="0" xfId="0" applyBorder="1"/>
    <xf numFmtId="0" fontId="12" fillId="0" borderId="0" xfId="0" applyFont="1" applyBorder="1"/>
    <xf numFmtId="0" fontId="10" fillId="0" borderId="0" xfId="2" applyBorder="1"/>
    <xf numFmtId="0" fontId="7" fillId="0" borderId="0" xfId="5" applyBorder="1"/>
    <xf numFmtId="0" fontId="6" fillId="0" borderId="0" xfId="6" applyBorder="1"/>
    <xf numFmtId="0" fontId="30" fillId="0" borderId="0" xfId="0" applyFont="1" applyBorder="1"/>
    <xf numFmtId="0" fontId="7" fillId="0" borderId="0" xfId="5" applyBorder="1" applyAlignment="1">
      <alignment wrapText="1"/>
    </xf>
    <xf numFmtId="0" fontId="23" fillId="0" borderId="0" xfId="0" applyFont="1" applyBorder="1"/>
    <xf numFmtId="0" fontId="0" fillId="0" borderId="0" xfId="7" applyFont="1" applyBorder="1"/>
    <xf numFmtId="1" fontId="0" fillId="0" borderId="0" xfId="0" applyNumberForma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6" fillId="0" borderId="0" xfId="7" applyBorder="1" applyAlignment="1">
      <alignment horizontal="center" vertical="center" wrapText="1"/>
    </xf>
    <xf numFmtId="1" fontId="0" fillId="0" borderId="0" xfId="0" applyNumberFormat="1" applyBorder="1" applyAlignment="1">
      <alignment horizontal="center" vertical="top"/>
    </xf>
    <xf numFmtId="1" fontId="0" fillId="0" borderId="0" xfId="0" applyNumberFormat="1" applyBorder="1" applyAlignment="1">
      <alignment horizontal="center"/>
    </xf>
    <xf numFmtId="1" fontId="8" fillId="0" borderId="0" xfId="4" applyNumberFormat="1" applyBorder="1" applyAlignment="1">
      <alignment horizontal="center" vertical="top"/>
    </xf>
    <xf numFmtId="44" fontId="0" fillId="0" borderId="0" xfId="0" applyNumberFormat="1" applyBorder="1"/>
    <xf numFmtId="0" fontId="49" fillId="0" borderId="0" xfId="0" applyFont="1" applyBorder="1" applyAlignment="1">
      <alignment horizontal="left"/>
    </xf>
    <xf numFmtId="0" fontId="13" fillId="0" borderId="0" xfId="0" applyFont="1" applyBorder="1" applyAlignment="1">
      <alignment horizontal="left"/>
    </xf>
    <xf numFmtId="0" fontId="39" fillId="0" borderId="0" xfId="1" applyFont="1" applyFill="1" applyBorder="1" applyAlignment="1">
      <alignment horizontal="left"/>
    </xf>
    <xf numFmtId="0" fontId="39" fillId="0" borderId="0" xfId="0" applyFont="1" applyBorder="1" applyAlignment="1">
      <alignment horizontal="left"/>
    </xf>
    <xf numFmtId="0" fontId="39" fillId="8" borderId="0" xfId="0" applyFont="1" applyFill="1" applyBorder="1" applyAlignment="1">
      <alignment horizontal="left"/>
    </xf>
    <xf numFmtId="165" fontId="0" fillId="0" borderId="0" xfId="0" applyNumberFormat="1" applyBorder="1" applyAlignment="1">
      <alignment horizontal="left"/>
    </xf>
    <xf numFmtId="165" fontId="12" fillId="8" borderId="0" xfId="0" applyNumberFormat="1" applyFont="1" applyFill="1" applyBorder="1" applyAlignment="1">
      <alignment horizontal="left"/>
    </xf>
    <xf numFmtId="0" fontId="44" fillId="0" borderId="0" xfId="0" applyFont="1" applyBorder="1"/>
    <xf numFmtId="0" fontId="32" fillId="0" borderId="0" xfId="0" applyFont="1" applyBorder="1"/>
    <xf numFmtId="0" fontId="0" fillId="0" borderId="0" xfId="0" applyBorder="1" applyAlignment="1">
      <alignment horizontal="right"/>
    </xf>
    <xf numFmtId="0" fontId="0" fillId="4" borderId="0" xfId="0" applyFill="1" applyBorder="1"/>
    <xf numFmtId="0" fontId="16" fillId="0" borderId="0" xfId="0" applyFont="1" applyBorder="1"/>
    <xf numFmtId="0" fontId="15" fillId="4" borderId="0" xfId="1" applyFill="1" applyBorder="1"/>
    <xf numFmtId="0" fontId="15" fillId="0" borderId="0" xfId="1" applyBorder="1"/>
    <xf numFmtId="0" fontId="2" fillId="0" borderId="0" xfId="2" applyFont="1" applyBorder="1"/>
    <xf numFmtId="0" fontId="5" fillId="0" borderId="0" xfId="9" applyBorder="1"/>
    <xf numFmtId="49" fontId="11" fillId="0" borderId="4" xfId="0" applyNumberFormat="1" applyFont="1" applyBorder="1" applyAlignment="1">
      <alignment horizontal="left" vertical="center" wrapText="1"/>
    </xf>
    <xf numFmtId="0" fontId="32" fillId="0" borderId="0" xfId="0" applyFont="1" applyBorder="1" applyAlignment="1">
      <alignment wrapText="1"/>
    </xf>
    <xf numFmtId="0" fontId="10" fillId="0" borderId="0" xfId="2" applyBorder="1" applyAlignment="1">
      <alignment horizontal="center" vertical="center" wrapText="1"/>
    </xf>
    <xf numFmtId="0" fontId="0" fillId="0" borderId="0" xfId="0" applyBorder="1" applyAlignment="1">
      <alignment horizontal="center"/>
    </xf>
    <xf numFmtId="0" fontId="15" fillId="0" borderId="0" xfId="1" applyFill="1" applyBorder="1" applyAlignment="1">
      <alignment horizontal="left"/>
    </xf>
    <xf numFmtId="1" fontId="0" fillId="0" borderId="0" xfId="0" applyNumberFormat="1" applyBorder="1" applyAlignment="1">
      <alignment horizontal="right"/>
    </xf>
    <xf numFmtId="0" fontId="2" fillId="0" borderId="0" xfId="7" applyFont="1" applyBorder="1"/>
    <xf numFmtId="1" fontId="8" fillId="0" borderId="0" xfId="4" applyNumberFormat="1" applyBorder="1" applyAlignment="1">
      <alignment horizontal="center" vertical="center"/>
    </xf>
    <xf numFmtId="0" fontId="45" fillId="0" borderId="0" xfId="0" applyFont="1" applyBorder="1" applyAlignment="1">
      <alignment wrapText="1"/>
    </xf>
    <xf numFmtId="0" fontId="0" fillId="0" borderId="0" xfId="6" applyFont="1" applyBorder="1"/>
    <xf numFmtId="0" fontId="6" fillId="0" borderId="0" xfId="6" applyBorder="1" applyAlignment="1">
      <alignment horizontal="center" wrapText="1"/>
    </xf>
    <xf numFmtId="1" fontId="0" fillId="0" borderId="0" xfId="6" applyNumberFormat="1" applyFont="1" applyBorder="1" applyAlignment="1">
      <alignment horizontal="center"/>
    </xf>
    <xf numFmtId="44" fontId="15" fillId="0" borderId="0" xfId="1" applyNumberFormat="1" applyBorder="1" applyAlignment="1">
      <alignment horizontal="left"/>
    </xf>
    <xf numFmtId="1" fontId="0" fillId="0" borderId="0" xfId="0" applyNumberFormat="1" applyBorder="1" applyAlignment="1">
      <alignment horizontal="center" wrapText="1"/>
    </xf>
    <xf numFmtId="0" fontId="46" fillId="0" borderId="0" xfId="0" applyFont="1" applyBorder="1" applyAlignment="1">
      <alignment wrapText="1"/>
    </xf>
    <xf numFmtId="165" fontId="0" fillId="9" borderId="0" xfId="0" applyNumberFormat="1" applyFill="1" applyBorder="1" applyAlignment="1">
      <alignment horizontal="left"/>
    </xf>
    <xf numFmtId="1" fontId="6" fillId="0" borderId="0" xfId="6" applyNumberFormat="1" applyBorder="1" applyAlignment="1">
      <alignment horizontal="center"/>
    </xf>
    <xf numFmtId="44" fontId="0" fillId="0" borderId="0" xfId="6" applyNumberFormat="1" applyFont="1" applyBorder="1" applyAlignment="1">
      <alignment horizontal="left"/>
    </xf>
    <xf numFmtId="0" fontId="0" fillId="0" borderId="0" xfId="0" applyBorder="1" applyAlignment="1">
      <alignment wrapText="1"/>
    </xf>
    <xf numFmtId="165" fontId="0" fillId="8" borderId="0" xfId="0" applyNumberFormat="1" applyFill="1" applyBorder="1" applyAlignment="1">
      <alignment horizontal="left"/>
    </xf>
    <xf numFmtId="0" fontId="8" fillId="0" borderId="0" xfId="4" applyBorder="1" applyAlignment="1">
      <alignment wrapText="1"/>
    </xf>
    <xf numFmtId="0" fontId="8" fillId="0" borderId="0" xfId="4" applyBorder="1" applyAlignment="1">
      <alignment horizontal="center" vertical="center" wrapText="1"/>
    </xf>
    <xf numFmtId="44" fontId="39" fillId="0" borderId="0" xfId="0" applyNumberFormat="1" applyFont="1" applyBorder="1"/>
    <xf numFmtId="1" fontId="14" fillId="0" borderId="0" xfId="0" applyNumberFormat="1" applyFont="1" applyBorder="1" applyAlignment="1">
      <alignment horizontal="center"/>
    </xf>
    <xf numFmtId="0" fontId="6" fillId="0" borderId="0" xfId="7" applyBorder="1"/>
    <xf numFmtId="0" fontId="0" fillId="0" borderId="0" xfId="7" applyFont="1" applyBorder="1" applyAlignment="1">
      <alignment horizontal="center" vertical="center" wrapText="1"/>
    </xf>
    <xf numFmtId="0" fontId="0" fillId="0" borderId="0" xfId="0" applyBorder="1" applyAlignment="1">
      <alignment horizontal="left"/>
    </xf>
    <xf numFmtId="0" fontId="21" fillId="0" borderId="0" xfId="0" applyFont="1" applyBorder="1" applyAlignment="1">
      <alignment horizontal="right" vertical="center" wrapText="1"/>
    </xf>
    <xf numFmtId="0" fontId="50" fillId="0" borderId="0" xfId="1" applyFont="1" applyFill="1" applyBorder="1"/>
    <xf numFmtId="0" fontId="6" fillId="0" borderId="0" xfId="7" applyBorder="1" applyAlignment="1">
      <alignment wrapText="1"/>
    </xf>
    <xf numFmtId="0" fontId="6" fillId="0" borderId="0" xfId="7" applyBorder="1" applyAlignment="1">
      <alignment horizontal="center"/>
    </xf>
    <xf numFmtId="0" fontId="6" fillId="0" borderId="0" xfId="7" applyBorder="1" applyAlignment="1">
      <alignment horizontal="center" wrapText="1"/>
    </xf>
    <xf numFmtId="1" fontId="8" fillId="0" borderId="0" xfId="4" applyNumberFormat="1" applyBorder="1" applyAlignment="1">
      <alignment horizontal="center"/>
    </xf>
    <xf numFmtId="0" fontId="6" fillId="0" borderId="0" xfId="6" applyBorder="1" applyAlignment="1">
      <alignment horizontal="center" vertical="center" wrapText="1"/>
    </xf>
    <xf numFmtId="0" fontId="32" fillId="0" borderId="0" xfId="0" applyFont="1" applyBorder="1" applyAlignment="1">
      <alignment horizontal="left"/>
    </xf>
    <xf numFmtId="0" fontId="36" fillId="0" borderId="0" xfId="0" applyFont="1" applyBorder="1"/>
    <xf numFmtId="0" fontId="37" fillId="0" borderId="0" xfId="2" applyFont="1" applyBorder="1" applyAlignment="1">
      <alignment wrapText="1"/>
    </xf>
    <xf numFmtId="44" fontId="0" fillId="0" borderId="0" xfId="4" applyNumberFormat="1" applyFont="1" applyBorder="1" applyAlignment="1">
      <alignment horizontal="left"/>
    </xf>
    <xf numFmtId="0" fontId="47" fillId="0" borderId="0" xfId="0" applyFont="1" applyBorder="1"/>
    <xf numFmtId="0" fontId="20" fillId="0" borderId="0" xfId="1" applyFont="1" applyFill="1" applyBorder="1" applyAlignment="1">
      <alignment horizontal="left"/>
    </xf>
    <xf numFmtId="0" fontId="44" fillId="8" borderId="0" xfId="0" applyFont="1" applyFill="1" applyBorder="1"/>
    <xf numFmtId="0" fontId="15" fillId="2" borderId="0" xfId="1" applyFill="1" applyBorder="1"/>
    <xf numFmtId="0" fontId="48" fillId="0" borderId="0" xfId="0" applyFont="1" applyBorder="1"/>
    <xf numFmtId="0" fontId="0" fillId="0" borderId="0" xfId="0" applyBorder="1" applyAlignment="1">
      <alignment horizontal="center" wrapText="1"/>
    </xf>
    <xf numFmtId="0" fontId="31" fillId="0" borderId="0" xfId="0" applyFont="1" applyBorder="1"/>
    <xf numFmtId="1" fontId="17" fillId="0" borderId="0" xfId="0" applyNumberFormat="1" applyFont="1" applyBorder="1" applyAlignment="1">
      <alignment horizontal="center"/>
    </xf>
    <xf numFmtId="1" fontId="14" fillId="0" borderId="0" xfId="0" applyNumberFormat="1" applyFont="1" applyBorder="1" applyAlignment="1">
      <alignment horizontal="center" vertical="center"/>
    </xf>
    <xf numFmtId="0" fontId="49" fillId="0" borderId="0" xfId="1" applyFont="1" applyFill="1" applyBorder="1" applyAlignment="1">
      <alignment horizontal="left"/>
    </xf>
    <xf numFmtId="0" fontId="5" fillId="0" borderId="0" xfId="9" applyBorder="1" applyAlignment="1">
      <alignment horizontal="center" vertical="center" wrapText="1"/>
    </xf>
    <xf numFmtId="0" fontId="10" fillId="0" borderId="0" xfId="2" applyBorder="1" applyAlignment="1">
      <alignment horizontal="center"/>
    </xf>
    <xf numFmtId="0" fontId="0" fillId="0" borderId="0" xfId="0" applyBorder="1" applyAlignment="1">
      <alignment horizontal="center" vertical="top"/>
    </xf>
    <xf numFmtId="1" fontId="0" fillId="0" borderId="0" xfId="6" applyNumberFormat="1" applyFont="1" applyBorder="1" applyAlignment="1">
      <alignment horizontal="center" vertical="top"/>
    </xf>
    <xf numFmtId="0" fontId="6" fillId="0" borderId="0" xfId="8" applyBorder="1" applyAlignment="1">
      <alignment horizontal="center" vertical="center"/>
    </xf>
    <xf numFmtId="0" fontId="28" fillId="0" borderId="0" xfId="0" applyFont="1" applyBorder="1"/>
    <xf numFmtId="0" fontId="17" fillId="0" borderId="0" xfId="0" applyFont="1" applyBorder="1"/>
    <xf numFmtId="0" fontId="28" fillId="0" borderId="0" xfId="0" applyFont="1" applyBorder="1" applyAlignment="1">
      <alignment horizontal="center" vertical="center" wrapText="1"/>
    </xf>
    <xf numFmtId="0" fontId="28" fillId="0" borderId="0" xfId="0" applyFont="1" applyBorder="1" applyAlignment="1">
      <alignment horizontal="center" vertical="top"/>
    </xf>
    <xf numFmtId="166" fontId="28" fillId="0" borderId="0" xfId="0" applyNumberFormat="1" applyFont="1" applyBorder="1"/>
    <xf numFmtId="164" fontId="28" fillId="0" borderId="0" xfId="0" applyNumberFormat="1" applyFont="1" applyBorder="1"/>
    <xf numFmtId="167" fontId="10" fillId="0" borderId="0" xfId="2" applyNumberFormat="1" applyFill="1"/>
    <xf numFmtId="1" fontId="10" fillId="0" borderId="0" xfId="2" applyNumberFormat="1"/>
    <xf numFmtId="49" fontId="10" fillId="0" borderId="0" xfId="2" applyNumberFormat="1" applyAlignment="1">
      <alignment wrapText="1"/>
    </xf>
    <xf numFmtId="49" fontId="2" fillId="0" borderId="0" xfId="2" applyNumberFormat="1" applyFont="1" applyAlignment="1">
      <alignment wrapText="1"/>
    </xf>
    <xf numFmtId="49" fontId="2" fillId="0" borderId="0" xfId="2" applyNumberFormat="1" applyFont="1" applyFill="1" applyAlignment="1">
      <alignment wrapText="1"/>
    </xf>
    <xf numFmtId="0" fontId="2" fillId="6" borderId="0" xfId="9" applyFont="1" applyFill="1"/>
    <xf numFmtId="0" fontId="5" fillId="0" borderId="0" xfId="9" applyFill="1"/>
    <xf numFmtId="0" fontId="2" fillId="0" borderId="0" xfId="9" applyFont="1" applyAlignment="1">
      <alignment wrapText="1"/>
    </xf>
    <xf numFmtId="167" fontId="5" fillId="0" borderId="0" xfId="9" applyNumberFormat="1" applyFill="1"/>
    <xf numFmtId="49" fontId="10" fillId="0" borderId="0" xfId="2" applyNumberFormat="1" applyBorder="1" applyAlignment="1">
      <alignment wrapText="1"/>
    </xf>
    <xf numFmtId="49" fontId="2" fillId="0" borderId="0" xfId="2" applyNumberFormat="1" applyFont="1" applyBorder="1" applyAlignment="1">
      <alignment wrapText="1"/>
    </xf>
    <xf numFmtId="49" fontId="2" fillId="0" borderId="0" xfId="2" applyNumberFormat="1" applyFont="1" applyFill="1" applyBorder="1" applyAlignment="1">
      <alignment wrapText="1"/>
    </xf>
    <xf numFmtId="0" fontId="3" fillId="0" borderId="0" xfId="8" applyFont="1" applyBorder="1"/>
    <xf numFmtId="0" fontId="3" fillId="0" borderId="0" xfId="8" applyFont="1" applyBorder="1" applyAlignment="1">
      <alignment horizontal="left"/>
    </xf>
    <xf numFmtId="0" fontId="12" fillId="0" borderId="0" xfId="0" applyFont="1" applyBorder="1" applyAlignment="1">
      <alignment horizontal="left"/>
    </xf>
    <xf numFmtId="167" fontId="2" fillId="0" borderId="0" xfId="8" applyNumberFormat="1" applyFont="1" applyFill="1" applyBorder="1"/>
    <xf numFmtId="0" fontId="35" fillId="0" borderId="0" xfId="8" applyFont="1" applyFill="1" applyBorder="1"/>
    <xf numFmtId="167" fontId="35" fillId="0" borderId="0" xfId="8" applyNumberFormat="1" applyFont="1" applyFill="1" applyBorder="1"/>
    <xf numFmtId="49" fontId="59" fillId="0" borderId="0" xfId="11" applyNumberFormat="1" applyFont="1" applyFill="1" applyBorder="1" applyAlignment="1">
      <alignment horizontal="left"/>
    </xf>
    <xf numFmtId="0" fontId="11" fillId="0" borderId="0" xfId="0" applyFont="1"/>
    <xf numFmtId="0" fontId="60" fillId="0" borderId="0" xfId="1" applyFont="1" applyBorder="1"/>
    <xf numFmtId="0" fontId="35" fillId="0" borderId="0" xfId="8" applyFont="1" applyFill="1" applyBorder="1" applyAlignment="1">
      <alignment horizontal="left"/>
    </xf>
    <xf numFmtId="0" fontId="22" fillId="0" borderId="0" xfId="0" applyFont="1" applyAlignment="1">
      <alignment horizontal="center" vertical="center"/>
    </xf>
    <xf numFmtId="0" fontId="39" fillId="0" borderId="0" xfId="7" applyFont="1" applyFill="1" applyBorder="1" applyAlignment="1">
      <alignment horizontal="center"/>
    </xf>
    <xf numFmtId="0" fontId="44" fillId="0" borderId="0" xfId="0" applyFont="1" applyFill="1" applyBorder="1"/>
    <xf numFmtId="0" fontId="0" fillId="0" borderId="0" xfId="0" applyFill="1"/>
    <xf numFmtId="0" fontId="17" fillId="0" borderId="0" xfId="0" applyFont="1" applyFill="1"/>
    <xf numFmtId="49" fontId="42" fillId="0" borderId="21" xfId="0" applyNumberFormat="1" applyFont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wrapText="1"/>
    </xf>
    <xf numFmtId="0" fontId="2" fillId="3" borderId="0" xfId="5" applyFont="1" applyFill="1"/>
    <xf numFmtId="0" fontId="2" fillId="7" borderId="0" xfId="5" applyFont="1" applyFill="1"/>
    <xf numFmtId="0" fontId="2" fillId="0" borderId="0" xfId="5" applyFont="1" applyBorder="1"/>
    <xf numFmtId="0" fontId="2" fillId="0" borderId="0" xfId="5" applyFont="1" applyBorder="1" applyAlignment="1">
      <alignment horizontal="center" vertical="center" wrapText="1"/>
    </xf>
    <xf numFmtId="1" fontId="2" fillId="0" borderId="0" xfId="4" applyNumberFormat="1" applyFont="1" applyBorder="1" applyAlignment="1">
      <alignment horizontal="center" vertical="top"/>
    </xf>
    <xf numFmtId="0" fontId="2" fillId="0" borderId="0" xfId="9" applyFont="1" applyBorder="1"/>
    <xf numFmtId="0" fontId="2" fillId="0" borderId="0" xfId="8" applyFont="1" applyBorder="1" applyAlignment="1">
      <alignment horizontal="left"/>
    </xf>
    <xf numFmtId="0" fontId="2" fillId="0" borderId="0" xfId="8" applyFont="1" applyBorder="1" applyAlignment="1">
      <alignment horizontal="right"/>
    </xf>
    <xf numFmtId="0" fontId="2" fillId="0" borderId="0" xfId="8" applyFont="1" applyBorder="1"/>
    <xf numFmtId="1" fontId="2" fillId="0" borderId="0" xfId="2" applyNumberFormat="1" applyFont="1"/>
    <xf numFmtId="0" fontId="2" fillId="0" borderId="0" xfId="7" applyFont="1"/>
    <xf numFmtId="0" fontId="2" fillId="0" borderId="13" xfId="7" applyFont="1" applyBorder="1" applyAlignment="1">
      <alignment horizontal="center"/>
    </xf>
    <xf numFmtId="0" fontId="2" fillId="0" borderId="13" xfId="7" applyFont="1" applyBorder="1"/>
    <xf numFmtId="49" fontId="2" fillId="0" borderId="13" xfId="7" applyNumberFormat="1" applyFont="1" applyBorder="1" applyAlignment="1">
      <alignment horizontal="right"/>
    </xf>
    <xf numFmtId="0" fontId="2" fillId="6" borderId="13" xfId="7" applyFont="1" applyFill="1" applyBorder="1" applyAlignment="1">
      <alignment horizontal="center"/>
    </xf>
    <xf numFmtId="0" fontId="2" fillId="0" borderId="0" xfId="7" applyFont="1" applyAlignment="1">
      <alignment horizontal="center"/>
    </xf>
    <xf numFmtId="49" fontId="2" fillId="0" borderId="0" xfId="7" applyNumberFormat="1" applyFont="1" applyAlignment="1">
      <alignment horizontal="right"/>
    </xf>
    <xf numFmtId="0" fontId="2" fillId="3" borderId="0" xfId="7" applyFont="1" applyFill="1"/>
    <xf numFmtId="0" fontId="2" fillId="0" borderId="19" xfId="7" applyFont="1" applyBorder="1"/>
    <xf numFmtId="0" fontId="2" fillId="6" borderId="19" xfId="7" applyFont="1" applyFill="1" applyBorder="1" applyAlignment="1">
      <alignment horizontal="center"/>
    </xf>
    <xf numFmtId="0" fontId="2" fillId="0" borderId="19" xfId="7" applyFont="1" applyBorder="1" applyAlignment="1">
      <alignment horizontal="center"/>
    </xf>
    <xf numFmtId="49" fontId="2" fillId="0" borderId="19" xfId="7" applyNumberFormat="1" applyFont="1" applyBorder="1" applyAlignment="1">
      <alignment horizontal="right"/>
    </xf>
    <xf numFmtId="0" fontId="2" fillId="0" borderId="0" xfId="4" applyFont="1" applyAlignment="1">
      <alignment horizontal="center"/>
    </xf>
    <xf numFmtId="0" fontId="2" fillId="0" borderId="0" xfId="4" applyFont="1"/>
    <xf numFmtId="49" fontId="2" fillId="7" borderId="0" xfId="4" applyNumberFormat="1" applyFont="1" applyFill="1"/>
    <xf numFmtId="0" fontId="2" fillId="0" borderId="0" xfId="5" applyFont="1"/>
    <xf numFmtId="0" fontId="2" fillId="6" borderId="0" xfId="5" applyFont="1" applyFill="1"/>
    <xf numFmtId="0" fontId="2" fillId="10" borderId="0" xfId="5" applyFont="1" applyFill="1"/>
    <xf numFmtId="0" fontId="2" fillId="0" borderId="0" xfId="6" applyFont="1"/>
  </cellXfs>
  <cellStyles count="12">
    <cellStyle name="Hyperlink" xfId="1" builtinId="8"/>
    <cellStyle name="Neutral" xfId="11" builtinId="2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80">
    <dxf>
      <alignment horizontal="center"/>
    </dxf>
    <dxf>
      <fill>
        <patternFill patternType="none">
          <fgColor indexed="64"/>
          <bgColor theme="0"/>
        </patternFill>
      </fill>
    </dxf>
    <dxf>
      <numFmt numFmtId="30" formatCode="@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00B0F0"/>
        </patternFill>
      </fill>
    </dxf>
    <dxf>
      <numFmt numFmtId="167" formatCode="[$$-409]#,##0"/>
      <fill>
        <patternFill patternType="none">
          <fgColor indexed="64"/>
          <bgColor auto="1"/>
        </patternFill>
      </fill>
    </dxf>
    <dxf>
      <numFmt numFmtId="167" formatCode="[$$-409]#,##0"/>
      <fill>
        <patternFill patternType="none">
          <fgColor indexed="64"/>
          <bgColor auto="1"/>
        </patternFill>
      </fill>
    </dxf>
    <dxf>
      <numFmt numFmtId="167" formatCode="[$$-409]#,##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right"/>
    </dxf>
    <dxf>
      <fill>
        <patternFill patternType="none"/>
      </fill>
      <alignment horizontal="center"/>
    </dxf>
    <dxf>
      <numFmt numFmtId="167" formatCode="[$$-409]#,##0"/>
    </dxf>
    <dxf>
      <numFmt numFmtId="167" formatCode="[$$-409]#,##0"/>
      <fill>
        <patternFill patternType="none">
          <fgColor indexed="64"/>
          <bgColor indexed="65"/>
        </patternFill>
      </fill>
    </dxf>
    <dxf>
      <numFmt numFmtId="167" formatCode="[$$-409]#,##0"/>
    </dxf>
    <dxf>
      <numFmt numFmtId="1" formatCode="0"/>
    </dxf>
    <dxf>
      <numFmt numFmtId="1" formatCode="0"/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numFmt numFmtId="167" formatCode="[$$-409]#,##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numFmt numFmtId="167" formatCode="[$$-409]#,##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rgb="FF000000"/>
          <bgColor auto="1"/>
        </patternFill>
      </fill>
    </dxf>
    <dxf>
      <font>
        <b/>
        <sz val="12"/>
        <family val="2"/>
      </font>
      <fill>
        <patternFill patternType="none">
          <fgColor rgb="FF000000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#,##0.00_ ;\-#,##0.00\ 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</dxf>
    <dxf>
      <numFmt numFmtId="1" formatCode="0"/>
      <alignment horizontal="center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wrapTex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fill>
        <patternFill patternType="none">
          <fgColor rgb="FF000000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0" formatCode="@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70C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70C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70C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70C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</dxf>
    <dxf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name val="Calibri"/>
        <scheme val="minor"/>
      </font>
      <fill>
        <patternFill patternType="none">
          <fgColor indexed="64"/>
          <bgColor auto="1"/>
        </patternFill>
      </fill>
      <alignment vertical="bottom"/>
    </dxf>
    <dxf>
      <fill>
        <patternFill patternType="none">
          <fgColor indexed="64"/>
          <bgColor auto="1"/>
        </patternFill>
      </fill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hyperlink" Target="https://www.youtube.com/@PRO3DESIGN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142875</xdr:colOff>
      <xdr:row>41</xdr:row>
      <xdr:rowOff>57150</xdr:rowOff>
    </xdr:from>
    <xdr:to>
      <xdr:col>4</xdr:col>
      <xdr:colOff>600075</xdr:colOff>
      <xdr:row>58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584C77-3CEB-59A1-EB40-D6FEC870B0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5400" y="8639175"/>
          <a:ext cx="4572000" cy="3228975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152400</xdr:colOff>
      <xdr:row>24</xdr:row>
      <xdr:rowOff>38100</xdr:rowOff>
    </xdr:from>
    <xdr:to>
      <xdr:col>4</xdr:col>
      <xdr:colOff>609600</xdr:colOff>
      <xdr:row>41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D0E5A4D-7C15-8700-619F-2824DBB3E5FB}"/>
            </a:ext>
            <a:ext uri="{147F2762-F138-4A5C-976F-8EAC2B608ADB}">
              <a16:predDERef xmlns:a16="http://schemas.microsoft.com/office/drawing/2014/main" pred="{9A584C77-3CEB-59A1-EB40-D6FEC870B0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04925" y="5076825"/>
          <a:ext cx="4572000" cy="32289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542925</xdr:colOff>
      <xdr:row>21</xdr:row>
      <xdr:rowOff>9525</xdr:rowOff>
    </xdr:from>
    <xdr:to>
      <xdr:col>7</xdr:col>
      <xdr:colOff>56925</xdr:colOff>
      <xdr:row>30</xdr:row>
      <xdr:rowOff>95025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903E139-C6F1-F79F-C0A8-8275525FC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38850" y="4200525"/>
          <a:ext cx="1914300" cy="1800000"/>
        </a:xfrm>
        <a:prstGeom prst="rect">
          <a:avLst/>
        </a:prstGeom>
      </xdr:spPr>
    </xdr:pic>
    <xdr:clientData/>
  </xdr:twoCellAnchor>
  <xdr:twoCellAnchor editAs="oneCell">
    <xdr:from>
      <xdr:col>2</xdr:col>
      <xdr:colOff>1000125</xdr:colOff>
      <xdr:row>21</xdr:row>
      <xdr:rowOff>0</xdr:rowOff>
    </xdr:from>
    <xdr:to>
      <xdr:col>5</xdr:col>
      <xdr:colOff>180750</xdr:colOff>
      <xdr:row>30</xdr:row>
      <xdr:rowOff>85500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38694BA-E26F-0177-BB4F-6614CF6F9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76675" y="4191000"/>
          <a:ext cx="1800000" cy="18000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CD1EFC5-D195-41B9-9466-21417203E428}" name="Table3" displayName="Table3" ref="A3:H22" totalsRowShown="0" dataDxfId="79" tableBorderDxfId="78">
  <autoFilter ref="A3:H22" xr:uid="{ECD1EFC5-D195-41B9-9466-21417203E428}"/>
  <tableColumns count="8">
    <tableColumn id="1" xr3:uid="{E61DA832-A81F-4401-B393-0E85951FA2B2}" name="Tube" dataDxfId="77"/>
    <tableColumn id="2" xr3:uid="{8A627559-866C-46DF-AAA8-50AB86B31144}" name="X-Axis Tube Aluminum  20x20x18 " dataDxfId="76"/>
    <tableColumn id="3" xr3:uid="{62ECA868-C7E6-494F-AF61-43513D7E1C70}" name="410" dataDxfId="75"/>
    <tableColumn id="4" xr3:uid="{2952F382-51C9-44A0-A3A9-83B4F7833C87}" name="1" dataDxfId="74"/>
    <tableColumn id="5" xr3:uid="{CF61339B-5CE4-4520-87FA-D71399DE1D6B}" name="12" dataDxfId="73"/>
    <tableColumn id="6" xr3:uid="{1F32FDBA-D933-47CF-9D0F-91B2D88984AD}" name=" $8.00 " dataDxfId="72"/>
    <tableColumn id="7" xr3:uid="{7E86493D-A124-4E80-ABB3-730883207810}" name=" $8.00 3" dataDxfId="71"/>
    <tableColumn id="8" xr3:uid="{EF0FACA3-6530-408E-9D79-44DA70D2C412}" name="1x 20X20X1.5mm 500mm" dataDxfId="7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66F581E-E708-48F5-8382-04E260800B4B}" name="Table4" displayName="Table4" ref="A3:G8" totalsRowShown="0" tableBorderDxfId="69">
  <autoFilter ref="A3:G8" xr:uid="{D66F581E-E708-48F5-8382-04E260800B4B}"/>
  <tableColumns count="7">
    <tableColumn id="1" xr3:uid="{37110CCA-213C-438D-9BE5-ADAAF1898B7A}" name="PCB" dataDxfId="68"/>
    <tableColumn id="2" xr3:uid="{B2A954FC-CCF9-4343-9853-152D8C99418E}" name="LIS3DSH Accelerometer" dataDxfId="67"/>
    <tableColumn id="3" xr3:uid="{0249FDA2-79F7-46B3-9C92-CFDD44E144EB}" name="1" dataDxfId="66"/>
    <tableColumn id="4" xr3:uid="{0A27339D-44FD-4C65-8354-59C16E574BBB}" name="12" dataDxfId="65"/>
    <tableColumn id="5" xr3:uid="{533C7CA9-8CD3-46A8-B089-88F3FFDA64DD}" name=" $8.89 " dataDxfId="64"/>
    <tableColumn id="6" xr3:uid="{6AF16DB0-7975-4412-9CCE-51332B84E5CB}" name=" $8.89 3" dataDxfId="63">
      <calculatedColumnFormula>D4*E4</calculatedColumnFormula>
    </tableColumn>
    <tableColumn id="7" xr3:uid="{67A04467-8A0D-4375-9168-0C6F818C0C57}" name="1x LIS3DSH Accelerometer" dataDxfId="62" dataCellStyle="Hyperlink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4E502DC-0735-4D04-812B-409E56E01CD6}" name="Table6" displayName="Table6" ref="A3:H9" totalsRowShown="0" tableBorderDxfId="61">
  <autoFilter ref="A3:H9" xr:uid="{04E502DC-0735-4D04-812B-409E56E01CD6}"/>
  <tableColumns count="8">
    <tableColumn id="1" xr3:uid="{7ECC1CFC-6456-45FA-8C78-6A769EF22586}" name="Column1" dataDxfId="60"/>
    <tableColumn id="2" xr3:uid="{15077990-2E57-4AFA-A573-80ECF1748D60}" name="Column2" dataDxfId="59"/>
    <tableColumn id="3" xr3:uid="{2E0A6373-B6C4-41D8-BBCF-21469037024A}" name="Column3" dataDxfId="58"/>
    <tableColumn id="4" xr3:uid="{E55EDB4F-500E-41BB-947E-4365C7A7E88A}" name="Column4" dataDxfId="57"/>
    <tableColumn id="5" xr3:uid="{2DF9FA29-C42B-4E51-BF74-3FB4C70CF835}" name="Column5" dataDxfId="56"/>
    <tableColumn id="6" xr3:uid="{BCCAF50A-C90A-4DDD-8D9D-0A975AF7B617}" name="Column6" dataDxfId="55"/>
    <tableColumn id="7" xr3:uid="{BCC9C240-85CB-4EFF-94AE-504622E4E60B}" name="Column7" dataDxfId="54">
      <calculatedColumnFormula>E4*F4</calculatedColumnFormula>
    </tableColumn>
    <tableColumn id="8" xr3:uid="{C682C3D9-5876-4742-BC06-54479771869F}" name="Column8" dataDxfId="5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1FE6AB7-0B1D-4B3E-B37B-3EAB9F9EC1EE}" name="Table7" displayName="Table7" ref="A3:G11" totalsRowShown="0" tableBorderDxfId="52">
  <autoFilter ref="A3:G11" xr:uid="{51FE6AB7-0B1D-4B3E-B37B-3EAB9F9EC1EE}"/>
  <tableColumns count="7">
    <tableColumn id="1" xr3:uid="{08CFCE83-3AD4-423D-901F-713FDFC90FD9}" name="Column1" dataDxfId="51"/>
    <tableColumn id="2" xr3:uid="{B0B25BD3-A529-4403-9132-27655B1EC663}" name="Column2" dataDxfId="50"/>
    <tableColumn id="3" xr3:uid="{EB117778-52A9-4006-93E2-276310FB767B}" name="Column3" dataDxfId="49"/>
    <tableColumn id="4" xr3:uid="{C933FBA1-A326-4C65-87D6-82F7D282531D}" name="Column4" dataDxfId="48"/>
    <tableColumn id="5" xr3:uid="{C7475F0F-267C-4835-8D7B-B732889010B7}" name="Column5" dataDxfId="47"/>
    <tableColumn id="6" xr3:uid="{4DC147CA-BDA9-457E-86E9-E920D55FC025}" name="Column6" dataDxfId="46"/>
    <tableColumn id="7" xr3:uid="{3D001648-12B5-4C30-9FF3-C6F43B03A6E6}" name="Column7" dataDxfId="45" dataCellStyle="Hyperlink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13" displayName="Table13" ref="A1:M124" totalsRowShown="0" headerRowDxfId="44" dataDxfId="43" headerRowBorderDxfId="41" tableBorderDxfId="42">
  <autoFilter ref="A1:M124" xr:uid="{00000000-000C-0000-FFFF-FFFF00000000}"/>
  <sortState xmlns:xlrd2="http://schemas.microsoft.com/office/spreadsheetml/2017/richdata2" ref="A2:L124">
    <sortCondition ref="A1:A124"/>
  </sortState>
  <tableColumns count="13">
    <tableColumn id="3" xr3:uid="{00000000-0010-0000-0000-000003000000}" name="Part Type" dataDxfId="40"/>
    <tableColumn id="4" xr3:uid="{00000000-0010-0000-0000-000004000000}" name="Description" dataDxfId="39"/>
    <tableColumn id="1" xr3:uid="{AD0DAB8B-0243-4556-9452-C30AA53E2636}" name="Cut length" dataDxfId="38" dataCellStyle="Normal 7"/>
    <tableColumn id="7" xr3:uid="{00000000-0010-0000-0000-000007000000}" name="Quantity Required" dataDxfId="37"/>
    <tableColumn id="5" xr3:uid="{C1E0C50A-944E-43A4-8C01-A9959F7C41EB}" name="Pack Order Quantity" dataDxfId="36"/>
    <tableColumn id="8" xr3:uid="{00000000-0010-0000-0000-000008000000}" name="Pack Price $USD" dataDxfId="35"/>
    <tableColumn id="10" xr3:uid="{00000000-0010-0000-0000-00000A000000}" name="Line Price $USD" dataDxfId="34"/>
    <tableColumn id="11" xr3:uid="{00000000-0010-0000-0000-00000B000000}" name="Order Parts Link" dataDxfId="33"/>
    <tableColumn id="12" xr3:uid="{00000000-0010-0000-0000-00000C000000}" name="Supplier" dataDxfId="32"/>
    <tableColumn id="13" xr3:uid="{00000000-0010-0000-0000-00000D000000}" name="DIN" dataDxfId="31"/>
    <tableColumn id="14" xr3:uid="{00000000-0010-0000-0000-00000E000000}" name="ISO" dataDxfId="30"/>
    <tableColumn id="2" xr3:uid="{D4CF0C43-BC35-42AC-876A-EFE593466A5F}" name="new links " dataDxfId="29"/>
    <tableColumn id="6" xr3:uid="{1D586FE2-79AE-4423-937A-3DBF54642B43}" name="Roys Links " dataDxfId="2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A1:H20" totalsRowShown="0" headerRowDxfId="27" dataDxfId="26" tableBorderDxfId="25" headerRowCellStyle="Normal 2">
  <autoFilter ref="A1:H20" xr:uid="{9FCF4A79-156B-41FF-A555-9328C94776F1}"/>
  <sortState xmlns:xlrd2="http://schemas.microsoft.com/office/spreadsheetml/2017/richdata2" ref="A2:F19">
    <sortCondition ref="A1:A19"/>
  </sortState>
  <tableColumns count="8">
    <tableColumn id="1" xr3:uid="{12342F44-8220-45C2-AC30-328741D516AB}" name="Part name" dataDxfId="24"/>
    <tableColumn id="2" xr3:uid="{59176566-F320-409F-9AA9-17486015A49A}" name="BOM Quantity" dataDxfId="23"/>
    <tableColumn id="3" xr3:uid="{2385B826-F8C8-4362-89A6-95A38D685D6B}" name="Description" dataDxfId="22"/>
    <tableColumn id="4" xr3:uid="{0FBBE615-D864-4E30-B741-3BE35C30458E}" name="Cut length" dataDxfId="21" dataCellStyle="Normal 8"/>
    <tableColumn id="5" xr3:uid="{02F92F38-2A3F-4D3F-A7DB-3861ECEB76D6}" name="Pack Quantity" dataDxfId="20" dataCellStyle="Normal 8"/>
    <tableColumn id="6" xr3:uid="{CCC7B1CB-77FB-4FB8-8D31-F5E969E2025F}" name="Part Link" dataDxfId="19" dataCellStyle="Neutral"/>
    <tableColumn id="7" xr3:uid="{CBBE6613-1EF7-48DE-A683-679DDF7C6E08}" name="Unit Price" dataDxfId="18"/>
    <tableColumn id="8" xr3:uid="{0F4742D5-CDC2-4577-9AC4-D4B3F863EB74}" name="Line Price" dataDxfId="17">
      <calculatedColumnFormula>Table112[[#This Row],[Unit Price]]*Table112[[#This Row],[Pack Quantity]]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A1:G39" totalsRowShown="0" headerRowDxfId="16" headerRowCellStyle="Normal 2" dataCellStyle="Normal 2">
  <autoFilter ref="A1:G39" xr:uid="{BAD2131D-41B2-42EA-A67B-FBB781AD12E7}"/>
  <sortState xmlns:xlrd2="http://schemas.microsoft.com/office/spreadsheetml/2017/richdata2" ref="A2:D39">
    <sortCondition ref="A1:A39"/>
  </sortState>
  <tableColumns count="7">
    <tableColumn id="1" xr3:uid="{C5533925-B810-4F05-9221-5D5DC08A3846}" name="Part name" dataCellStyle="Normal 2"/>
    <tableColumn id="2" xr3:uid="{684CEE11-8A68-45FD-871F-FFCFA808FEBD}" name="BOM Quantity" dataDxfId="15" dataCellStyle="Normal 2"/>
    <tableColumn id="3" xr3:uid="{AF8F5093-3E95-494A-AA81-FE8086D1C62A}" name="Pack Order Quantity" dataDxfId="14" dataCellStyle="Normal 2"/>
    <tableColumn id="4" xr3:uid="{E9FF35DD-5C19-4CD6-B2A5-9BA584311B2C}" name="Order Link" dataCellStyle="Normal 2"/>
    <tableColumn id="5" xr3:uid="{DD62AE93-D1EA-406B-BE34-498513F89240}" name="Unit Price" dataDxfId="13" dataCellStyle="Normal 2"/>
    <tableColumn id="7" xr3:uid="{0530DCF4-5831-4BCD-8399-FAE593B06715}" name="Shipping" dataDxfId="12" dataCellStyle="Normal 2"/>
    <tableColumn id="6" xr3:uid="{413E5EC7-3A68-44D0-97E2-BD69DF60ABF5}" name="Line Price" dataDxfId="11" dataCellStyle="Normal 2">
      <calculatedColumnFormula>Table9[[#This Row],[Unit Price]]*Table9[[#This Row],[Pack Order Quantity]]+Table9[[#This Row],[Shipping]]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F057A1-365A-4E69-A56F-E02C3A633298}" name="Table8" displayName="Table8" ref="B1:J22" totalsRowShown="0" headerRowCellStyle="Normal 7" dataCellStyle="Normal 7">
  <autoFilter ref="B1:J22" xr:uid="{44DEE239-FAF9-47D0-BC13-1FD55AB9441B}"/>
  <sortState xmlns:xlrd2="http://schemas.microsoft.com/office/spreadsheetml/2017/richdata2" ref="B2:J22">
    <sortCondition ref="B1:B22"/>
  </sortState>
  <tableColumns count="9">
    <tableColumn id="1" xr3:uid="{96FF612C-0C73-459D-9C54-61C53427E71F}" name="Part name" dataCellStyle="Normal 7"/>
    <tableColumn id="2" xr3:uid="{16B58CD3-B744-4098-8FC1-25B160C8098A}" name="Quantity" dataDxfId="10" dataCellStyle="Normal 7"/>
    <tableColumn id="3" xr3:uid="{999AF31A-9FB9-4D7F-80E9-4027DF46139C}" name="Description" dataCellStyle="Normal 7"/>
    <tableColumn id="4" xr3:uid="{44521321-1BE0-47CE-B08F-014CBA351B13}" name="Column1" dataCellStyle="Normal 7"/>
    <tableColumn id="6" xr3:uid="{9ED1F15E-6A58-42C5-8256-B79B44111EDC}" name="Column3" dataCellStyle="Normal 7"/>
    <tableColumn id="5" xr3:uid="{21EE5CAB-8092-41D0-81E1-8914FEDE5312}" name="Column32" dataDxfId="9" dataCellStyle="Normal 7"/>
    <tableColumn id="7" xr3:uid="{23049F6F-8FF6-4243-BF25-3D3F77A5E0C4}" name="Column4" dataCellStyle="Normal 7"/>
    <tableColumn id="8" xr3:uid="{B65C160E-5AD3-487D-9649-F3CC41969C91}" name="Column5" dataCellStyle="Normal 7"/>
    <tableColumn id="9" xr3:uid="{51955945-C0FF-45A3-8237-2E01D223D73C}" name="Column6" dataCellStyle="Normal 7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81B74A-1F1A-44A3-81E3-02AF9D9A1F4A}" name="Table16" displayName="Table16" ref="A1:H45" totalsRowShown="0" headerRowDxfId="8" headerRowCellStyle="Normal 2">
  <autoFilter ref="A1:H45" xr:uid="{431B0CC2-A773-49E3-9113-E7CE1E829465}"/>
  <sortState xmlns:xlrd2="http://schemas.microsoft.com/office/spreadsheetml/2017/richdata2" ref="A2:D45">
    <sortCondition ref="A1:A45"/>
  </sortState>
  <tableColumns count="8">
    <tableColumn id="1" xr3:uid="{6C356CB2-919D-49DD-937E-9742E99B0B56}" name="Part name"/>
    <tableColumn id="2" xr3:uid="{BDD0CD92-6C2A-46CD-B7DE-865E7BF920D4}" name="BOM Quantity"/>
    <tableColumn id="4" xr3:uid="{99151A40-D833-4773-9652-F9B9F2F405EB}" name="Pack Order Quantity" dataCellStyle="Normal 9"/>
    <tableColumn id="5" xr3:uid="{BBC5421D-E66F-4311-B31D-585F5AB49DBA}" name="Order Link" dataCellStyle="Normal 9"/>
    <tableColumn id="8" xr3:uid="{3F89A887-5B40-400C-B3B4-5983106D5681}" name="Unit Price" dataDxfId="7" dataCellStyle="Normal 9"/>
    <tableColumn id="7" xr3:uid="{5694ADC6-773B-4AB8-8DA4-AE19C193CCCC}" name="Shipping" dataDxfId="6" dataCellStyle="Normal 9"/>
    <tableColumn id="6" xr3:uid="{DF3CD3C6-120D-4FFA-ABDE-4694EC04E4FC}" name="Line Price" dataDxfId="5" dataCellStyle="Normal 9">
      <calculatedColumnFormula>Table16[[#This Row],[Unit Price]]*Table16[[#This Row],[Pack Order Quantity]]</calculatedColumnFormula>
    </tableColumn>
    <tableColumn id="3" xr3:uid="{FE4A6E82-1603-4B1E-BB77-19EDA1109AE9}" name="Description" dataDxfId="4" dataCellStyle="Normal 9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E9034FA-446E-4EFE-927F-D2363B651A79}" name="Table114" displayName="Table114" ref="A1:D70" totalsRowShown="0">
  <autoFilter ref="A1:D70" xr:uid="{CE9034FA-446E-4EFE-927F-D2363B651A79}"/>
  <sortState xmlns:xlrd2="http://schemas.microsoft.com/office/spreadsheetml/2017/richdata2" ref="A2:D70">
    <sortCondition ref="A1:A70"/>
  </sortState>
  <tableColumns count="4">
    <tableColumn id="1" xr3:uid="{940720FE-7E06-4CD1-9A94-C3BA93F9D697}" name="Part name"/>
    <tableColumn id="2" xr3:uid="{61893DB7-6C61-4238-A6A1-FBCF33464EB0}" name="Quantity" dataDxfId="3"/>
    <tableColumn id="3" xr3:uid="{0EDD1E80-D31B-482B-8E9C-C236B2E8C607}" name="Description"/>
    <tableColumn id="4" xr3:uid="{19236B81-8168-4C7A-BB15-0A4CF36ED864}" name="Column1" dataDxfId="2" dataCellStyle="Normal 4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25879BC-0EB8-4E93-A900-00CE3F226CA8}" name="Table10" displayName="Table10" ref="A1:F51" totalsRowShown="0" headerRowCellStyle="Normal 5" dataCellStyle="Normal 5">
  <autoFilter ref="A1:F51" xr:uid="{E25879BC-0EB8-4E93-A900-00CE3F226CA8}"/>
  <sortState xmlns:xlrd2="http://schemas.microsoft.com/office/spreadsheetml/2017/richdata2" ref="A2:F51">
    <sortCondition ref="A1:A51"/>
  </sortState>
  <tableColumns count="6">
    <tableColumn id="1" xr3:uid="{ECE460E0-8396-44E4-8153-EDDED0BC32A4}" name="Part name" dataCellStyle="Normal 5"/>
    <tableColumn id="2" xr3:uid="{6BB97C82-D10C-48A7-B111-7B2F2B6ACE4F}" name="Quantity" dataDxfId="1" dataCellStyle="Normal 5"/>
    <tableColumn id="3" xr3:uid="{515B23EA-A0B4-4494-B8D5-CBAEF1C13805}" name="Description" dataCellStyle="Normal 5"/>
    <tableColumn id="4" xr3:uid="{91E1BB18-D0D2-4D60-8494-07F5C09EA186}" name="Column1" dataCellStyle="Normal 5"/>
    <tableColumn id="5" xr3:uid="{38A3AEB4-43C3-4672-8365-C833B829588E}" name="Column2" dataCellStyle="Normal 5"/>
    <tableColumn id="6" xr3:uid="{C4FF2AAB-2C22-4C26-AB9F-35714EBA7466}" name="Column3" dataCellStyle="Normal 5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88F27C8-8BCF-4632-A43F-08868975AB27}" name="Table115" displayName="Table115" ref="A1:D18" totalsRowShown="0">
  <autoFilter ref="A1:D18" xr:uid="{14ED015C-A310-4445-B5F2-369224429255}"/>
  <sortState xmlns:xlrd2="http://schemas.microsoft.com/office/spreadsheetml/2017/richdata2" ref="A2:D18">
    <sortCondition ref="A2:A18"/>
  </sortState>
  <tableColumns count="4">
    <tableColumn id="1" xr3:uid="{400C5543-72BF-4970-8EC6-70A52F329698}" name="Part name"/>
    <tableColumn id="2" xr3:uid="{CB07962A-A2F5-4AA8-A30B-F5833FF86D2A}" name="Quantity" dataDxfId="0"/>
    <tableColumn id="3" xr3:uid="{0EE1E340-2770-42AA-9996-DBC155AAFB24}" name="Description"/>
    <tableColumn id="4" xr3:uid="{68279450-8469-4A9A-9305-57CB11E973E8}" name="Column1" dataCellStyle="Normal 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AM7dI0" TargetMode="External"/><Relationship Id="rId13" Type="http://schemas.openxmlformats.org/officeDocument/2006/relationships/hyperlink" Target="https://s.click.aliexpress.com/e/_9QsTsb" TargetMode="External"/><Relationship Id="rId3" Type="http://schemas.openxmlformats.org/officeDocument/2006/relationships/hyperlink" Target="https://s.click.aliexpress.com/e/_9gG5gi" TargetMode="External"/><Relationship Id="rId7" Type="http://schemas.openxmlformats.org/officeDocument/2006/relationships/hyperlink" Target="https://s.click.aliexpress.com/e/_ALKIWP" TargetMode="External"/><Relationship Id="rId12" Type="http://schemas.openxmlformats.org/officeDocument/2006/relationships/hyperlink" Target="https://s.click.aliexpress.com/e/_ArYZR8" TargetMode="External"/><Relationship Id="rId2" Type="http://schemas.openxmlformats.org/officeDocument/2006/relationships/hyperlink" Target="https://s.click.aliexpress.com/e/_ABtzv6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s.click.aliexpress.com/e/_DeExHOR" TargetMode="External"/><Relationship Id="rId6" Type="http://schemas.openxmlformats.org/officeDocument/2006/relationships/hyperlink" Target="https://s.click.aliexpress.com/e/_c44ByfKL" TargetMode="External"/><Relationship Id="rId11" Type="http://schemas.openxmlformats.org/officeDocument/2006/relationships/hyperlink" Target="https://makersupplies.dk/en/aluminum-sheet/921-aluminum-sheet-8mm-cnc-milled-cast-aluminum-sheet-custom-cut.html" TargetMode="External"/><Relationship Id="rId5" Type="http://schemas.openxmlformats.org/officeDocument/2006/relationships/hyperlink" Target="https://s.click.aliexpress.com/e/_A6Q066" TargetMode="External"/><Relationship Id="rId15" Type="http://schemas.openxmlformats.org/officeDocument/2006/relationships/drawing" Target="../drawings/drawing1.xml"/><Relationship Id="rId10" Type="http://schemas.openxmlformats.org/officeDocument/2006/relationships/hyperlink" Target="https://www.aliexpress.com/item/1005005970231547.html" TargetMode="External"/><Relationship Id="rId4" Type="http://schemas.openxmlformats.org/officeDocument/2006/relationships/hyperlink" Target="https://s.click.aliexpress.com/e/_9gG5gi" TargetMode="External"/><Relationship Id="rId9" Type="http://schemas.openxmlformats.org/officeDocument/2006/relationships/hyperlink" Target="https://s.click.aliexpress.com/e/_AM7dI0" TargetMode="External"/><Relationship Id="rId14" Type="http://schemas.openxmlformats.org/officeDocument/2006/relationships/hyperlink" Target="https://s.click.aliexpress.com/e/_AM7dI0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s.click.aliexpress.com/e/_APFI3d" TargetMode="External"/><Relationship Id="rId7" Type="http://schemas.openxmlformats.org/officeDocument/2006/relationships/table" Target="../tables/table2.xml"/><Relationship Id="rId2" Type="http://schemas.openxmlformats.org/officeDocument/2006/relationships/hyperlink" Target="https://s.click.aliexpress.com/e/_9JVfyZ" TargetMode="External"/><Relationship Id="rId1" Type="http://schemas.openxmlformats.org/officeDocument/2006/relationships/hyperlink" Target="https://s.click.aliexpress.com/e/_DeyySPD" TargetMode="External"/><Relationship Id="rId6" Type="http://schemas.openxmlformats.org/officeDocument/2006/relationships/hyperlink" Target="https://s.click.aliexpress.com/e/_DnmpysP" TargetMode="External"/><Relationship Id="rId5" Type="http://schemas.openxmlformats.org/officeDocument/2006/relationships/hyperlink" Target="https://s.click.aliexpress.com/e/_DnmpysP" TargetMode="External"/><Relationship Id="rId4" Type="http://schemas.openxmlformats.org/officeDocument/2006/relationships/hyperlink" Target="https://s.click.aliexpress.com/e/_DBlHYSn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.xml"/><Relationship Id="rId3" Type="http://schemas.openxmlformats.org/officeDocument/2006/relationships/hyperlink" Target="https://s.click.aliexpress.com/e/_AoRWc1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https://s.click.aliexpress.com/e/_AX4lXw" TargetMode="External"/><Relationship Id="rId1" Type="http://schemas.openxmlformats.org/officeDocument/2006/relationships/hyperlink" Target="https://s.click.aliexpress.com/e/_DFJ8Ee7" TargetMode="External"/><Relationship Id="rId6" Type="http://schemas.openxmlformats.org/officeDocument/2006/relationships/hyperlink" Target="https://s.click.aliexpress.com/e/_DCq8m63" TargetMode="External"/><Relationship Id="rId5" Type="http://schemas.openxmlformats.org/officeDocument/2006/relationships/hyperlink" Target="https://s.click.aliexpress.com/e/_9v6vDi" TargetMode="External"/><Relationship Id="rId4" Type="http://schemas.openxmlformats.org/officeDocument/2006/relationships/hyperlink" Target="https://s.click.aliexpress.com/e/_AnVtSN" TargetMode="External"/><Relationship Id="rId9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.xml"/><Relationship Id="rId3" Type="http://schemas.openxmlformats.org/officeDocument/2006/relationships/hyperlink" Target="https://www.aliexpress.com/item/32885492280.html" TargetMode="External"/><Relationship Id="rId7" Type="http://schemas.openxmlformats.org/officeDocument/2006/relationships/hyperlink" Target="https://s.click.aliexpress.com/e/_DlWkD9l" TargetMode="External"/><Relationship Id="rId2" Type="http://schemas.openxmlformats.org/officeDocument/2006/relationships/hyperlink" Target="https://www.aliexpress.com/item/1005003758412972.html" TargetMode="External"/><Relationship Id="rId1" Type="http://schemas.openxmlformats.org/officeDocument/2006/relationships/hyperlink" Target="https://s.click.aliexpress.com/e/_9gb4OH" TargetMode="External"/><Relationship Id="rId6" Type="http://schemas.openxmlformats.org/officeDocument/2006/relationships/hyperlink" Target="https://s.click.aliexpress.com/e/_DmMW6hH" TargetMode="External"/><Relationship Id="rId5" Type="http://schemas.openxmlformats.org/officeDocument/2006/relationships/hyperlink" Target="https://www.aliexpress.com/item/4000071762309.html?spm=a2g0o.store_pc_allProduct.8148356.15.1894c53dn19kw8&amp;pdp_npi=2%40dis%21USD%21US%20%241.48%21US%20%241.26%21%21%21%21%21%402100bde116564933129322644e26f5%2112000029019588359%21sh" TargetMode="External"/><Relationship Id="rId4" Type="http://schemas.openxmlformats.org/officeDocument/2006/relationships/hyperlink" Target="https://www.aliexpress.com/item/4000071762309.html?spm=a2g0o.store_pc_allProduct.8148356.15.1894c53dn19kw8&amp;pdp_npi=2%40dis%21USD%21US%20%241.48%21US%20%241.26%21%21%21%21%21%402100bde116564933129322644e26f5%2112000029019588359%21sh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liexpress.com/item/1005010051321048.html" TargetMode="External"/><Relationship Id="rId21" Type="http://schemas.openxmlformats.org/officeDocument/2006/relationships/hyperlink" Target="https://www.aliexpress.com/item/1005002275589280.html" TargetMode="External"/><Relationship Id="rId42" Type="http://schemas.openxmlformats.org/officeDocument/2006/relationships/hyperlink" Target="https://www.aliexpress.com/item/1005005932015800.html" TargetMode="External"/><Relationship Id="rId47" Type="http://schemas.openxmlformats.org/officeDocument/2006/relationships/hyperlink" Target="https://www.aliexpress.com/item/1005003712392580.html" TargetMode="External"/><Relationship Id="rId63" Type="http://schemas.openxmlformats.org/officeDocument/2006/relationships/hyperlink" Target="https://www.aliexpress.com/item/1005002408962081.html" TargetMode="External"/><Relationship Id="rId68" Type="http://schemas.openxmlformats.org/officeDocument/2006/relationships/hyperlink" Target="https://www.aliexpress.com/item/1005006662945699.html" TargetMode="External"/><Relationship Id="rId16" Type="http://schemas.openxmlformats.org/officeDocument/2006/relationships/hyperlink" Target="https://www.aliexpress.com/item/1005002275589280.html" TargetMode="External"/><Relationship Id="rId11" Type="http://schemas.openxmlformats.org/officeDocument/2006/relationships/hyperlink" Target="https://www.aliexpress.com/item/1005001966426139.html" TargetMode="External"/><Relationship Id="rId24" Type="http://schemas.openxmlformats.org/officeDocument/2006/relationships/hyperlink" Target="https://www.aliexpress.com/item/1005010042779749.html" TargetMode="External"/><Relationship Id="rId32" Type="http://schemas.openxmlformats.org/officeDocument/2006/relationships/hyperlink" Target="https://www.aliexpress.com/store/5715012" TargetMode="External"/><Relationship Id="rId37" Type="http://schemas.openxmlformats.org/officeDocument/2006/relationships/hyperlink" Target="https://www.aliexpress.com/item/1005009065865687.html" TargetMode="External"/><Relationship Id="rId40" Type="http://schemas.openxmlformats.org/officeDocument/2006/relationships/hyperlink" Target="https://www.aliexpress.com/item/1005006820897849.html" TargetMode="External"/><Relationship Id="rId45" Type="http://schemas.openxmlformats.org/officeDocument/2006/relationships/hyperlink" Target="https://www.aliexpress.com/item/1005002270744409.html" TargetMode="External"/><Relationship Id="rId53" Type="http://schemas.openxmlformats.org/officeDocument/2006/relationships/hyperlink" Target="https://www.aliexpress.com/item/1005002337028166.html" TargetMode="External"/><Relationship Id="rId58" Type="http://schemas.openxmlformats.org/officeDocument/2006/relationships/hyperlink" Target="https://www.aliexpress.com/item/1005002337028166.html" TargetMode="External"/><Relationship Id="rId66" Type="http://schemas.openxmlformats.org/officeDocument/2006/relationships/hyperlink" Target="https://www.aliexpress.com/item/1005002275589280.html" TargetMode="External"/><Relationship Id="rId74" Type="http://schemas.openxmlformats.org/officeDocument/2006/relationships/hyperlink" Target="https://www.aliexpress.com/item/1005008810621364.html" TargetMode="External"/><Relationship Id="rId5" Type="http://schemas.openxmlformats.org/officeDocument/2006/relationships/hyperlink" Target="https://s.click.aliexpress.com/e/_c3L3d1ir" TargetMode="External"/><Relationship Id="rId61" Type="http://schemas.openxmlformats.org/officeDocument/2006/relationships/hyperlink" Target="https://www.aliexpress.com/item/1005002408962081.html" TargetMode="External"/><Relationship Id="rId19" Type="http://schemas.openxmlformats.org/officeDocument/2006/relationships/hyperlink" Target="https://www.aliexpress.com/item/1005004662051929.html" TargetMode="External"/><Relationship Id="rId14" Type="http://schemas.openxmlformats.org/officeDocument/2006/relationships/hyperlink" Target="https://www.aliexpress.com/item/1005001975621423.html" TargetMode="External"/><Relationship Id="rId22" Type="http://schemas.openxmlformats.org/officeDocument/2006/relationships/hyperlink" Target="https://www.aliexpress.com/item/1005002275589280.html" TargetMode="External"/><Relationship Id="rId27" Type="http://schemas.openxmlformats.org/officeDocument/2006/relationships/hyperlink" Target="https://www.aliexpress.com/item/1005008040980034.html" TargetMode="External"/><Relationship Id="rId30" Type="http://schemas.openxmlformats.org/officeDocument/2006/relationships/hyperlink" Target="https://www.aliexpress.com/item/1005004802215831.html" TargetMode="External"/><Relationship Id="rId35" Type="http://schemas.openxmlformats.org/officeDocument/2006/relationships/hyperlink" Target="https://www.aliexpress.com/item/1005009280390671.html" TargetMode="External"/><Relationship Id="rId43" Type="http://schemas.openxmlformats.org/officeDocument/2006/relationships/hyperlink" Target="https://www.aliexpress.com/item/1005003712392580.html" TargetMode="External"/><Relationship Id="rId48" Type="http://schemas.openxmlformats.org/officeDocument/2006/relationships/hyperlink" Target="https://www.aliexpress.com/item/1005007991700488.html" TargetMode="External"/><Relationship Id="rId56" Type="http://schemas.openxmlformats.org/officeDocument/2006/relationships/hyperlink" Target="https://www.aliexpress.com/item/1005007991700488.html" TargetMode="External"/><Relationship Id="rId64" Type="http://schemas.openxmlformats.org/officeDocument/2006/relationships/hyperlink" Target="https://www.aliexpress.com/item/1005002408962081.html" TargetMode="External"/><Relationship Id="rId69" Type="http://schemas.openxmlformats.org/officeDocument/2006/relationships/hyperlink" Target="https://www.aliexpress.com/item/1005006662945699.html" TargetMode="External"/><Relationship Id="rId77" Type="http://schemas.openxmlformats.org/officeDocument/2006/relationships/printerSettings" Target="../printerSettings/printerSettings1.bin"/><Relationship Id="rId8" Type="http://schemas.openxmlformats.org/officeDocument/2006/relationships/hyperlink" Target="https://www.aliexpress.com/item/1005009594847685.html" TargetMode="External"/><Relationship Id="rId51" Type="http://schemas.openxmlformats.org/officeDocument/2006/relationships/hyperlink" Target="https://www.aliexpress.com/item/1005002270744409.html" TargetMode="External"/><Relationship Id="rId72" Type="http://schemas.openxmlformats.org/officeDocument/2006/relationships/hyperlink" Target="https://www.aliexpress.com/item/1005007050116319.html" TargetMode="External"/><Relationship Id="rId3" Type="http://schemas.openxmlformats.org/officeDocument/2006/relationships/hyperlink" Target="https://s.click.aliexpress.com/e/_AZ42Hh" TargetMode="External"/><Relationship Id="rId12" Type="http://schemas.openxmlformats.org/officeDocument/2006/relationships/hyperlink" Target="https://www.aliexpress.com/item/1005002027895577.html" TargetMode="External"/><Relationship Id="rId17" Type="http://schemas.openxmlformats.org/officeDocument/2006/relationships/hyperlink" Target="https://www.aliexpress.com/item/1005002337028166.html" TargetMode="External"/><Relationship Id="rId25" Type="http://schemas.openxmlformats.org/officeDocument/2006/relationships/hyperlink" Target="https://www.aliexpress.com/item/1005010042779749.html" TargetMode="External"/><Relationship Id="rId33" Type="http://schemas.openxmlformats.org/officeDocument/2006/relationships/hyperlink" Target="https://www.aliexpress.com/item/1005002337028166.html" TargetMode="External"/><Relationship Id="rId38" Type="http://schemas.openxmlformats.org/officeDocument/2006/relationships/hyperlink" Target="https://www.aliexpress.com/item/1005003518289238.html" TargetMode="External"/><Relationship Id="rId46" Type="http://schemas.openxmlformats.org/officeDocument/2006/relationships/hyperlink" Target="https://www.aliexpress.com/item/1005002337028166.html" TargetMode="External"/><Relationship Id="rId59" Type="http://schemas.openxmlformats.org/officeDocument/2006/relationships/hyperlink" Target="https://www.aliexpress.com/item/1005003712392580.html" TargetMode="External"/><Relationship Id="rId67" Type="http://schemas.openxmlformats.org/officeDocument/2006/relationships/hyperlink" Target="https://www.aliexpress.com/item/1005004518673001.html" TargetMode="External"/><Relationship Id="rId20" Type="http://schemas.openxmlformats.org/officeDocument/2006/relationships/hyperlink" Target="https://www.aliexpress.com/item/1005004737775535.html" TargetMode="External"/><Relationship Id="rId41" Type="http://schemas.openxmlformats.org/officeDocument/2006/relationships/hyperlink" Target="https://www.aliexpress.com/item/1005009358733460.html" TargetMode="External"/><Relationship Id="rId54" Type="http://schemas.openxmlformats.org/officeDocument/2006/relationships/hyperlink" Target="https://www.aliexpress.com/item/1005002408962081.html" TargetMode="External"/><Relationship Id="rId62" Type="http://schemas.openxmlformats.org/officeDocument/2006/relationships/hyperlink" Target="https://www.aliexpress.com/item/1005002275589280.html" TargetMode="External"/><Relationship Id="rId70" Type="http://schemas.openxmlformats.org/officeDocument/2006/relationships/hyperlink" Target="https://www.aliexpress.com/item/1005006662945699.html" TargetMode="External"/><Relationship Id="rId75" Type="http://schemas.openxmlformats.org/officeDocument/2006/relationships/hyperlink" Target="https://www.aliexpress.com/item/1005003339030118.html" TargetMode="External"/><Relationship Id="rId1" Type="http://schemas.openxmlformats.org/officeDocument/2006/relationships/hyperlink" Target="https://s.click.aliexpress.com/e/_9Gy22J" TargetMode="External"/><Relationship Id="rId6" Type="http://schemas.openxmlformats.org/officeDocument/2006/relationships/hyperlink" Target="https://www.aliexpress.com/item/1005002307826257.html" TargetMode="External"/><Relationship Id="rId15" Type="http://schemas.openxmlformats.org/officeDocument/2006/relationships/hyperlink" Target="https://www.aliexpress.com/item/1005002275589280.html" TargetMode="External"/><Relationship Id="rId23" Type="http://schemas.openxmlformats.org/officeDocument/2006/relationships/hyperlink" Target="https://www.aliexpress.com/item/1005010042779749.html" TargetMode="External"/><Relationship Id="rId28" Type="http://schemas.openxmlformats.org/officeDocument/2006/relationships/hyperlink" Target="https://www.aliexpress.com/item/1005002938730762.html" TargetMode="External"/><Relationship Id="rId36" Type="http://schemas.openxmlformats.org/officeDocument/2006/relationships/hyperlink" Target="https://www.aliexpress.com/item/1005008537901204.html" TargetMode="External"/><Relationship Id="rId49" Type="http://schemas.openxmlformats.org/officeDocument/2006/relationships/hyperlink" Target="https://www.aliexpress.com/item/1005002270744409.html" TargetMode="External"/><Relationship Id="rId57" Type="http://schemas.openxmlformats.org/officeDocument/2006/relationships/hyperlink" Target="https://www.aliexpress.com/item/1005002270744409.html" TargetMode="External"/><Relationship Id="rId10" Type="http://schemas.openxmlformats.org/officeDocument/2006/relationships/hyperlink" Target="https://www.aliexpress.com/item/1005008146846938.html" TargetMode="External"/><Relationship Id="rId31" Type="http://schemas.openxmlformats.org/officeDocument/2006/relationships/hyperlink" Target="https://www.aliexpress.com/item/1005004662051929.html" TargetMode="External"/><Relationship Id="rId44" Type="http://schemas.openxmlformats.org/officeDocument/2006/relationships/hyperlink" Target="https://www.aliexpress.com/item/1005002938730762.html" TargetMode="External"/><Relationship Id="rId52" Type="http://schemas.openxmlformats.org/officeDocument/2006/relationships/hyperlink" Target="https://www.aliexpress.com/item/1005002270744409.html" TargetMode="External"/><Relationship Id="rId60" Type="http://schemas.openxmlformats.org/officeDocument/2006/relationships/hyperlink" Target="https://www.aliexpress.com/item/1005002275589280.html" TargetMode="External"/><Relationship Id="rId65" Type="http://schemas.openxmlformats.org/officeDocument/2006/relationships/hyperlink" Target="https://www.aliexpress.com/item/1005002408962081.html" TargetMode="External"/><Relationship Id="rId73" Type="http://schemas.openxmlformats.org/officeDocument/2006/relationships/hyperlink" Target="https://www.aliexpress.com/item/1005007050116319.html" TargetMode="External"/><Relationship Id="rId78" Type="http://schemas.openxmlformats.org/officeDocument/2006/relationships/table" Target="../tables/table5.xml"/><Relationship Id="rId4" Type="http://schemas.openxmlformats.org/officeDocument/2006/relationships/hyperlink" Target="https://s.click.aliexpress.com/e/_9gB9LL" TargetMode="External"/><Relationship Id="rId9" Type="http://schemas.openxmlformats.org/officeDocument/2006/relationships/hyperlink" Target="https://www.aliexpress.com/item/1005009594847685.html" TargetMode="External"/><Relationship Id="rId13" Type="http://schemas.openxmlformats.org/officeDocument/2006/relationships/hyperlink" Target="https://www.aliexpress.com/item/1005002938730762.html" TargetMode="External"/><Relationship Id="rId18" Type="http://schemas.openxmlformats.org/officeDocument/2006/relationships/hyperlink" Target="https://www.aliexpress.com/item/1005002337028166.html" TargetMode="External"/><Relationship Id="rId39" Type="http://schemas.openxmlformats.org/officeDocument/2006/relationships/hyperlink" Target="https://www.aliexpress.com/item/1005007142578986.html" TargetMode="External"/><Relationship Id="rId34" Type="http://schemas.openxmlformats.org/officeDocument/2006/relationships/hyperlink" Target="https://www.aliexpress.com/item/1005002938730762.html" TargetMode="External"/><Relationship Id="rId50" Type="http://schemas.openxmlformats.org/officeDocument/2006/relationships/hyperlink" Target="https://www.aliexpress.com/item/1005002337028166.html" TargetMode="External"/><Relationship Id="rId55" Type="http://schemas.openxmlformats.org/officeDocument/2006/relationships/hyperlink" Target="https://www.aliexpress.com/item/1005002275589280.html" TargetMode="External"/><Relationship Id="rId76" Type="http://schemas.openxmlformats.org/officeDocument/2006/relationships/hyperlink" Target="https://www.aliexpress.com/item/1005009524345697.html" TargetMode="External"/><Relationship Id="rId7" Type="http://schemas.openxmlformats.org/officeDocument/2006/relationships/hyperlink" Target="https://www.aliexpress.com/item/1005007783703537.html" TargetMode="External"/><Relationship Id="rId71" Type="http://schemas.openxmlformats.org/officeDocument/2006/relationships/hyperlink" Target="https://www.aliexpress.com/item/1005006662945699.html" TargetMode="External"/><Relationship Id="rId2" Type="http://schemas.openxmlformats.org/officeDocument/2006/relationships/hyperlink" Target="https://s.click.aliexpress.com/e/_Dmf08Nh" TargetMode="External"/><Relationship Id="rId29" Type="http://schemas.openxmlformats.org/officeDocument/2006/relationships/hyperlink" Target="https://www.aliexpress.com/item/4001085251691.html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rtJlUD" TargetMode="External"/><Relationship Id="rId13" Type="http://schemas.openxmlformats.org/officeDocument/2006/relationships/drawing" Target="../drawings/drawing2.xml"/><Relationship Id="rId3" Type="http://schemas.openxmlformats.org/officeDocument/2006/relationships/hyperlink" Target="https://s.click.aliexpress.com/e/_c4E1qB2Z" TargetMode="External"/><Relationship Id="rId7" Type="http://schemas.openxmlformats.org/officeDocument/2006/relationships/hyperlink" Target="https://s.click.aliexpress.com/e/_c4rtJlUD" TargetMode="External"/><Relationship Id="rId12" Type="http://schemas.openxmlformats.org/officeDocument/2006/relationships/printerSettings" Target="../printerSettings/printerSettings2.bin"/><Relationship Id="rId2" Type="http://schemas.openxmlformats.org/officeDocument/2006/relationships/hyperlink" Target="https://s.click.aliexpress.com/e/_c4rtJlUD" TargetMode="External"/><Relationship Id="rId1" Type="http://schemas.openxmlformats.org/officeDocument/2006/relationships/hyperlink" Target="https://s.click.aliexpress.com/e/_c4rtJlUD" TargetMode="External"/><Relationship Id="rId6" Type="http://schemas.openxmlformats.org/officeDocument/2006/relationships/hyperlink" Target="https://s.click.aliexpress.com/e/_c4rtJlUD" TargetMode="External"/><Relationship Id="rId1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hyperlink" Target="https://s.click.aliexpress.com/e/_c4rtJlUD" TargetMode="External"/><Relationship Id="rId10" Type="http://schemas.openxmlformats.org/officeDocument/2006/relationships/hyperlink" Target="https://www.patreon.com/pro3d" TargetMode="External"/><Relationship Id="rId4" Type="http://schemas.openxmlformats.org/officeDocument/2006/relationships/hyperlink" Target="https://s.click.aliexpress.com/e/_c2wZSX8N" TargetMode="External"/><Relationship Id="rId9" Type="http://schemas.openxmlformats.org/officeDocument/2006/relationships/hyperlink" Target="https://ko-fi.com/pro3d" TargetMode="External"/><Relationship Id="rId1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s.click.aliexpress.com/e/_c3DzwoAD" TargetMode="External"/><Relationship Id="rId2" Type="http://schemas.openxmlformats.org/officeDocument/2006/relationships/hyperlink" Target="https://s.click.aliexpress.com/e/_c3WYOqRb" TargetMode="External"/><Relationship Id="rId1" Type="http://schemas.openxmlformats.org/officeDocument/2006/relationships/hyperlink" Target="https://s.click.aliexpress.com/e/_c3WYOqRb" TargetMode="External"/><Relationship Id="rId4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item/1005004966101573.html" TargetMode="External"/><Relationship Id="rId13" Type="http://schemas.openxmlformats.org/officeDocument/2006/relationships/hyperlink" Target="https://www.aliexpress.com/item/1005005110181643.html" TargetMode="External"/><Relationship Id="rId18" Type="http://schemas.openxmlformats.org/officeDocument/2006/relationships/table" Target="../tables/table8.xml"/><Relationship Id="rId3" Type="http://schemas.openxmlformats.org/officeDocument/2006/relationships/hyperlink" Target="https://www.aliexpress.com/item/4000287897509.html" TargetMode="External"/><Relationship Id="rId7" Type="http://schemas.openxmlformats.org/officeDocument/2006/relationships/hyperlink" Target="https://www.aliexpress.com/item/1005003496068336.html" TargetMode="External"/><Relationship Id="rId12" Type="http://schemas.openxmlformats.org/officeDocument/2006/relationships/hyperlink" Target="https://www.aliexpress.com/item/1005005110181643.html" TargetMode="External"/><Relationship Id="rId17" Type="http://schemas.openxmlformats.org/officeDocument/2006/relationships/hyperlink" Target="https://www.aliexpress.com/item/32850756758.html" TargetMode="External"/><Relationship Id="rId2" Type="http://schemas.openxmlformats.org/officeDocument/2006/relationships/hyperlink" Target="https://www.aliexpress.com/item/4000461218502.html" TargetMode="External"/><Relationship Id="rId16" Type="http://schemas.openxmlformats.org/officeDocument/2006/relationships/hyperlink" Target="https://www.aliexpress.com/item/1005003788713178.html" TargetMode="External"/><Relationship Id="rId1" Type="http://schemas.openxmlformats.org/officeDocument/2006/relationships/hyperlink" Target="https://s.click.aliexpress.com/e/_c2Q8jfcT" TargetMode="External"/><Relationship Id="rId6" Type="http://schemas.openxmlformats.org/officeDocument/2006/relationships/hyperlink" Target="https://www.aliexpress.com/item/1005003339030118.html" TargetMode="External"/><Relationship Id="rId11" Type="http://schemas.openxmlformats.org/officeDocument/2006/relationships/hyperlink" Target="https://www.aliexpress.com/item/4000974771676.html" TargetMode="External"/><Relationship Id="rId5" Type="http://schemas.openxmlformats.org/officeDocument/2006/relationships/hyperlink" Target="https://www.aliexpress.com/item/1005002412083566.html" TargetMode="External"/><Relationship Id="rId15" Type="http://schemas.openxmlformats.org/officeDocument/2006/relationships/hyperlink" Target="https://www.aliexpress.com/item/1005007872641164.html" TargetMode="External"/><Relationship Id="rId10" Type="http://schemas.openxmlformats.org/officeDocument/2006/relationships/hyperlink" Target="https://www.aliexpress.com/item/4000012110390.html" TargetMode="External"/><Relationship Id="rId4" Type="http://schemas.openxmlformats.org/officeDocument/2006/relationships/hyperlink" Target="https://www.aliexpress.com/item/1005002412083566.html" TargetMode="External"/><Relationship Id="rId9" Type="http://schemas.openxmlformats.org/officeDocument/2006/relationships/hyperlink" Target="https://www.aliexpress.com/item/1005001780334981.html" TargetMode="External"/><Relationship Id="rId14" Type="http://schemas.openxmlformats.org/officeDocument/2006/relationships/hyperlink" Target="https://www.aliexpress.com/item/1005007872641164.html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hyperlink" Target="https://s.click.aliexpress.com/e/_c4CALJIH" TargetMode="External"/><Relationship Id="rId1" Type="http://schemas.openxmlformats.org/officeDocument/2006/relationships/hyperlink" Target="https://s.click.aliexpress.com/e/_c3WYOqRb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hyperlink" Target="https://s.click.aliexpress.com/e/_c3mLWJkt" TargetMode="External"/><Relationship Id="rId1" Type="http://schemas.openxmlformats.org/officeDocument/2006/relationships/hyperlink" Target="https://s.click.aliexpress.com/e/_c4o8EgOZ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hyperlink" Target="https://www.aliexpress.com/item/1005001891297046.html" TargetMode="External"/><Relationship Id="rId1" Type="http://schemas.openxmlformats.org/officeDocument/2006/relationships/hyperlink" Target="https://www.aliexpress.com/item/1005008379448870.html?spm=a2g0o.order_list.order_list_main.126.42a01802iIvUMX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4001156204533.html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1005006795313924.html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s.click.aliexpress.com/e/_c4TcEdOJ" TargetMode="External"/><Relationship Id="rId2" Type="http://schemas.openxmlformats.org/officeDocument/2006/relationships/hyperlink" Target="https://s.click.aliexpress.com/e/_c3L3d1ir" TargetMode="External"/><Relationship Id="rId1" Type="http://schemas.openxmlformats.org/officeDocument/2006/relationships/hyperlink" Target="https://www.aliexpress.com/item/4001005737917.html?spm=a2g0o.order_list.order_list_main.10.17c018025ExawD" TargetMode="External"/><Relationship Id="rId4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5"/>
  <sheetViews>
    <sheetView workbookViewId="0">
      <selection activeCell="H12" sqref="H12"/>
    </sheetView>
  </sheetViews>
  <sheetFormatPr defaultColWidth="9.140625" defaultRowHeight="15"/>
  <cols>
    <col min="1" max="1" width="17.28515625" customWidth="1"/>
    <col min="2" max="2" width="36.28515625" customWidth="1"/>
    <col min="3" max="3" width="12" style="15" customWidth="1"/>
    <col min="4" max="4" width="13.42578125" style="15" customWidth="1"/>
    <col min="5" max="5" width="13.7109375" style="15" customWidth="1"/>
    <col min="6" max="6" width="12.7109375" customWidth="1"/>
    <col min="7" max="7" width="11" customWidth="1"/>
    <col min="8" max="8" width="29.5703125" customWidth="1"/>
    <col min="10" max="10" width="13.7109375" bestFit="1" customWidth="1"/>
    <col min="11" max="11" width="8.85546875"/>
  </cols>
  <sheetData>
    <row r="1" spans="1:11" ht="21">
      <c r="A1" s="32" t="s">
        <v>0</v>
      </c>
      <c r="B1" s="33"/>
      <c r="C1" s="34"/>
      <c r="D1" s="34"/>
      <c r="E1" s="34"/>
      <c r="F1" s="33"/>
      <c r="G1" s="33"/>
      <c r="H1" s="35"/>
    </row>
    <row r="2" spans="1:11" ht="41.25" customHeight="1">
      <c r="A2" s="4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4" t="s">
        <v>6</v>
      </c>
      <c r="G2" s="25" t="s">
        <v>7</v>
      </c>
      <c r="H2" s="45" t="s">
        <v>8</v>
      </c>
    </row>
    <row r="3" spans="1:11">
      <c r="A3" s="38" t="s">
        <v>9</v>
      </c>
      <c r="B3" s="38" t="s">
        <v>10</v>
      </c>
      <c r="C3" s="39" t="s">
        <v>11</v>
      </c>
      <c r="D3" s="40" t="s">
        <v>12</v>
      </c>
      <c r="E3" s="40" t="s">
        <v>13</v>
      </c>
      <c r="F3" s="41" t="s">
        <v>14</v>
      </c>
      <c r="G3" s="41" t="s">
        <v>15</v>
      </c>
      <c r="H3" s="49" t="s">
        <v>16</v>
      </c>
    </row>
    <row r="4" spans="1:11">
      <c r="A4" t="s">
        <v>17</v>
      </c>
      <c r="B4" s="301" t="s">
        <v>18</v>
      </c>
      <c r="D4" s="17"/>
      <c r="E4" s="17">
        <v>1</v>
      </c>
      <c r="F4" s="3">
        <v>1.4</v>
      </c>
      <c r="G4" s="3">
        <f t="shared" ref="G4:G14" si="0">E4*F4</f>
        <v>1.4</v>
      </c>
      <c r="H4" s="48" t="s">
        <v>19</v>
      </c>
      <c r="I4" t="s">
        <v>20</v>
      </c>
      <c r="J4" s="7"/>
    </row>
    <row r="5" spans="1:11">
      <c r="A5" t="s">
        <v>17</v>
      </c>
      <c r="B5" s="301" t="s">
        <v>21</v>
      </c>
      <c r="D5" s="17">
        <v>2</v>
      </c>
      <c r="E5" s="17">
        <v>3</v>
      </c>
      <c r="F5" s="3">
        <v>1.4</v>
      </c>
      <c r="G5" s="3">
        <f t="shared" si="0"/>
        <v>4.1999999999999993</v>
      </c>
      <c r="H5" s="48" t="s">
        <v>22</v>
      </c>
      <c r="I5" s="8" t="s">
        <v>20</v>
      </c>
      <c r="J5" s="7"/>
    </row>
    <row r="6" spans="1:11" ht="18" customHeight="1">
      <c r="A6" t="s">
        <v>17</v>
      </c>
      <c r="B6" s="302" t="s">
        <v>23</v>
      </c>
      <c r="D6" s="17">
        <v>4</v>
      </c>
      <c r="E6" s="17"/>
      <c r="F6" s="3"/>
      <c r="G6" s="3"/>
      <c r="H6" s="48"/>
      <c r="I6" s="8"/>
    </row>
    <row r="7" spans="1:11" ht="18" customHeight="1">
      <c r="A7" t="s">
        <v>17</v>
      </c>
      <c r="B7" s="68" t="s">
        <v>24</v>
      </c>
      <c r="D7" s="17">
        <v>6</v>
      </c>
      <c r="E7" s="17"/>
      <c r="F7" s="3"/>
      <c r="G7" s="3"/>
      <c r="H7" s="48"/>
      <c r="I7" s="8"/>
    </row>
    <row r="8" spans="1:11" ht="16.5" customHeight="1">
      <c r="A8" t="s">
        <v>25</v>
      </c>
      <c r="B8" s="301" t="s">
        <v>26</v>
      </c>
      <c r="D8" s="17"/>
      <c r="E8" s="17">
        <v>1</v>
      </c>
      <c r="F8" s="3">
        <v>59</v>
      </c>
      <c r="G8" s="3">
        <f t="shared" si="0"/>
        <v>59</v>
      </c>
      <c r="H8" s="50" t="s">
        <v>27</v>
      </c>
      <c r="I8" s="11"/>
    </row>
    <row r="9" spans="1:11" ht="13.5" customHeight="1">
      <c r="A9" t="s">
        <v>28</v>
      </c>
      <c r="B9" s="301" t="s">
        <v>29</v>
      </c>
      <c r="D9" s="17"/>
      <c r="E9" s="17">
        <v>10</v>
      </c>
      <c r="F9" s="3">
        <v>4.0999999999999996</v>
      </c>
      <c r="G9" s="3">
        <f t="shared" si="0"/>
        <v>41</v>
      </c>
      <c r="H9" s="50" t="s">
        <v>30</v>
      </c>
      <c r="I9" s="11"/>
    </row>
    <row r="10" spans="1:11" ht="12.75" customHeight="1">
      <c r="A10" t="s">
        <v>28</v>
      </c>
      <c r="B10" s="68" t="s">
        <v>31</v>
      </c>
      <c r="D10" s="17">
        <v>4</v>
      </c>
      <c r="E10" s="17">
        <v>5</v>
      </c>
      <c r="F10" s="3">
        <v>6</v>
      </c>
      <c r="G10" s="3">
        <f t="shared" si="0"/>
        <v>30</v>
      </c>
      <c r="H10" s="50" t="s">
        <v>32</v>
      </c>
      <c r="I10" s="11"/>
    </row>
    <row r="11" spans="1:11">
      <c r="A11" t="s">
        <v>33</v>
      </c>
      <c r="B11" s="301" t="s">
        <v>34</v>
      </c>
      <c r="D11" s="17"/>
      <c r="E11" s="17">
        <v>5</v>
      </c>
      <c r="F11" s="3">
        <v>4</v>
      </c>
      <c r="G11" s="3">
        <f t="shared" si="0"/>
        <v>20</v>
      </c>
      <c r="H11" s="50" t="s">
        <v>35</v>
      </c>
      <c r="I11" s="11"/>
    </row>
    <row r="12" spans="1:11">
      <c r="A12" t="s">
        <v>36</v>
      </c>
      <c r="B12" s="301" t="s">
        <v>37</v>
      </c>
      <c r="C12" s="15">
        <v>200</v>
      </c>
      <c r="D12" s="17"/>
      <c r="E12" s="17">
        <v>3</v>
      </c>
      <c r="F12" s="3">
        <v>16</v>
      </c>
      <c r="G12" s="3">
        <f t="shared" si="0"/>
        <v>48</v>
      </c>
      <c r="H12" s="98" t="s">
        <v>38</v>
      </c>
      <c r="I12" s="11"/>
    </row>
    <row r="13" spans="1:11">
      <c r="A13" t="s">
        <v>39</v>
      </c>
      <c r="B13" s="301" t="s">
        <v>40</v>
      </c>
      <c r="D13" s="17"/>
      <c r="E13" s="17">
        <v>5</v>
      </c>
      <c r="F13" s="3">
        <v>14.5</v>
      </c>
      <c r="G13" s="3">
        <f t="shared" si="0"/>
        <v>72.5</v>
      </c>
      <c r="H13" s="50" t="s">
        <v>41</v>
      </c>
      <c r="I13" s="1" t="s">
        <v>42</v>
      </c>
      <c r="J13" s="1" t="s">
        <v>43</v>
      </c>
    </row>
    <row r="14" spans="1:11" s="5" customFormat="1">
      <c r="A14" s="5" t="s">
        <v>39</v>
      </c>
      <c r="B14" s="69" t="s">
        <v>44</v>
      </c>
      <c r="C14" s="51"/>
      <c r="D14" s="52">
        <v>2</v>
      </c>
      <c r="E14" s="52">
        <v>2</v>
      </c>
      <c r="F14" s="53">
        <v>20</v>
      </c>
      <c r="G14" s="53">
        <f t="shared" si="0"/>
        <v>40</v>
      </c>
      <c r="H14" s="54"/>
      <c r="I14" s="5" t="s">
        <v>45</v>
      </c>
    </row>
    <row r="15" spans="1:11" ht="15" customHeight="1">
      <c r="A15" t="s">
        <v>46</v>
      </c>
      <c r="B15" s="301" t="s">
        <v>47</v>
      </c>
      <c r="C15" s="15">
        <v>350</v>
      </c>
      <c r="D15" s="17">
        <v>1225</v>
      </c>
      <c r="E15" s="17">
        <v>1225</v>
      </c>
      <c r="F15" s="3">
        <v>0.08</v>
      </c>
      <c r="G15" s="3">
        <v>104</v>
      </c>
      <c r="H15" s="50" t="s">
        <v>48</v>
      </c>
      <c r="I15" s="295"/>
      <c r="J15" s="295"/>
      <c r="K15" s="1" t="s">
        <v>49</v>
      </c>
    </row>
    <row r="16" spans="1:11">
      <c r="A16" t="s">
        <v>50</v>
      </c>
      <c r="B16" s="301" t="s">
        <v>51</v>
      </c>
      <c r="C16" s="15">
        <v>330</v>
      </c>
      <c r="D16" s="17"/>
      <c r="E16" s="17">
        <v>1</v>
      </c>
      <c r="F16" s="3">
        <v>46</v>
      </c>
      <c r="G16" s="3">
        <f>E16*F16</f>
        <v>46</v>
      </c>
      <c r="H16" s="48" t="s">
        <v>52</v>
      </c>
      <c r="I16" s="295"/>
      <c r="J16" s="295"/>
    </row>
    <row r="17" spans="1:12">
      <c r="A17" t="s">
        <v>17</v>
      </c>
      <c r="B17" s="301" t="s">
        <v>53</v>
      </c>
      <c r="D17" s="17"/>
      <c r="E17" s="17">
        <v>1</v>
      </c>
      <c r="F17" s="3">
        <v>4.2</v>
      </c>
      <c r="G17" s="3">
        <f>E17*F17</f>
        <v>4.2</v>
      </c>
      <c r="H17" s="48" t="s">
        <v>54</v>
      </c>
      <c r="K17" t="s">
        <v>55</v>
      </c>
      <c r="L17" s="7"/>
    </row>
    <row r="18" spans="1:12" ht="15" customHeight="1">
      <c r="A18" t="s">
        <v>56</v>
      </c>
      <c r="B18" s="301" t="s">
        <v>57</v>
      </c>
      <c r="D18" s="17"/>
      <c r="E18" s="17">
        <v>1</v>
      </c>
      <c r="F18" s="3">
        <v>3</v>
      </c>
      <c r="G18" s="3">
        <f>E18*F18</f>
        <v>3</v>
      </c>
      <c r="H18" s="50" t="s">
        <v>58</v>
      </c>
    </row>
    <row r="19" spans="1:12" ht="15" customHeight="1">
      <c r="A19" t="s">
        <v>59</v>
      </c>
      <c r="B19" s="68" t="s">
        <v>60</v>
      </c>
      <c r="D19" s="17">
        <v>2</v>
      </c>
      <c r="E19" s="17"/>
      <c r="F19" s="3"/>
      <c r="G19" s="3"/>
      <c r="H19" s="50"/>
    </row>
    <row r="20" spans="1:12" ht="15" customHeight="1">
      <c r="A20" s="55" t="s">
        <v>59</v>
      </c>
      <c r="B20" s="68" t="s">
        <v>61</v>
      </c>
      <c r="D20" s="17">
        <v>2</v>
      </c>
      <c r="E20" s="17"/>
      <c r="F20" s="3"/>
      <c r="G20" s="3"/>
      <c r="H20" s="50"/>
    </row>
    <row r="21" spans="1:12" ht="15" customHeight="1">
      <c r="A21" s="55" t="s">
        <v>59</v>
      </c>
      <c r="B21" s="68" t="s">
        <v>62</v>
      </c>
      <c r="D21" s="17">
        <v>1</v>
      </c>
      <c r="E21" s="17"/>
      <c r="F21" s="3"/>
      <c r="G21" s="3"/>
      <c r="H21" s="50"/>
    </row>
    <row r="22" spans="1:12" ht="15" customHeight="1">
      <c r="A22" s="55" t="s">
        <v>59</v>
      </c>
      <c r="B22" s="68" t="s">
        <v>63</v>
      </c>
      <c r="D22" s="17">
        <v>1</v>
      </c>
      <c r="E22" s="17"/>
      <c r="F22" s="3"/>
      <c r="G22" s="3"/>
      <c r="H22" s="50"/>
    </row>
    <row r="23" spans="1:12" ht="15.75">
      <c r="A23" s="36" t="s">
        <v>64</v>
      </c>
      <c r="B23" s="26"/>
      <c r="C23" s="28"/>
      <c r="D23" s="27"/>
      <c r="E23" s="28"/>
      <c r="F23" s="29"/>
      <c r="G23" s="30">
        <f>SUM(G11:G18)</f>
        <v>337.7</v>
      </c>
      <c r="H23" s="37"/>
    </row>
    <row r="25" spans="1:12">
      <c r="A25" s="1" t="s">
        <v>65</v>
      </c>
    </row>
  </sheetData>
  <mergeCells count="1">
    <mergeCell ref="I15:J16"/>
  </mergeCells>
  <hyperlinks>
    <hyperlink ref="H3" r:id="rId1" xr:uid="{00000000-0004-0000-0200-000000000000}"/>
    <hyperlink ref="H8" r:id="rId2" xr:uid="{00000000-0004-0000-0200-000001000000}"/>
    <hyperlink ref="H9" r:id="rId3" xr:uid="{00000000-0004-0000-0200-000002000000}"/>
    <hyperlink ref="H10" r:id="rId4" xr:uid="{00000000-0004-0000-0200-000003000000}"/>
    <hyperlink ref="H11" r:id="rId5" xr:uid="{00000000-0004-0000-0200-000004000000}"/>
    <hyperlink ref="H12" r:id="rId6" xr:uid="{00000000-0004-0000-0200-000005000000}"/>
    <hyperlink ref="H13" r:id="rId7" xr:uid="{00000000-0004-0000-0200-000006000000}"/>
    <hyperlink ref="H4" r:id="rId8" xr:uid="{00000000-0004-0000-0200-000007000000}"/>
    <hyperlink ref="H5" r:id="rId9" xr:uid="{00000000-0004-0000-0200-000008000000}"/>
    <hyperlink ref="I5" r:id="rId10" xr:uid="{00000000-0004-0000-0200-000009000000}"/>
    <hyperlink ref="H15" r:id="rId11" xr:uid="{00000000-0004-0000-0200-00000A000000}"/>
    <hyperlink ref="H18" r:id="rId12" xr:uid="{00000000-0004-0000-0200-00000B000000}"/>
    <hyperlink ref="H16" r:id="rId13" display="Size: 310x310mm" xr:uid="{00000000-0004-0000-0200-00000C000000}"/>
    <hyperlink ref="H17" r:id="rId14" xr:uid="{00000000-0004-0000-0200-00000D000000}"/>
  </hyperlinks>
  <pageMargins left="0.7" right="0.7" top="0.75" bottom="0.75" header="0.3" footer="0.3"/>
  <drawing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20"/>
  <sheetViews>
    <sheetView topLeftCell="A8" workbookViewId="0">
      <selection activeCell="A21" sqref="A21:A28"/>
    </sheetView>
  </sheetViews>
  <sheetFormatPr defaultRowHeight="15"/>
  <cols>
    <col min="1" max="1" width="42.7109375" customWidth="1"/>
    <col min="2" max="2" width="20.42578125" customWidth="1"/>
    <col min="3" max="3" width="19.140625" customWidth="1"/>
    <col min="4" max="4" width="19.42578125" customWidth="1"/>
    <col min="5" max="5" width="34.42578125" customWidth="1"/>
  </cols>
  <sheetData>
    <row r="1" spans="1:5">
      <c r="A1" s="94" t="s">
        <v>66</v>
      </c>
      <c r="B1" s="94" t="s">
        <v>67</v>
      </c>
      <c r="C1" s="94" t="s">
        <v>2</v>
      </c>
      <c r="D1" s="94" t="s">
        <v>68</v>
      </c>
      <c r="E1" s="94" t="s">
        <v>69</v>
      </c>
    </row>
    <row r="2" spans="1:5">
      <c r="A2" s="303" t="s">
        <v>70</v>
      </c>
      <c r="B2" s="303"/>
      <c r="C2" s="303"/>
      <c r="D2" s="304"/>
      <c r="E2" s="95"/>
    </row>
    <row r="3" spans="1:5">
      <c r="A3" s="303" t="s">
        <v>71</v>
      </c>
    </row>
    <row r="4" spans="1:5">
      <c r="A4" s="303" t="s">
        <v>72</v>
      </c>
    </row>
    <row r="5" spans="1:5">
      <c r="A5" s="303" t="s">
        <v>73</v>
      </c>
    </row>
    <row r="6" spans="1:5">
      <c r="A6" s="303" t="s">
        <v>70</v>
      </c>
    </row>
    <row r="7" spans="1:5">
      <c r="A7" s="303" t="s">
        <v>71</v>
      </c>
    </row>
    <row r="8" spans="1:5">
      <c r="A8" s="303" t="s">
        <v>74</v>
      </c>
    </row>
    <row r="9" spans="1:5">
      <c r="A9" t="s">
        <v>75</v>
      </c>
      <c r="C9" t="s">
        <v>76</v>
      </c>
    </row>
    <row r="10" spans="1:5">
      <c r="A10" t="s">
        <v>77</v>
      </c>
    </row>
    <row r="12" spans="1:5">
      <c r="A12" t="s">
        <v>78</v>
      </c>
    </row>
    <row r="13" spans="1:5">
      <c r="A13" t="s">
        <v>79</v>
      </c>
    </row>
    <row r="14" spans="1:5">
      <c r="A14" t="s">
        <v>80</v>
      </c>
    </row>
    <row r="15" spans="1:5">
      <c r="A15" t="s">
        <v>81</v>
      </c>
    </row>
    <row r="16" spans="1:5">
      <c r="A16" t="s">
        <v>82</v>
      </c>
    </row>
    <row r="17" spans="1:1">
      <c r="A17" t="s">
        <v>83</v>
      </c>
    </row>
    <row r="18" spans="1:1">
      <c r="A18" t="s">
        <v>84</v>
      </c>
    </row>
    <row r="19" spans="1:1">
      <c r="A19" t="s">
        <v>85</v>
      </c>
    </row>
    <row r="20" spans="1:1" ht="14.25" customHeight="1">
      <c r="A20" s="96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2"/>
  <sheetViews>
    <sheetView workbookViewId="0">
      <selection activeCell="A4" sqref="A4"/>
    </sheetView>
  </sheetViews>
  <sheetFormatPr defaultColWidth="9.140625" defaultRowHeight="15"/>
  <cols>
    <col min="1" max="1" width="16.85546875" customWidth="1"/>
    <col min="2" max="2" width="37.7109375" customWidth="1"/>
    <col min="3" max="3" width="9.28515625" style="15" customWidth="1"/>
    <col min="4" max="4" width="11.42578125" style="15" customWidth="1"/>
    <col min="5" max="5" width="11.7109375" customWidth="1"/>
    <col min="6" max="6" width="11.85546875" customWidth="1"/>
    <col min="7" max="7" width="27.42578125" bestFit="1" customWidth="1"/>
  </cols>
  <sheetData>
    <row r="1" spans="1:9" ht="21.75" thickBot="1">
      <c r="A1" s="32" t="s">
        <v>87</v>
      </c>
      <c r="B1" s="33"/>
      <c r="C1" s="34"/>
      <c r="D1" s="34"/>
      <c r="E1" s="33"/>
      <c r="F1" s="33"/>
      <c r="G1" s="35"/>
    </row>
    <row r="2" spans="1:9" ht="30">
      <c r="A2" s="46" t="s">
        <v>1</v>
      </c>
      <c r="B2" s="24" t="s">
        <v>2</v>
      </c>
      <c r="C2" s="24" t="s">
        <v>88</v>
      </c>
      <c r="D2" s="24" t="s">
        <v>5</v>
      </c>
      <c r="E2" s="24" t="s">
        <v>6</v>
      </c>
      <c r="F2" s="25" t="s">
        <v>7</v>
      </c>
      <c r="G2" s="45" t="s">
        <v>8</v>
      </c>
    </row>
    <row r="3" spans="1:9">
      <c r="A3" t="s">
        <v>89</v>
      </c>
      <c r="B3" t="s">
        <v>90</v>
      </c>
      <c r="C3" s="17" t="s">
        <v>12</v>
      </c>
      <c r="D3" s="17" t="s">
        <v>13</v>
      </c>
      <c r="E3" s="56" t="s">
        <v>91</v>
      </c>
      <c r="F3" s="57" t="s">
        <v>92</v>
      </c>
      <c r="G3" s="58" t="s">
        <v>93</v>
      </c>
      <c r="H3" s="8" t="s">
        <v>94</v>
      </c>
      <c r="I3" s="7"/>
    </row>
    <row r="4" spans="1:9">
      <c r="A4" t="s">
        <v>95</v>
      </c>
      <c r="B4" s="1" t="s">
        <v>96</v>
      </c>
      <c r="C4" s="17">
        <v>1</v>
      </c>
      <c r="D4" s="17">
        <v>1</v>
      </c>
      <c r="E4" s="56">
        <v>74.599999999999994</v>
      </c>
      <c r="F4" s="57">
        <f t="shared" ref="F4:F8" si="0">D4*E4</f>
        <v>74.599999999999994</v>
      </c>
      <c r="G4" s="59" t="s">
        <v>97</v>
      </c>
      <c r="H4" t="s">
        <v>98</v>
      </c>
      <c r="I4" s="7"/>
    </row>
    <row r="5" spans="1:9" ht="13.5" customHeight="1">
      <c r="A5" t="s">
        <v>99</v>
      </c>
      <c r="B5" t="s">
        <v>100</v>
      </c>
      <c r="C5" s="17">
        <v>1</v>
      </c>
      <c r="D5" s="17">
        <v>1</v>
      </c>
      <c r="E5" s="56">
        <v>13.5</v>
      </c>
      <c r="F5" s="57">
        <f t="shared" si="0"/>
        <v>13.5</v>
      </c>
      <c r="G5" s="59" t="s">
        <v>101</v>
      </c>
      <c r="H5" s="11"/>
    </row>
    <row r="6" spans="1:9" ht="15" customHeight="1">
      <c r="A6" t="s">
        <v>102</v>
      </c>
      <c r="B6" s="1" t="s">
        <v>103</v>
      </c>
      <c r="C6" s="17">
        <v>1</v>
      </c>
      <c r="D6" s="17">
        <v>1</v>
      </c>
      <c r="E6" s="56">
        <v>45</v>
      </c>
      <c r="F6" s="57">
        <f t="shared" si="0"/>
        <v>45</v>
      </c>
      <c r="G6" s="60" t="s">
        <v>103</v>
      </c>
      <c r="H6" s="11"/>
    </row>
    <row r="7" spans="1:9" ht="14.45" customHeight="1">
      <c r="A7" t="s">
        <v>9</v>
      </c>
      <c r="B7" t="s">
        <v>104</v>
      </c>
      <c r="C7" s="17">
        <v>1</v>
      </c>
      <c r="D7" s="17">
        <v>1</v>
      </c>
      <c r="E7" s="56">
        <v>3.78</v>
      </c>
      <c r="F7" s="57">
        <f t="shared" si="0"/>
        <v>3.78</v>
      </c>
      <c r="G7" s="61" t="s">
        <v>105</v>
      </c>
      <c r="H7" t="s">
        <v>106</v>
      </c>
      <c r="I7" s="7"/>
    </row>
    <row r="8" spans="1:9" ht="14.45" customHeight="1" thickBot="1">
      <c r="A8" t="s">
        <v>9</v>
      </c>
      <c r="B8" t="s">
        <v>104</v>
      </c>
      <c r="C8" s="17">
        <v>2</v>
      </c>
      <c r="D8" s="17">
        <v>1</v>
      </c>
      <c r="E8" s="56">
        <v>10</v>
      </c>
      <c r="F8" s="57">
        <f t="shared" si="0"/>
        <v>10</v>
      </c>
      <c r="G8" s="60" t="s">
        <v>107</v>
      </c>
      <c r="H8" t="s">
        <v>106</v>
      </c>
      <c r="I8" s="7"/>
    </row>
    <row r="9" spans="1:9" ht="16.5" thickBot="1">
      <c r="A9" s="42" t="s">
        <v>64</v>
      </c>
      <c r="B9" s="9"/>
      <c r="C9" s="18"/>
      <c r="D9" s="20"/>
      <c r="E9" s="13"/>
      <c r="F9" s="22">
        <f>SUM(F1:F8)</f>
        <v>146.88</v>
      </c>
      <c r="G9" s="37"/>
    </row>
    <row r="11" spans="1:9">
      <c r="A11" t="s">
        <v>108</v>
      </c>
    </row>
    <row r="12" spans="1:9">
      <c r="D12" s="31" t="s">
        <v>109</v>
      </c>
    </row>
  </sheetData>
  <hyperlinks>
    <hyperlink ref="G6" r:id="rId1" xr:uid="{00000000-0004-0000-0500-000000000000}"/>
    <hyperlink ref="G5" r:id="rId2" xr:uid="{00000000-0004-0000-0500-000001000000}"/>
    <hyperlink ref="G3" r:id="rId3" xr:uid="{00000000-0004-0000-0500-000002000000}"/>
    <hyperlink ref="H3" display="https://www.digikey.co.nz/en/products/detail/adafruit-industries-llc/2809/5774319?gclsrc=aw.ds&amp;gad_source=1&amp;gad_campaignid=20104923089&amp;gbraid=0AAAAADrbLlgdi87UGAUglUogkgR_6w3hi&amp;gclid=Cj0KCQjwndHEBhDVARIsAGh0g3Ak6uH_wsV3wheOwtP_PRij5CktZlySrxDYMnLAm9yqdaVE" xr:uid="{00000000-0004-0000-0500-000003000000}"/>
    <hyperlink ref="G4" r:id="rId4" xr:uid="{00000000-0004-0000-0500-000004000000}"/>
    <hyperlink ref="G8" r:id="rId5" xr:uid="{00000000-0004-0000-0500-000005000000}"/>
    <hyperlink ref="G7" r:id="rId6" xr:uid="{00000000-0004-0000-0500-000006000000}"/>
  </hyperlinks>
  <pageMargins left="0.7" right="0.7" top="0.75" bottom="0.75" header="0.3" footer="0.3"/>
  <tableParts count="1"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3"/>
  <sheetViews>
    <sheetView workbookViewId="0">
      <selection activeCell="A3" sqref="A3:H9"/>
    </sheetView>
  </sheetViews>
  <sheetFormatPr defaultColWidth="9.140625" defaultRowHeight="15"/>
  <cols>
    <col min="1" max="1" width="20" customWidth="1"/>
    <col min="2" max="2" width="35.85546875" customWidth="1"/>
    <col min="3" max="3" width="11" style="15" customWidth="1"/>
    <col min="4" max="4" width="12.140625" style="15" customWidth="1"/>
    <col min="5" max="5" width="12.28515625" style="15" customWidth="1"/>
    <col min="6" max="7" width="12.42578125" customWidth="1"/>
    <col min="8" max="8" width="28.140625" bestFit="1" customWidth="1"/>
  </cols>
  <sheetData>
    <row r="1" spans="1:8" ht="21.75" thickBot="1">
      <c r="A1" s="32" t="s">
        <v>110</v>
      </c>
      <c r="B1" s="33"/>
      <c r="C1" s="34"/>
      <c r="D1" s="34"/>
      <c r="E1" s="34"/>
      <c r="F1" s="33"/>
      <c r="G1" s="33"/>
      <c r="H1" s="35"/>
    </row>
    <row r="2" spans="1:8" ht="30">
      <c r="A2" s="4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4" t="s">
        <v>6</v>
      </c>
      <c r="G2" s="25" t="s">
        <v>7</v>
      </c>
      <c r="H2" s="45" t="s">
        <v>8</v>
      </c>
    </row>
    <row r="3" spans="1:8">
      <c r="A3" s="1" t="s">
        <v>68</v>
      </c>
      <c r="B3" s="1" t="s">
        <v>69</v>
      </c>
      <c r="C3" s="19" t="s">
        <v>111</v>
      </c>
      <c r="D3" s="64" t="s">
        <v>112</v>
      </c>
      <c r="E3" s="64" t="s">
        <v>113</v>
      </c>
      <c r="F3" s="65" t="s">
        <v>114</v>
      </c>
      <c r="G3" s="66" t="s">
        <v>115</v>
      </c>
      <c r="H3" s="59" t="s">
        <v>116</v>
      </c>
    </row>
    <row r="4" spans="1:8">
      <c r="A4" s="1" t="s">
        <v>117</v>
      </c>
      <c r="B4" s="1" t="s">
        <v>118</v>
      </c>
      <c r="C4" s="19"/>
      <c r="D4" s="64">
        <v>1</v>
      </c>
      <c r="E4" s="64">
        <v>1</v>
      </c>
      <c r="F4" s="65">
        <v>145</v>
      </c>
      <c r="G4" s="66">
        <f t="shared" ref="G4:G9" si="0">E4*F4</f>
        <v>145</v>
      </c>
      <c r="H4" s="59" t="s">
        <v>119</v>
      </c>
    </row>
    <row r="5" spans="1:8">
      <c r="A5" s="1" t="s">
        <v>120</v>
      </c>
      <c r="B5" s="1" t="s">
        <v>121</v>
      </c>
      <c r="C5" s="19"/>
      <c r="D5" s="64">
        <v>1</v>
      </c>
      <c r="E5" s="64">
        <v>1</v>
      </c>
      <c r="F5" s="65">
        <v>36.22</v>
      </c>
      <c r="G5" s="66">
        <f t="shared" si="0"/>
        <v>36.22</v>
      </c>
      <c r="H5" s="58" t="s">
        <v>122</v>
      </c>
    </row>
    <row r="6" spans="1:8">
      <c r="A6" s="1" t="s">
        <v>123</v>
      </c>
      <c r="B6" s="1" t="s">
        <v>124</v>
      </c>
      <c r="C6" s="19"/>
      <c r="D6" s="64">
        <v>1</v>
      </c>
      <c r="E6" s="64">
        <v>1</v>
      </c>
      <c r="F6" s="65">
        <v>7.5</v>
      </c>
      <c r="G6" s="66">
        <f t="shared" si="0"/>
        <v>7.5</v>
      </c>
      <c r="H6" s="59" t="s">
        <v>125</v>
      </c>
    </row>
    <row r="7" spans="1:8">
      <c r="A7" s="1" t="s">
        <v>126</v>
      </c>
      <c r="B7" s="1" t="s">
        <v>127</v>
      </c>
      <c r="C7" s="19">
        <v>300</v>
      </c>
      <c r="D7" s="64">
        <v>1</v>
      </c>
      <c r="E7" s="64">
        <v>1</v>
      </c>
      <c r="F7" s="65">
        <v>78.39</v>
      </c>
      <c r="G7" s="66">
        <f t="shared" si="0"/>
        <v>78.39</v>
      </c>
      <c r="H7" s="59" t="s">
        <v>128</v>
      </c>
    </row>
    <row r="8" spans="1:8">
      <c r="A8" s="1" t="s">
        <v>123</v>
      </c>
      <c r="B8" s="1" t="s">
        <v>129</v>
      </c>
      <c r="C8" s="19"/>
      <c r="D8" s="64">
        <v>2</v>
      </c>
      <c r="E8" s="64">
        <v>1</v>
      </c>
      <c r="F8" s="65">
        <v>16</v>
      </c>
      <c r="G8" s="66">
        <f t="shared" si="0"/>
        <v>16</v>
      </c>
      <c r="H8" s="61" t="s">
        <v>130</v>
      </c>
    </row>
    <row r="9" spans="1:8" ht="15.75" thickBot="1">
      <c r="A9" s="1" t="s">
        <v>131</v>
      </c>
      <c r="B9" s="1" t="s">
        <v>132</v>
      </c>
      <c r="C9" s="19"/>
      <c r="D9" s="64">
        <v>1</v>
      </c>
      <c r="E9" s="64">
        <v>1</v>
      </c>
      <c r="F9" s="65">
        <v>3</v>
      </c>
      <c r="G9" s="66">
        <f t="shared" si="0"/>
        <v>3</v>
      </c>
      <c r="H9" s="59" t="s">
        <v>133</v>
      </c>
    </row>
    <row r="10" spans="1:8" ht="16.5" thickBot="1">
      <c r="A10" s="42" t="s">
        <v>64</v>
      </c>
      <c r="B10" s="9"/>
      <c r="C10" s="16"/>
      <c r="D10" s="18"/>
      <c r="E10" s="20"/>
      <c r="F10" s="13"/>
      <c r="G10" s="14">
        <f>SUM(G1:G9)</f>
        <v>286.11</v>
      </c>
      <c r="H10" s="37"/>
    </row>
    <row r="12" spans="1:8">
      <c r="A12" t="s">
        <v>108</v>
      </c>
    </row>
    <row r="13" spans="1:8">
      <c r="C13" s="31" t="s">
        <v>109</v>
      </c>
    </row>
  </sheetData>
  <hyperlinks>
    <hyperlink ref="H4" r:id="rId1" xr:uid="{00000000-0004-0000-0400-000000000000}"/>
    <hyperlink ref="H6" r:id="rId2" xr:uid="{00000000-0004-0000-0400-000001000000}"/>
    <hyperlink ref="H7" r:id="rId3" display="1x Select Color: 220V/110V" xr:uid="{00000000-0004-0000-0400-000002000000}"/>
    <hyperlink ref="H9" r:id="rId4" display="1x 10Pcs Temperature: 160 degree" xr:uid="{00000000-0004-0000-0400-000003000000}"/>
    <hyperlink ref="H5" r:id="rId5" xr:uid="{00000000-0004-0000-0400-000004000000}"/>
    <hyperlink ref="H8" r:id="rId6" display="Genuine Omron Solid State Relay" xr:uid="{00000000-0004-0000-0400-000005000000}"/>
  </hyperlinks>
  <pageMargins left="0.7" right="0.7" top="0.75" bottom="0.75" header="0.3" footer="0.3"/>
  <legacyDrawing r:id="rId7"/>
  <tableParts count="1"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5"/>
  <sheetViews>
    <sheetView workbookViewId="0">
      <selection activeCell="E15" sqref="E15"/>
    </sheetView>
  </sheetViews>
  <sheetFormatPr defaultColWidth="9.140625" defaultRowHeight="15"/>
  <cols>
    <col min="1" max="1" width="21" customWidth="1"/>
    <col min="2" max="2" width="34.140625" customWidth="1"/>
    <col min="3" max="4" width="11" style="15" customWidth="1"/>
    <col min="5" max="6" width="12.42578125" customWidth="1"/>
    <col min="7" max="7" width="27.7109375" bestFit="1" customWidth="1"/>
  </cols>
  <sheetData>
    <row r="1" spans="1:9" ht="21.75" thickBot="1">
      <c r="A1" s="32" t="s">
        <v>134</v>
      </c>
      <c r="B1" s="33"/>
      <c r="C1" s="34"/>
      <c r="D1" s="34"/>
      <c r="E1" s="33"/>
      <c r="F1" s="33"/>
      <c r="G1" s="35"/>
    </row>
    <row r="2" spans="1:9" ht="30.75" thickBot="1">
      <c r="A2" s="23" t="s">
        <v>1</v>
      </c>
      <c r="B2" s="10" t="s">
        <v>2</v>
      </c>
      <c r="C2" s="10" t="s">
        <v>88</v>
      </c>
      <c r="D2" s="10" t="s">
        <v>5</v>
      </c>
      <c r="E2" s="10" t="s">
        <v>6</v>
      </c>
      <c r="F2" s="10" t="s">
        <v>7</v>
      </c>
      <c r="G2" s="43" t="s">
        <v>8</v>
      </c>
    </row>
    <row r="3" spans="1:9" ht="18.75" customHeight="1">
      <c r="A3" t="s">
        <v>68</v>
      </c>
      <c r="B3" t="s">
        <v>69</v>
      </c>
      <c r="C3" s="17" t="s">
        <v>111</v>
      </c>
      <c r="D3" s="17" t="s">
        <v>112</v>
      </c>
      <c r="E3" s="3" t="s">
        <v>113</v>
      </c>
      <c r="F3" s="4" t="s">
        <v>114</v>
      </c>
      <c r="G3" s="62" t="s">
        <v>115</v>
      </c>
      <c r="H3" s="11"/>
    </row>
    <row r="4" spans="1:9" ht="15.75" customHeight="1">
      <c r="A4" t="s">
        <v>135</v>
      </c>
      <c r="B4" t="s">
        <v>136</v>
      </c>
      <c r="C4" s="17">
        <v>1</v>
      </c>
      <c r="D4" s="17">
        <v>1</v>
      </c>
      <c r="E4" s="3">
        <v>3</v>
      </c>
      <c r="F4" s="4">
        <f t="shared" ref="F4:F10" si="0">D4*E4</f>
        <v>3</v>
      </c>
      <c r="G4" s="62" t="s">
        <v>137</v>
      </c>
      <c r="H4" s="11"/>
    </row>
    <row r="5" spans="1:9" ht="17.25" customHeight="1">
      <c r="A5" t="s">
        <v>126</v>
      </c>
      <c r="B5" t="s">
        <v>138</v>
      </c>
      <c r="C5" s="17">
        <v>1</v>
      </c>
      <c r="D5" s="17">
        <v>1</v>
      </c>
      <c r="E5" s="3">
        <v>12</v>
      </c>
      <c r="F5" s="4">
        <f t="shared" si="0"/>
        <v>12</v>
      </c>
      <c r="G5" s="62" t="s">
        <v>139</v>
      </c>
      <c r="H5" s="11"/>
      <c r="I5" t="s">
        <v>140</v>
      </c>
    </row>
    <row r="6" spans="1:9" ht="14.45" customHeight="1">
      <c r="A6" t="s">
        <v>131</v>
      </c>
      <c r="B6" t="s">
        <v>141</v>
      </c>
      <c r="C6" s="17">
        <v>1</v>
      </c>
      <c r="D6" s="17">
        <v>1</v>
      </c>
      <c r="E6" s="3">
        <f>(3+0.96)</f>
        <v>3.96</v>
      </c>
      <c r="F6" s="4">
        <f t="shared" si="0"/>
        <v>3.96</v>
      </c>
      <c r="G6" s="62" t="s">
        <v>142</v>
      </c>
      <c r="H6" s="11"/>
    </row>
    <row r="7" spans="1:9" ht="14.45" customHeight="1">
      <c r="A7" t="s">
        <v>143</v>
      </c>
      <c r="B7" t="s">
        <v>144</v>
      </c>
      <c r="C7" s="17">
        <v>1</v>
      </c>
      <c r="D7" s="17">
        <v>1</v>
      </c>
      <c r="E7" s="3">
        <v>3.72</v>
      </c>
      <c r="F7" s="4">
        <f t="shared" si="0"/>
        <v>3.72</v>
      </c>
      <c r="G7" s="63" t="s">
        <v>145</v>
      </c>
      <c r="H7" s="11"/>
    </row>
    <row r="8" spans="1:9" ht="14.45" customHeight="1">
      <c r="A8" t="s">
        <v>117</v>
      </c>
      <c r="B8" t="s">
        <v>146</v>
      </c>
      <c r="C8" s="17">
        <v>1</v>
      </c>
      <c r="D8" s="17">
        <v>1</v>
      </c>
      <c r="E8" s="3">
        <v>4</v>
      </c>
      <c r="F8" s="4">
        <f t="shared" si="0"/>
        <v>4</v>
      </c>
      <c r="G8" s="62" t="s">
        <v>147</v>
      </c>
      <c r="H8" s="11"/>
    </row>
    <row r="9" spans="1:9" ht="14.45" customHeight="1">
      <c r="A9" t="s">
        <v>117</v>
      </c>
      <c r="B9" t="s">
        <v>148</v>
      </c>
      <c r="C9" s="17">
        <v>1</v>
      </c>
      <c r="D9" s="17">
        <v>1</v>
      </c>
      <c r="E9" s="3">
        <v>3</v>
      </c>
      <c r="F9" s="4">
        <f t="shared" si="0"/>
        <v>3</v>
      </c>
      <c r="G9" s="62" t="s">
        <v>149</v>
      </c>
      <c r="H9" s="11"/>
    </row>
    <row r="10" spans="1:9" ht="14.45" customHeight="1">
      <c r="A10" t="s">
        <v>135</v>
      </c>
      <c r="B10" t="s">
        <v>150</v>
      </c>
      <c r="C10" s="17">
        <v>1</v>
      </c>
      <c r="D10" s="17">
        <v>1</v>
      </c>
      <c r="E10" s="3">
        <v>3</v>
      </c>
      <c r="F10" s="4">
        <f t="shared" si="0"/>
        <v>3</v>
      </c>
      <c r="G10" s="63" t="s">
        <v>151</v>
      </c>
      <c r="H10" s="11"/>
    </row>
    <row r="11" spans="1:9" ht="15.75" thickBot="1">
      <c r="A11" t="s">
        <v>152</v>
      </c>
      <c r="B11" s="1" t="s">
        <v>153</v>
      </c>
      <c r="C11" s="17">
        <v>1</v>
      </c>
      <c r="D11" s="17">
        <v>1</v>
      </c>
      <c r="E11" s="3">
        <v>15</v>
      </c>
      <c r="F11" s="4">
        <f>E11*D11</f>
        <v>15</v>
      </c>
      <c r="G11" s="67" t="s">
        <v>154</v>
      </c>
    </row>
    <row r="12" spans="1:9" ht="16.5" thickBot="1">
      <c r="A12" s="42" t="s">
        <v>64</v>
      </c>
      <c r="B12" s="9"/>
      <c r="C12" s="16"/>
      <c r="D12" s="16"/>
      <c r="E12" s="12"/>
      <c r="F12" s="14">
        <f>SUM(F4:F11)</f>
        <v>47.68</v>
      </c>
      <c r="G12" s="44"/>
    </row>
    <row r="14" spans="1:9" ht="15.75" thickBot="1">
      <c r="A14" s="1" t="s">
        <v>108</v>
      </c>
    </row>
    <row r="15" spans="1:9" ht="15.75" thickBot="1">
      <c r="C15" s="21" t="s">
        <v>155</v>
      </c>
    </row>
  </sheetData>
  <hyperlinks>
    <hyperlink ref="G4" r:id="rId1" xr:uid="{00000000-0004-0000-0600-000000000000}"/>
    <hyperlink ref="G5" r:id="rId2" xr:uid="{00000000-0004-0000-0600-000001000000}"/>
    <hyperlink ref="G6" r:id="rId3" xr:uid="{00000000-0004-0000-0600-000002000000}"/>
    <hyperlink ref="G8" r:id="rId4" display="https://www.aliexpress.com/item/4000071762309.html?spm=a2g0o.store_pc_allProduct.8148356.15.1894c53dn19kw8&amp;pdp_npi=2%40dis%21USD%21US%20%241.48%21US%20%241.26%21%21%21%21%21%402100bde116564933129322644e26f5%2112000029019588359%21sh" xr:uid="{00000000-0004-0000-0600-000003000000}"/>
    <hyperlink ref="G9" r:id="rId5" display="https://www.aliexpress.com/item/4000071762309.html?spm=a2g0o.store_pc_allProduct.8148356.15.1894c53dn19kw8&amp;pdp_npi=2%40dis%21USD%21US%20%241.48%21US%20%241.26%21%21%21%21%21%402100bde116564933129322644e26f5%2112000029019588359%21sh" xr:uid="{00000000-0004-0000-0600-000004000000}"/>
    <hyperlink ref="G10" r:id="rId6" display="1xAHT25+AHT21 Sensor" xr:uid="{00000000-0004-0000-0600-000005000000}"/>
    <hyperlink ref="G7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125"/>
  <sheetViews>
    <sheetView tabSelected="1" zoomScale="85" zoomScaleNormal="85" workbookViewId="0">
      <selection sqref="A1:B1048576"/>
    </sheetView>
  </sheetViews>
  <sheetFormatPr defaultColWidth="14.42578125" defaultRowHeight="15"/>
  <cols>
    <col min="1" max="1" width="15.28515625" bestFit="1" customWidth="1"/>
    <col min="2" max="2" width="62.42578125" bestFit="1" customWidth="1"/>
    <col min="3" max="3" width="12.42578125" bestFit="1" customWidth="1"/>
    <col min="4" max="4" width="22.140625" style="110" bestFit="1" customWidth="1"/>
    <col min="5" max="5" width="23.7109375" style="134" bestFit="1" customWidth="1"/>
    <col min="6" max="6" width="20.28515625" bestFit="1" customWidth="1"/>
    <col min="7" max="7" width="19.85546875" bestFit="1" customWidth="1"/>
    <col min="8" max="8" width="42.42578125" bestFit="1" customWidth="1"/>
    <col min="9" max="9" width="26.85546875" bestFit="1" customWidth="1"/>
    <col min="10" max="10" width="9.7109375" bestFit="1" customWidth="1"/>
    <col min="11" max="11" width="9.42578125" bestFit="1" customWidth="1"/>
    <col min="12" max="12" width="56.42578125" bestFit="1" customWidth="1"/>
    <col min="13" max="13" width="40.42578125" customWidth="1"/>
  </cols>
  <sheetData>
    <row r="1" spans="1:13">
      <c r="A1" s="214" t="s">
        <v>1</v>
      </c>
      <c r="B1" s="127" t="s">
        <v>2</v>
      </c>
      <c r="C1" s="128" t="s">
        <v>156</v>
      </c>
      <c r="D1" s="127" t="s">
        <v>88</v>
      </c>
      <c r="E1" s="127" t="s">
        <v>5</v>
      </c>
      <c r="F1" s="127" t="s">
        <v>6</v>
      </c>
      <c r="G1" s="127" t="s">
        <v>157</v>
      </c>
      <c r="H1" s="70" t="s">
        <v>8</v>
      </c>
      <c r="I1" s="127" t="s">
        <v>158</v>
      </c>
      <c r="J1" s="127" t="s">
        <v>159</v>
      </c>
      <c r="K1" s="129" t="s">
        <v>160</v>
      </c>
      <c r="L1" s="130" t="s">
        <v>161</v>
      </c>
      <c r="M1" s="300" t="s">
        <v>162</v>
      </c>
    </row>
    <row r="2" spans="1:13">
      <c r="A2" s="183" t="s">
        <v>163</v>
      </c>
      <c r="B2" s="183" t="s">
        <v>164</v>
      </c>
      <c r="C2" s="183"/>
      <c r="D2" s="191">
        <v>29</v>
      </c>
      <c r="E2" s="195">
        <v>1</v>
      </c>
      <c r="F2" s="197"/>
      <c r="G2" s="197">
        <f>E2*F2</f>
        <v>0</v>
      </c>
      <c r="H2" s="218" t="s">
        <v>165</v>
      </c>
      <c r="I2" s="203"/>
      <c r="J2" s="207"/>
      <c r="K2" s="207"/>
      <c r="L2" s="208"/>
      <c r="M2" s="298"/>
    </row>
    <row r="3" spans="1:13" ht="16.5" customHeight="1">
      <c r="A3" s="183" t="s">
        <v>163</v>
      </c>
      <c r="B3" s="182" t="s">
        <v>166</v>
      </c>
      <c r="C3" s="182"/>
      <c r="D3" s="192"/>
      <c r="E3" s="237">
        <v>1</v>
      </c>
      <c r="F3" s="197">
        <v>4.9400000000000004</v>
      </c>
      <c r="G3" s="197">
        <f>E3*F3</f>
        <v>4.9400000000000004</v>
      </c>
      <c r="H3" s="218" t="s">
        <v>167</v>
      </c>
      <c r="I3" s="222" t="s">
        <v>168</v>
      </c>
      <c r="J3" s="219"/>
      <c r="K3" s="219"/>
      <c r="L3" s="210" t="s">
        <v>169</v>
      </c>
      <c r="M3" s="298"/>
    </row>
    <row r="4" spans="1:13" ht="15.75" customHeight="1">
      <c r="A4" s="183" t="s">
        <v>163</v>
      </c>
      <c r="B4" s="182" t="s">
        <v>170</v>
      </c>
      <c r="C4" s="182"/>
      <c r="D4" s="192">
        <v>2</v>
      </c>
      <c r="E4" s="237">
        <v>1</v>
      </c>
      <c r="F4" s="197">
        <v>7.43</v>
      </c>
      <c r="G4" s="197">
        <f>E4*F4</f>
        <v>7.43</v>
      </c>
      <c r="H4" s="182" t="s">
        <v>171</v>
      </c>
      <c r="I4" s="222" t="s">
        <v>168</v>
      </c>
      <c r="J4" s="207"/>
      <c r="K4" s="207"/>
      <c r="L4" s="210" t="s">
        <v>172</v>
      </c>
      <c r="M4" s="298"/>
    </row>
    <row r="5" spans="1:13" ht="18.75" customHeight="1">
      <c r="A5" s="182" t="s">
        <v>163</v>
      </c>
      <c r="B5" s="182" t="s">
        <v>173</v>
      </c>
      <c r="C5" s="182"/>
      <c r="D5" s="192">
        <v>2</v>
      </c>
      <c r="E5" s="237">
        <v>1</v>
      </c>
      <c r="F5" s="197">
        <v>24</v>
      </c>
      <c r="G5" s="197">
        <f>E5*F5</f>
        <v>24</v>
      </c>
      <c r="H5" s="199" t="s">
        <v>174</v>
      </c>
      <c r="I5" s="203" t="s">
        <v>175</v>
      </c>
      <c r="J5" s="219"/>
      <c r="K5" s="219"/>
      <c r="L5" s="210" t="s">
        <v>176</v>
      </c>
      <c r="M5" s="298"/>
    </row>
    <row r="6" spans="1:13" ht="19.5" customHeight="1">
      <c r="A6" s="183" t="s">
        <v>177</v>
      </c>
      <c r="B6" s="220" t="s">
        <v>178</v>
      </c>
      <c r="C6" s="190"/>
      <c r="D6" s="193">
        <v>1</v>
      </c>
      <c r="E6" s="221">
        <v>1</v>
      </c>
      <c r="F6" s="197">
        <v>4.18</v>
      </c>
      <c r="G6" s="197"/>
      <c r="H6" s="201" t="s">
        <v>179</v>
      </c>
      <c r="I6" s="222" t="s">
        <v>180</v>
      </c>
      <c r="J6" s="207"/>
      <c r="K6" s="207"/>
      <c r="L6" s="210" t="s">
        <v>181</v>
      </c>
      <c r="M6" s="298"/>
    </row>
    <row r="7" spans="1:13">
      <c r="A7" s="182" t="s">
        <v>177</v>
      </c>
      <c r="B7" s="182" t="s">
        <v>182</v>
      </c>
      <c r="C7" s="182"/>
      <c r="D7" s="191">
        <v>1</v>
      </c>
      <c r="E7" s="195">
        <v>1</v>
      </c>
      <c r="F7" s="197">
        <f>(2.8+1.51)</f>
        <v>4.3099999999999996</v>
      </c>
      <c r="G7" s="197">
        <f>E7*F7</f>
        <v>4.3099999999999996</v>
      </c>
      <c r="H7" s="199" t="s">
        <v>183</v>
      </c>
      <c r="I7" s="203" t="s">
        <v>184</v>
      </c>
      <c r="J7" s="219"/>
      <c r="K7" s="219"/>
      <c r="L7" s="210" t="s">
        <v>185</v>
      </c>
      <c r="M7" s="298"/>
    </row>
    <row r="8" spans="1:13" ht="12.75" customHeight="1">
      <c r="A8" s="183" t="s">
        <v>177</v>
      </c>
      <c r="B8" s="187" t="s">
        <v>186</v>
      </c>
      <c r="C8" s="187"/>
      <c r="D8" s="191">
        <v>24</v>
      </c>
      <c r="E8" s="194">
        <v>2</v>
      </c>
      <c r="F8" s="197">
        <v>8.23</v>
      </c>
      <c r="G8" s="197"/>
      <c r="H8" s="218" t="s">
        <v>187</v>
      </c>
      <c r="I8" s="222" t="s">
        <v>168</v>
      </c>
      <c r="J8" s="207"/>
      <c r="K8" s="207"/>
      <c r="L8" s="211" t="s">
        <v>188</v>
      </c>
      <c r="M8" s="298"/>
    </row>
    <row r="9" spans="1:13">
      <c r="A9" s="183" t="s">
        <v>177</v>
      </c>
      <c r="B9" s="213" t="s">
        <v>189</v>
      </c>
      <c r="C9" s="190"/>
      <c r="D9" s="193">
        <v>3</v>
      </c>
      <c r="E9" s="196">
        <v>1</v>
      </c>
      <c r="F9" s="197">
        <v>5.87</v>
      </c>
      <c r="G9" s="197"/>
      <c r="H9" s="206" t="s">
        <v>190</v>
      </c>
      <c r="I9" s="203" t="s">
        <v>191</v>
      </c>
      <c r="J9" s="207"/>
      <c r="K9" s="207"/>
      <c r="L9" s="210" t="s">
        <v>192</v>
      </c>
      <c r="M9" s="298"/>
    </row>
    <row r="10" spans="1:13">
      <c r="A10" s="183" t="s">
        <v>177</v>
      </c>
      <c r="B10" s="213" t="s">
        <v>193</v>
      </c>
      <c r="C10" s="190"/>
      <c r="D10" s="262">
        <v>3</v>
      </c>
      <c r="E10" s="194">
        <v>3</v>
      </c>
      <c r="F10" s="197">
        <v>39.5</v>
      </c>
      <c r="G10" s="197"/>
      <c r="H10" s="261" t="s">
        <v>194</v>
      </c>
      <c r="I10" s="206" t="s">
        <v>195</v>
      </c>
      <c r="J10" s="207"/>
      <c r="K10" s="207"/>
      <c r="L10" s="211" t="s">
        <v>196</v>
      </c>
      <c r="M10" s="298"/>
    </row>
    <row r="11" spans="1:13">
      <c r="A11" s="183" t="s">
        <v>177</v>
      </c>
      <c r="B11" s="184" t="s">
        <v>197</v>
      </c>
      <c r="C11" s="184"/>
      <c r="D11" s="216">
        <v>2</v>
      </c>
      <c r="E11" s="263">
        <v>2</v>
      </c>
      <c r="F11" s="197">
        <v>36.200000000000003</v>
      </c>
      <c r="G11" s="197"/>
      <c r="H11" s="261" t="s">
        <v>198</v>
      </c>
      <c r="I11" s="206" t="s">
        <v>195</v>
      </c>
      <c r="J11" s="207"/>
      <c r="K11" s="207"/>
      <c r="L11" s="211" t="s">
        <v>196</v>
      </c>
      <c r="M11" s="298"/>
    </row>
    <row r="12" spans="1:13">
      <c r="A12" s="183" t="s">
        <v>177</v>
      </c>
      <c r="B12" s="184" t="s">
        <v>199</v>
      </c>
      <c r="C12" s="184"/>
      <c r="D12" s="216">
        <v>1</v>
      </c>
      <c r="E12" s="263">
        <v>1</v>
      </c>
      <c r="F12" s="197">
        <v>34.200000000000003</v>
      </c>
      <c r="G12" s="197"/>
      <c r="H12" s="261" t="s">
        <v>200</v>
      </c>
      <c r="I12" s="206" t="s">
        <v>195</v>
      </c>
      <c r="J12" s="207"/>
      <c r="K12" s="207"/>
      <c r="L12" s="211" t="s">
        <v>196</v>
      </c>
      <c r="M12" s="298"/>
    </row>
    <row r="13" spans="1:13">
      <c r="A13" s="183" t="s">
        <v>177</v>
      </c>
      <c r="B13" s="184" t="s">
        <v>63</v>
      </c>
      <c r="C13" s="184"/>
      <c r="D13" s="216">
        <v>0</v>
      </c>
      <c r="E13" s="263"/>
      <c r="F13" s="197"/>
      <c r="G13" s="197"/>
      <c r="H13" s="261"/>
      <c r="I13" s="206" t="s">
        <v>195</v>
      </c>
      <c r="J13" s="207"/>
      <c r="K13" s="207"/>
      <c r="L13" s="211" t="s">
        <v>196</v>
      </c>
      <c r="M13" s="298"/>
    </row>
    <row r="14" spans="1:13" ht="16.5">
      <c r="A14" s="182" t="s">
        <v>201</v>
      </c>
      <c r="B14" s="182" t="s">
        <v>202</v>
      </c>
      <c r="C14" s="182"/>
      <c r="D14" s="227">
        <v>1</v>
      </c>
      <c r="E14" s="195">
        <v>1</v>
      </c>
      <c r="F14" s="197">
        <v>4.25</v>
      </c>
      <c r="G14" s="197">
        <f>E14*F14</f>
        <v>4.25</v>
      </c>
      <c r="H14" s="182" t="s">
        <v>203</v>
      </c>
      <c r="I14" s="228" t="s">
        <v>204</v>
      </c>
      <c r="J14" s="207"/>
      <c r="K14" s="207"/>
      <c r="L14" s="211" t="s">
        <v>205</v>
      </c>
      <c r="M14" s="298"/>
    </row>
    <row r="15" spans="1:13">
      <c r="A15" s="182" t="s">
        <v>206</v>
      </c>
      <c r="B15" s="243" t="s">
        <v>207</v>
      </c>
      <c r="C15" s="238"/>
      <c r="D15" s="193">
        <v>1</v>
      </c>
      <c r="E15" s="221">
        <v>1</v>
      </c>
      <c r="F15" s="197">
        <v>1.8</v>
      </c>
      <c r="G15" s="197"/>
      <c r="H15" s="201" t="s">
        <v>208</v>
      </c>
      <c r="I15" s="203" t="s">
        <v>209</v>
      </c>
      <c r="J15" s="207"/>
      <c r="K15" s="207"/>
      <c r="L15" s="210" t="s">
        <v>210</v>
      </c>
      <c r="M15" s="298"/>
    </row>
    <row r="16" spans="1:13" ht="15.75">
      <c r="A16" s="182" t="s">
        <v>206</v>
      </c>
      <c r="B16" s="190" t="s">
        <v>211</v>
      </c>
      <c r="C16" s="244"/>
      <c r="D16" s="239">
        <v>1</v>
      </c>
      <c r="E16" s="196"/>
      <c r="F16" s="197"/>
      <c r="G16" s="197"/>
      <c r="H16" s="198"/>
      <c r="I16" s="203"/>
      <c r="J16" s="207"/>
      <c r="K16" s="207"/>
      <c r="L16" s="242"/>
      <c r="M16" s="298"/>
    </row>
    <row r="17" spans="1:13" ht="15.75">
      <c r="A17" s="182" t="s">
        <v>206</v>
      </c>
      <c r="B17" s="185" t="s">
        <v>212</v>
      </c>
      <c r="C17" s="190"/>
      <c r="D17" s="239">
        <v>1</v>
      </c>
      <c r="E17" s="196"/>
      <c r="F17" s="197"/>
      <c r="G17" s="197"/>
      <c r="H17" s="199"/>
      <c r="I17" s="203" t="s">
        <v>213</v>
      </c>
      <c r="J17" s="207"/>
      <c r="K17" s="207"/>
      <c r="L17" s="209"/>
      <c r="M17" s="298"/>
    </row>
    <row r="18" spans="1:13">
      <c r="A18" s="182" t="s">
        <v>206</v>
      </c>
      <c r="B18" s="188" t="s">
        <v>214</v>
      </c>
      <c r="C18" s="185">
        <v>1</v>
      </c>
      <c r="D18" s="239">
        <v>1</v>
      </c>
      <c r="E18" s="196">
        <v>1</v>
      </c>
      <c r="F18" s="197">
        <v>16.670000000000002</v>
      </c>
      <c r="G18" s="197"/>
      <c r="H18" s="201" t="s">
        <v>215</v>
      </c>
      <c r="I18" s="203" t="s">
        <v>216</v>
      </c>
      <c r="J18" s="207"/>
      <c r="K18" s="207"/>
      <c r="L18" s="211" t="s">
        <v>217</v>
      </c>
      <c r="M18" s="298"/>
    </row>
    <row r="19" spans="1:13">
      <c r="A19" s="182" t="s">
        <v>206</v>
      </c>
      <c r="B19" s="186" t="s">
        <v>218</v>
      </c>
      <c r="C19" s="186"/>
      <c r="D19" s="247">
        <v>2</v>
      </c>
      <c r="E19" s="196"/>
      <c r="F19" s="197"/>
      <c r="G19" s="197"/>
      <c r="H19" s="199"/>
      <c r="I19" s="203"/>
      <c r="J19" s="207"/>
      <c r="K19" s="207"/>
      <c r="L19" s="208"/>
      <c r="M19" s="298"/>
    </row>
    <row r="20" spans="1:13">
      <c r="A20" s="182" t="s">
        <v>206</v>
      </c>
      <c r="B20" s="182" t="s">
        <v>219</v>
      </c>
      <c r="C20" s="182"/>
      <c r="D20" s="192">
        <v>1</v>
      </c>
      <c r="E20" s="194"/>
      <c r="F20" s="197"/>
      <c r="G20" s="197"/>
      <c r="H20" s="251" t="s">
        <v>220</v>
      </c>
      <c r="I20" s="252" t="s">
        <v>221</v>
      </c>
      <c r="J20" s="207"/>
      <c r="K20" s="207"/>
      <c r="L20" s="208"/>
      <c r="M20" s="298"/>
    </row>
    <row r="21" spans="1:13">
      <c r="A21" s="182" t="s">
        <v>206</v>
      </c>
      <c r="B21" s="182" t="s">
        <v>222</v>
      </c>
      <c r="C21" s="182"/>
      <c r="D21" s="192">
        <v>1</v>
      </c>
      <c r="E21" s="194"/>
      <c r="F21" s="197"/>
      <c r="G21" s="197"/>
      <c r="H21" s="251" t="s">
        <v>220</v>
      </c>
      <c r="I21" s="252" t="s">
        <v>221</v>
      </c>
      <c r="J21" s="207"/>
      <c r="K21" s="207"/>
      <c r="L21" s="208"/>
      <c r="M21" s="298"/>
    </row>
    <row r="22" spans="1:13">
      <c r="A22" s="182" t="s">
        <v>206</v>
      </c>
      <c r="B22" s="213" t="s">
        <v>223</v>
      </c>
      <c r="C22" s="190"/>
      <c r="D22" s="191">
        <v>1</v>
      </c>
      <c r="E22" s="194"/>
      <c r="F22" s="197"/>
      <c r="G22" s="197"/>
      <c r="H22" s="253"/>
      <c r="I22" s="203"/>
      <c r="J22" s="207"/>
      <c r="K22" s="207"/>
      <c r="L22" s="208"/>
      <c r="M22" s="298"/>
    </row>
    <row r="23" spans="1:13">
      <c r="A23" s="182" t="s">
        <v>206</v>
      </c>
      <c r="B23" s="305" t="s">
        <v>224</v>
      </c>
      <c r="C23" s="305"/>
      <c r="D23" s="306">
        <v>1</v>
      </c>
      <c r="E23" s="307"/>
      <c r="F23" s="197"/>
      <c r="G23" s="197"/>
      <c r="H23" s="199"/>
      <c r="I23" s="204" t="s">
        <v>225</v>
      </c>
      <c r="J23" s="207"/>
      <c r="K23" s="207"/>
      <c r="L23" s="208"/>
      <c r="M23" s="298"/>
    </row>
    <row r="24" spans="1:13" ht="15.75">
      <c r="A24" s="182" t="s">
        <v>206</v>
      </c>
      <c r="B24" s="185" t="s">
        <v>226</v>
      </c>
      <c r="C24" s="190"/>
      <c r="D24" s="306">
        <v>1</v>
      </c>
      <c r="E24" s="307"/>
      <c r="F24" s="197"/>
      <c r="G24" s="197"/>
      <c r="H24" s="199"/>
      <c r="I24" s="203" t="s">
        <v>213</v>
      </c>
      <c r="J24" s="207"/>
      <c r="K24" s="207"/>
      <c r="L24" s="209"/>
      <c r="M24" s="298"/>
    </row>
    <row r="25" spans="1:13">
      <c r="A25" s="182" t="s">
        <v>206</v>
      </c>
      <c r="B25" s="184" t="s">
        <v>227</v>
      </c>
      <c r="C25" s="190"/>
      <c r="D25" s="216">
        <v>3</v>
      </c>
      <c r="E25" s="307">
        <v>1</v>
      </c>
      <c r="F25" s="197">
        <v>24.57</v>
      </c>
      <c r="G25" s="197"/>
      <c r="H25" s="198" t="s">
        <v>228</v>
      </c>
      <c r="I25" s="206" t="s">
        <v>229</v>
      </c>
      <c r="J25" s="207"/>
      <c r="K25" s="207"/>
      <c r="L25" s="211" t="s">
        <v>45</v>
      </c>
      <c r="M25" s="298"/>
    </row>
    <row r="26" spans="1:13">
      <c r="A26" s="182" t="s">
        <v>206</v>
      </c>
      <c r="B26" s="184" t="s">
        <v>230</v>
      </c>
      <c r="C26" s="184"/>
      <c r="D26" s="216">
        <v>2</v>
      </c>
      <c r="E26" s="307">
        <v>2</v>
      </c>
      <c r="F26" s="197">
        <v>13.4</v>
      </c>
      <c r="G26" s="197"/>
      <c r="H26" s="198" t="s">
        <v>231</v>
      </c>
      <c r="I26" s="206" t="s">
        <v>229</v>
      </c>
      <c r="J26" s="207"/>
      <c r="K26" s="207"/>
      <c r="L26" s="211" t="s">
        <v>45</v>
      </c>
      <c r="M26" s="298"/>
    </row>
    <row r="27" spans="1:13">
      <c r="A27" s="182" t="s">
        <v>206</v>
      </c>
      <c r="B27" s="238" t="s">
        <v>232</v>
      </c>
      <c r="C27" s="190"/>
      <c r="D27" s="239">
        <v>1</v>
      </c>
      <c r="E27" s="196">
        <v>1</v>
      </c>
      <c r="F27" s="197">
        <v>12.4</v>
      </c>
      <c r="G27" s="197"/>
      <c r="H27" s="198" t="s">
        <v>233</v>
      </c>
      <c r="I27" s="203" t="s">
        <v>234</v>
      </c>
      <c r="J27" s="207"/>
      <c r="K27" s="207"/>
      <c r="L27" s="211" t="s">
        <v>235</v>
      </c>
      <c r="M27" s="298"/>
    </row>
    <row r="28" spans="1:13">
      <c r="A28" s="182" t="s">
        <v>206</v>
      </c>
      <c r="B28" s="182" t="s">
        <v>236</v>
      </c>
      <c r="C28" s="190"/>
      <c r="D28" s="239">
        <v>1</v>
      </c>
      <c r="E28" s="196">
        <v>1</v>
      </c>
      <c r="F28" s="197"/>
      <c r="G28" s="197"/>
      <c r="H28" s="198" t="s">
        <v>237</v>
      </c>
      <c r="I28" s="203"/>
      <c r="J28" s="207"/>
      <c r="K28" s="207"/>
      <c r="L28" s="211"/>
      <c r="M28" s="298"/>
    </row>
    <row r="29" spans="1:13" ht="16.5">
      <c r="A29" s="182" t="s">
        <v>238</v>
      </c>
      <c r="B29" s="215" t="s">
        <v>239</v>
      </c>
      <c r="C29" s="190"/>
      <c r="D29" s="216">
        <v>4</v>
      </c>
      <c r="E29" s="307">
        <v>1</v>
      </c>
      <c r="F29" s="197">
        <v>76.45</v>
      </c>
      <c r="G29" s="197"/>
      <c r="H29" s="206" t="s">
        <v>240</v>
      </c>
      <c r="I29" s="203" t="s">
        <v>191</v>
      </c>
      <c r="J29" s="207"/>
      <c r="K29" s="207"/>
      <c r="L29" s="210" t="s">
        <v>241</v>
      </c>
      <c r="M29" s="298"/>
    </row>
    <row r="30" spans="1:13" ht="15.75">
      <c r="A30" s="182" t="s">
        <v>238</v>
      </c>
      <c r="B30" s="182" t="s">
        <v>242</v>
      </c>
      <c r="C30" s="190"/>
      <c r="D30" s="216">
        <v>5</v>
      </c>
      <c r="E30" s="307">
        <v>1</v>
      </c>
      <c r="F30" s="197"/>
      <c r="G30" s="197"/>
      <c r="H30" s="248"/>
      <c r="I30" s="203"/>
      <c r="J30" s="207"/>
      <c r="K30" s="207"/>
      <c r="L30" s="242"/>
      <c r="M30" s="298"/>
    </row>
    <row r="31" spans="1:13" ht="15.75">
      <c r="A31" s="182" t="s">
        <v>238</v>
      </c>
      <c r="B31" s="182" t="s">
        <v>243</v>
      </c>
      <c r="C31" s="190"/>
      <c r="D31" s="191">
        <v>2</v>
      </c>
      <c r="E31" s="194"/>
      <c r="F31" s="197"/>
      <c r="G31" s="197"/>
      <c r="H31" s="218"/>
      <c r="I31" s="203"/>
      <c r="J31" s="207"/>
      <c r="K31" s="207"/>
      <c r="L31" s="209"/>
      <c r="M31" s="298"/>
    </row>
    <row r="32" spans="1:13">
      <c r="A32" s="182" t="s">
        <v>238</v>
      </c>
      <c r="B32" s="184" t="s">
        <v>31</v>
      </c>
      <c r="C32" s="184"/>
      <c r="D32" s="191">
        <v>8</v>
      </c>
      <c r="E32" s="194"/>
      <c r="F32" s="197"/>
      <c r="G32" s="197"/>
      <c r="H32" s="218"/>
      <c r="I32" s="203"/>
      <c r="J32" s="207"/>
      <c r="K32" s="207"/>
      <c r="L32" s="182"/>
      <c r="M32" s="298"/>
    </row>
    <row r="33" spans="1:13">
      <c r="A33" s="249" t="s">
        <v>238</v>
      </c>
      <c r="B33" s="250" t="s">
        <v>244</v>
      </c>
      <c r="C33" s="190"/>
      <c r="D33" s="191">
        <v>3</v>
      </c>
      <c r="E33" s="195" t="s">
        <v>245</v>
      </c>
      <c r="F33" s="197"/>
      <c r="G33" s="197"/>
      <c r="H33" s="218"/>
      <c r="I33" s="203"/>
      <c r="J33" s="207"/>
      <c r="K33" s="207"/>
      <c r="L33" s="211"/>
      <c r="M33" s="298"/>
    </row>
    <row r="34" spans="1:13" ht="18.75" customHeight="1">
      <c r="A34" s="183" t="s">
        <v>246</v>
      </c>
      <c r="B34" s="182" t="s">
        <v>247</v>
      </c>
      <c r="C34" s="182"/>
      <c r="D34" s="191">
        <v>6</v>
      </c>
      <c r="E34" s="195">
        <v>1</v>
      </c>
      <c r="F34" s="197">
        <v>9.1999999999999993</v>
      </c>
      <c r="G34" s="197">
        <v>9.1999999999999993</v>
      </c>
      <c r="H34" s="182" t="s">
        <v>248</v>
      </c>
      <c r="I34" s="222" t="s">
        <v>249</v>
      </c>
      <c r="J34" s="241"/>
      <c r="K34" s="207"/>
      <c r="L34" s="211" t="s">
        <v>250</v>
      </c>
      <c r="M34" s="298"/>
    </row>
    <row r="35" spans="1:13" ht="15.75">
      <c r="A35" s="183" t="s">
        <v>246</v>
      </c>
      <c r="B35" s="182" t="s">
        <v>251</v>
      </c>
      <c r="C35" s="244"/>
      <c r="D35" s="191">
        <v>4</v>
      </c>
      <c r="E35" s="194"/>
      <c r="F35" s="197"/>
      <c r="G35" s="197"/>
      <c r="H35" s="240"/>
      <c r="I35" s="203"/>
      <c r="J35" s="241"/>
      <c r="K35" s="207"/>
      <c r="L35" s="242"/>
      <c r="M35" s="298"/>
    </row>
    <row r="36" spans="1:13" ht="15.75">
      <c r="A36" s="183" t="s">
        <v>246</v>
      </c>
      <c r="B36" s="182" t="s">
        <v>252</v>
      </c>
      <c r="C36" s="182"/>
      <c r="D36" s="191">
        <v>6</v>
      </c>
      <c r="E36" s="194"/>
      <c r="F36" s="197"/>
      <c r="G36" s="197"/>
      <c r="H36" s="218"/>
      <c r="I36" s="233" t="s">
        <v>253</v>
      </c>
      <c r="J36" s="207"/>
      <c r="K36" s="207"/>
      <c r="L36" s="209"/>
      <c r="M36" s="298"/>
    </row>
    <row r="37" spans="1:13">
      <c r="A37" s="182" t="s">
        <v>254</v>
      </c>
      <c r="B37" s="238" t="s">
        <v>255</v>
      </c>
      <c r="C37" s="238"/>
      <c r="D37" s="193">
        <v>1</v>
      </c>
      <c r="E37" s="196">
        <v>1</v>
      </c>
      <c r="F37" s="197">
        <v>40.49</v>
      </c>
      <c r="G37" s="197"/>
      <c r="H37" s="238" t="s">
        <v>255</v>
      </c>
      <c r="I37" s="203" t="s">
        <v>209</v>
      </c>
      <c r="J37" s="207"/>
      <c r="K37" s="207"/>
      <c r="L37" s="210" t="s">
        <v>256</v>
      </c>
      <c r="M37" s="298"/>
    </row>
    <row r="38" spans="1:13">
      <c r="A38" s="182" t="s">
        <v>254</v>
      </c>
      <c r="B38" s="220" t="s">
        <v>257</v>
      </c>
      <c r="C38" s="182"/>
      <c r="D38" s="192">
        <v>1</v>
      </c>
      <c r="E38" s="264"/>
      <c r="F38" s="182"/>
      <c r="G38" s="182"/>
      <c r="H38" s="182"/>
      <c r="I38" s="182"/>
      <c r="J38" s="182"/>
      <c r="K38" s="182"/>
      <c r="L38" s="182"/>
      <c r="M38" s="298"/>
    </row>
    <row r="39" spans="1:13">
      <c r="A39" s="182" t="s">
        <v>258</v>
      </c>
      <c r="B39" s="182" t="s">
        <v>259</v>
      </c>
      <c r="C39" s="182"/>
      <c r="D39" s="192">
        <v>2</v>
      </c>
      <c r="E39" s="194">
        <v>1</v>
      </c>
      <c r="F39" s="197">
        <v>2.41</v>
      </c>
      <c r="G39" s="197"/>
      <c r="H39" s="201" t="s">
        <v>260</v>
      </c>
      <c r="I39" s="205" t="s">
        <v>261</v>
      </c>
      <c r="J39" s="207">
        <v>934</v>
      </c>
      <c r="K39" s="207"/>
      <c r="L39" s="210" t="s">
        <v>262</v>
      </c>
      <c r="M39" s="298"/>
    </row>
    <row r="40" spans="1:13">
      <c r="A40" s="182" t="s">
        <v>258</v>
      </c>
      <c r="B40" s="182" t="s">
        <v>263</v>
      </c>
      <c r="C40" s="182"/>
      <c r="D40" s="192">
        <v>41</v>
      </c>
      <c r="E40" s="195">
        <v>1</v>
      </c>
      <c r="F40" s="197">
        <v>2.33</v>
      </c>
      <c r="G40" s="197">
        <f>E40*F40</f>
        <v>2.33</v>
      </c>
      <c r="H40" s="182" t="s">
        <v>264</v>
      </c>
      <c r="I40" s="205" t="s">
        <v>261</v>
      </c>
      <c r="J40" s="207">
        <v>934</v>
      </c>
      <c r="K40" s="207"/>
      <c r="L40" s="210" t="s">
        <v>262</v>
      </c>
      <c r="M40" s="298"/>
    </row>
    <row r="41" spans="1:13">
      <c r="A41" s="182" t="s">
        <v>258</v>
      </c>
      <c r="B41" s="182" t="s">
        <v>265</v>
      </c>
      <c r="C41" s="182"/>
      <c r="D41" s="192">
        <v>96</v>
      </c>
      <c r="E41" s="195">
        <v>20</v>
      </c>
      <c r="F41" s="197">
        <v>0.38</v>
      </c>
      <c r="G41" s="197">
        <f>E41*F41</f>
        <v>7.6</v>
      </c>
      <c r="H41" s="182" t="s">
        <v>266</v>
      </c>
      <c r="I41" s="254" t="s">
        <v>261</v>
      </c>
      <c r="J41" s="207"/>
      <c r="K41" s="207"/>
      <c r="L41" s="210" t="s">
        <v>267</v>
      </c>
      <c r="M41" s="298"/>
    </row>
    <row r="42" spans="1:13">
      <c r="A42" s="182" t="s">
        <v>258</v>
      </c>
      <c r="B42" s="183" t="s">
        <v>268</v>
      </c>
      <c r="C42" s="183"/>
      <c r="D42" s="191">
        <v>11</v>
      </c>
      <c r="E42" s="195">
        <v>1</v>
      </c>
      <c r="F42" s="197">
        <v>2.76</v>
      </c>
      <c r="G42" s="197">
        <f>E42*F42</f>
        <v>2.76</v>
      </c>
      <c r="H42" s="182" t="s">
        <v>269</v>
      </c>
      <c r="I42" s="205" t="s">
        <v>261</v>
      </c>
      <c r="J42" s="219">
        <v>985</v>
      </c>
      <c r="K42" s="219"/>
      <c r="L42" s="208"/>
      <c r="M42" s="298"/>
    </row>
    <row r="43" spans="1:13">
      <c r="A43" s="182" t="s">
        <v>258</v>
      </c>
      <c r="B43" s="182" t="s">
        <v>270</v>
      </c>
      <c r="C43" s="182"/>
      <c r="D43" s="192">
        <v>8</v>
      </c>
      <c r="E43" s="195">
        <v>1</v>
      </c>
      <c r="F43" s="197">
        <v>1.82</v>
      </c>
      <c r="G43" s="197">
        <f>E43*F43</f>
        <v>1.82</v>
      </c>
      <c r="H43" s="182" t="s">
        <v>271</v>
      </c>
      <c r="I43" s="205" t="s">
        <v>261</v>
      </c>
      <c r="J43" s="219">
        <v>934</v>
      </c>
      <c r="K43" s="219"/>
      <c r="L43" s="211" t="s">
        <v>272</v>
      </c>
      <c r="M43" s="298"/>
    </row>
    <row r="44" spans="1:13">
      <c r="A44" s="182" t="s">
        <v>258</v>
      </c>
      <c r="B44" s="183" t="s">
        <v>273</v>
      </c>
      <c r="C44" s="183"/>
      <c r="D44" s="192">
        <v>17</v>
      </c>
      <c r="E44" s="195">
        <v>1</v>
      </c>
      <c r="F44" s="197">
        <v>2.13</v>
      </c>
      <c r="G44" s="197">
        <f>E44*F44</f>
        <v>2.13</v>
      </c>
      <c r="H44" s="182" t="s">
        <v>274</v>
      </c>
      <c r="I44" s="205" t="s">
        <v>261</v>
      </c>
      <c r="J44" s="207">
        <v>985</v>
      </c>
      <c r="K44" s="207">
        <v>10511</v>
      </c>
      <c r="L44" s="211" t="s">
        <v>275</v>
      </c>
      <c r="M44" s="298"/>
    </row>
    <row r="45" spans="1:13">
      <c r="A45" s="182" t="s">
        <v>258</v>
      </c>
      <c r="B45" s="187" t="s">
        <v>276</v>
      </c>
      <c r="C45" s="187"/>
      <c r="D45" s="192">
        <v>27</v>
      </c>
      <c r="E45" s="195">
        <v>1</v>
      </c>
      <c r="F45" s="197">
        <v>2</v>
      </c>
      <c r="G45" s="197">
        <f>E45*F45</f>
        <v>2</v>
      </c>
      <c r="H45" s="182" t="s">
        <v>277</v>
      </c>
      <c r="I45" s="205" t="s">
        <v>261</v>
      </c>
      <c r="J45" s="219">
        <v>934</v>
      </c>
      <c r="K45" s="219"/>
      <c r="L45" s="211" t="s">
        <v>262</v>
      </c>
      <c r="M45" s="298"/>
    </row>
    <row r="46" spans="1:13">
      <c r="A46" s="182" t="s">
        <v>258</v>
      </c>
      <c r="B46" s="182" t="s">
        <v>278</v>
      </c>
      <c r="C46" s="182"/>
      <c r="D46" s="192">
        <v>185</v>
      </c>
      <c r="E46" s="195">
        <v>2</v>
      </c>
      <c r="F46" s="197">
        <v>3.64</v>
      </c>
      <c r="G46" s="197">
        <f>E46*F46</f>
        <v>7.28</v>
      </c>
      <c r="H46" s="182" t="s">
        <v>279</v>
      </c>
      <c r="I46" s="297" t="s">
        <v>261</v>
      </c>
      <c r="J46" s="219">
        <v>125</v>
      </c>
      <c r="K46" s="219">
        <v>7089</v>
      </c>
      <c r="L46" s="211" t="s">
        <v>267</v>
      </c>
      <c r="M46" s="298"/>
    </row>
    <row r="47" spans="1:13">
      <c r="A47" s="182" t="s">
        <v>258</v>
      </c>
      <c r="B47" s="182" t="s">
        <v>280</v>
      </c>
      <c r="C47" s="182"/>
      <c r="D47" s="192">
        <v>13</v>
      </c>
      <c r="E47" s="195">
        <v>1</v>
      </c>
      <c r="F47" s="197">
        <v>3.4</v>
      </c>
      <c r="G47" s="197">
        <f>E47*F47</f>
        <v>3.4</v>
      </c>
      <c r="H47" s="182" t="s">
        <v>281</v>
      </c>
      <c r="I47" s="205" t="s">
        <v>261</v>
      </c>
      <c r="J47" s="207">
        <v>985</v>
      </c>
      <c r="K47" s="207">
        <v>10511</v>
      </c>
      <c r="L47" s="211" t="s">
        <v>282</v>
      </c>
      <c r="M47" s="298"/>
    </row>
    <row r="48" spans="1:13">
      <c r="A48" s="182" t="s">
        <v>283</v>
      </c>
      <c r="B48" s="182" t="s">
        <v>284</v>
      </c>
      <c r="C48" s="190"/>
      <c r="D48" s="193">
        <v>1</v>
      </c>
      <c r="E48" s="196"/>
      <c r="F48" s="197"/>
      <c r="G48" s="197"/>
      <c r="H48" s="198"/>
      <c r="I48" s="203"/>
      <c r="J48" s="207"/>
      <c r="K48" s="207"/>
      <c r="L48" s="211" t="s">
        <v>285</v>
      </c>
      <c r="M48" s="298"/>
    </row>
    <row r="49" spans="1:13">
      <c r="A49" s="182" t="s">
        <v>46</v>
      </c>
      <c r="B49" s="308" t="s">
        <v>286</v>
      </c>
      <c r="C49" s="190"/>
      <c r="D49" s="239">
        <v>1</v>
      </c>
      <c r="E49" s="307">
        <v>1</v>
      </c>
      <c r="F49" s="197">
        <v>70</v>
      </c>
      <c r="G49" s="197"/>
      <c r="H49" s="199"/>
      <c r="I49" s="203" t="s">
        <v>287</v>
      </c>
      <c r="J49" s="207"/>
      <c r="K49" s="207"/>
      <c r="L49" s="208"/>
      <c r="M49" s="298"/>
    </row>
    <row r="50" spans="1:13" ht="18.75" customHeight="1">
      <c r="A50" s="182" t="s">
        <v>288</v>
      </c>
      <c r="B50" s="223" t="s">
        <v>289</v>
      </c>
      <c r="C50" s="223"/>
      <c r="D50" s="224">
        <v>3</v>
      </c>
      <c r="E50" s="225">
        <v>3</v>
      </c>
      <c r="F50" s="197">
        <v>2.23</v>
      </c>
      <c r="G50" s="197"/>
      <c r="H50" s="226" t="s">
        <v>290</v>
      </c>
      <c r="I50" s="222" t="s">
        <v>291</v>
      </c>
      <c r="J50" s="207"/>
      <c r="K50" s="207"/>
      <c r="L50" s="208"/>
      <c r="M50" s="298"/>
    </row>
    <row r="51" spans="1:13" ht="18.75" customHeight="1">
      <c r="A51" s="182" t="s">
        <v>288</v>
      </c>
      <c r="B51" s="223" t="s">
        <v>292</v>
      </c>
      <c r="C51" s="223"/>
      <c r="D51" s="224">
        <v>3</v>
      </c>
      <c r="E51" s="230">
        <v>3</v>
      </c>
      <c r="F51" s="197">
        <v>2.27</v>
      </c>
      <c r="G51" s="197"/>
      <c r="H51" s="231" t="s">
        <v>290</v>
      </c>
      <c r="I51" s="222" t="s">
        <v>291</v>
      </c>
      <c r="J51" s="207"/>
      <c r="K51" s="207"/>
      <c r="L51" s="208"/>
      <c r="M51" s="298"/>
    </row>
    <row r="52" spans="1:13">
      <c r="A52" s="182" t="s">
        <v>288</v>
      </c>
      <c r="B52" s="238" t="s">
        <v>293</v>
      </c>
      <c r="C52" s="190"/>
      <c r="D52" s="239">
        <v>1</v>
      </c>
      <c r="E52" s="196"/>
      <c r="F52" s="197"/>
      <c r="G52" s="197"/>
      <c r="H52" s="199"/>
      <c r="I52" s="203" t="s">
        <v>253</v>
      </c>
      <c r="J52" s="207"/>
      <c r="K52" s="207"/>
      <c r="L52" s="208"/>
      <c r="M52" s="298"/>
    </row>
    <row r="53" spans="1:13" ht="18.75" customHeight="1">
      <c r="A53" s="182" t="s">
        <v>288</v>
      </c>
      <c r="B53" s="238" t="s">
        <v>294</v>
      </c>
      <c r="C53" s="238"/>
      <c r="D53" s="245">
        <v>1</v>
      </c>
      <c r="E53" s="246">
        <v>1</v>
      </c>
      <c r="F53" s="197">
        <v>7.99</v>
      </c>
      <c r="G53" s="197"/>
      <c r="H53" s="240" t="s">
        <v>295</v>
      </c>
      <c r="I53" s="222" t="s">
        <v>296</v>
      </c>
      <c r="J53" s="207"/>
      <c r="K53" s="207"/>
      <c r="L53" s="210" t="s">
        <v>297</v>
      </c>
      <c r="M53" s="298"/>
    </row>
    <row r="54" spans="1:13">
      <c r="A54" s="182" t="s">
        <v>288</v>
      </c>
      <c r="B54" s="220" t="s">
        <v>298</v>
      </c>
      <c r="C54" s="190"/>
      <c r="D54" s="296">
        <v>2</v>
      </c>
      <c r="E54" s="196">
        <v>2</v>
      </c>
      <c r="F54" s="197">
        <v>3.49</v>
      </c>
      <c r="G54" s="197"/>
      <c r="H54" s="258" t="s">
        <v>299</v>
      </c>
      <c r="I54" s="203"/>
      <c r="J54" s="207"/>
      <c r="K54" s="207"/>
      <c r="L54" s="210" t="s">
        <v>300</v>
      </c>
      <c r="M54" s="298"/>
    </row>
    <row r="55" spans="1:13" ht="15.75">
      <c r="A55" s="182" t="s">
        <v>288</v>
      </c>
      <c r="B55" s="223" t="s">
        <v>301</v>
      </c>
      <c r="C55" s="223"/>
      <c r="D55" s="247">
        <v>1</v>
      </c>
      <c r="E55" s="265" t="s">
        <v>302</v>
      </c>
      <c r="F55" s="197"/>
      <c r="G55" s="197"/>
      <c r="H55" s="198"/>
      <c r="I55" s="203"/>
      <c r="J55" s="207"/>
      <c r="K55" s="207"/>
      <c r="L55" s="209"/>
      <c r="M55" s="298"/>
    </row>
    <row r="56" spans="1:13" ht="15.75">
      <c r="A56" s="182" t="s">
        <v>288</v>
      </c>
      <c r="B56" s="223" t="s">
        <v>303</v>
      </c>
      <c r="C56" s="223"/>
      <c r="D56" s="247">
        <v>1</v>
      </c>
      <c r="E56" s="265" t="s">
        <v>304</v>
      </c>
      <c r="F56" s="197"/>
      <c r="G56" s="197"/>
      <c r="H56" s="198"/>
      <c r="I56" s="203"/>
      <c r="J56" s="207"/>
      <c r="K56" s="207"/>
      <c r="L56" s="209"/>
      <c r="M56" s="298"/>
    </row>
    <row r="57" spans="1:13" ht="15.75">
      <c r="A57" s="182" t="s">
        <v>288</v>
      </c>
      <c r="B57" s="186" t="s">
        <v>305</v>
      </c>
      <c r="C57" s="186"/>
      <c r="D57" s="247">
        <v>1</v>
      </c>
      <c r="E57" s="196"/>
      <c r="F57" s="197"/>
      <c r="G57" s="197"/>
      <c r="H57" s="198"/>
      <c r="I57" s="203"/>
      <c r="J57" s="207"/>
      <c r="K57" s="207"/>
      <c r="L57" s="209"/>
      <c r="M57" s="298"/>
    </row>
    <row r="58" spans="1:13" ht="15.75">
      <c r="A58" s="182" t="s">
        <v>288</v>
      </c>
      <c r="B58" s="223" t="s">
        <v>306</v>
      </c>
      <c r="C58" s="223"/>
      <c r="D58" s="247">
        <v>1</v>
      </c>
      <c r="E58" s="196"/>
      <c r="F58" s="197"/>
      <c r="G58" s="197"/>
      <c r="H58" s="198"/>
      <c r="I58" s="203"/>
      <c r="J58" s="207"/>
      <c r="K58" s="207"/>
      <c r="L58" s="209"/>
      <c r="M58" s="298"/>
    </row>
    <row r="59" spans="1:13">
      <c r="A59" s="182" t="s">
        <v>307</v>
      </c>
      <c r="B59" s="182" t="s">
        <v>308</v>
      </c>
      <c r="C59" s="190"/>
      <c r="D59" s="193">
        <v>34</v>
      </c>
      <c r="E59" s="196">
        <v>4</v>
      </c>
      <c r="F59" s="197">
        <v>5.49</v>
      </c>
      <c r="G59" s="197"/>
      <c r="H59" s="201" t="s">
        <v>309</v>
      </c>
      <c r="I59" s="203" t="s">
        <v>310</v>
      </c>
      <c r="J59" s="207"/>
      <c r="K59" s="207"/>
      <c r="L59" s="210" t="s">
        <v>311</v>
      </c>
      <c r="M59" s="298"/>
    </row>
    <row r="60" spans="1:13">
      <c r="A60" s="182" t="s">
        <v>307</v>
      </c>
      <c r="B60" s="182" t="s">
        <v>312</v>
      </c>
      <c r="C60" s="190"/>
      <c r="D60" s="193">
        <v>2</v>
      </c>
      <c r="E60" s="196">
        <v>1</v>
      </c>
      <c r="F60" s="197">
        <v>8.8800000000000008</v>
      </c>
      <c r="G60" s="197"/>
      <c r="H60" s="202" t="s">
        <v>313</v>
      </c>
      <c r="I60" s="203" t="s">
        <v>310</v>
      </c>
      <c r="J60" s="207"/>
      <c r="K60" s="207"/>
      <c r="L60" s="210" t="s">
        <v>314</v>
      </c>
      <c r="M60" s="298"/>
    </row>
    <row r="61" spans="1:13">
      <c r="A61" s="182" t="s">
        <v>307</v>
      </c>
      <c r="B61" s="234" t="s">
        <v>315</v>
      </c>
      <c r="C61" s="234"/>
      <c r="D61" s="235">
        <v>4</v>
      </c>
      <c r="E61" s="196"/>
      <c r="F61" s="197">
        <v>4.7</v>
      </c>
      <c r="G61" s="197"/>
      <c r="H61" s="198" t="s">
        <v>316</v>
      </c>
      <c r="I61" s="203" t="s">
        <v>317</v>
      </c>
      <c r="J61" s="207"/>
      <c r="K61" s="207"/>
      <c r="L61" s="210" t="s">
        <v>318</v>
      </c>
      <c r="M61" s="298"/>
    </row>
    <row r="62" spans="1:13">
      <c r="A62" s="182" t="s">
        <v>307</v>
      </c>
      <c r="B62" s="212" t="s">
        <v>319</v>
      </c>
      <c r="C62" s="184"/>
      <c r="D62" s="216">
        <v>1</v>
      </c>
      <c r="E62" s="196">
        <v>1</v>
      </c>
      <c r="F62" s="236">
        <v>6.2</v>
      </c>
      <c r="G62" s="236"/>
      <c r="H62" s="198" t="s">
        <v>320</v>
      </c>
      <c r="I62" s="203" t="s">
        <v>317</v>
      </c>
      <c r="J62" s="207"/>
      <c r="K62" s="207"/>
      <c r="L62" s="210" t="s">
        <v>318</v>
      </c>
      <c r="M62" s="298"/>
    </row>
    <row r="63" spans="1:13" ht="15.75">
      <c r="A63" s="182" t="s">
        <v>321</v>
      </c>
      <c r="B63" s="182" t="s">
        <v>322</v>
      </c>
      <c r="C63" s="266">
        <v>420</v>
      </c>
      <c r="D63" s="192">
        <v>1</v>
      </c>
      <c r="E63" s="196"/>
      <c r="F63" s="197"/>
      <c r="G63" s="197"/>
      <c r="H63" s="198"/>
      <c r="I63" s="203"/>
      <c r="J63" s="207"/>
      <c r="K63" s="207"/>
      <c r="L63" s="209"/>
      <c r="M63" s="298"/>
    </row>
    <row r="64" spans="1:13" ht="15.75">
      <c r="A64" s="182" t="s">
        <v>321</v>
      </c>
      <c r="B64" s="182" t="s">
        <v>323</v>
      </c>
      <c r="C64" s="266">
        <v>368</v>
      </c>
      <c r="D64" s="192">
        <v>1</v>
      </c>
      <c r="E64" s="196"/>
      <c r="F64" s="197"/>
      <c r="G64" s="197"/>
      <c r="H64" s="198"/>
      <c r="I64" s="203"/>
      <c r="J64" s="207"/>
      <c r="K64" s="207"/>
      <c r="L64" s="209"/>
      <c r="M64" s="298"/>
    </row>
    <row r="65" spans="1:13" ht="15.75">
      <c r="A65" s="182" t="s">
        <v>321</v>
      </c>
      <c r="B65" s="182" t="s">
        <v>324</v>
      </c>
      <c r="C65" s="266">
        <v>172</v>
      </c>
      <c r="D65" s="192">
        <v>1</v>
      </c>
      <c r="E65" s="196"/>
      <c r="F65" s="197"/>
      <c r="G65" s="197"/>
      <c r="H65" s="198"/>
      <c r="I65" s="203"/>
      <c r="J65" s="207"/>
      <c r="K65" s="207"/>
      <c r="L65" s="209"/>
      <c r="M65" s="298"/>
    </row>
    <row r="66" spans="1:13" ht="15.75">
      <c r="A66" s="258" t="s">
        <v>325</v>
      </c>
      <c r="B66" s="182" t="s">
        <v>326</v>
      </c>
      <c r="C66" s="266">
        <v>420</v>
      </c>
      <c r="D66" s="192">
        <v>4</v>
      </c>
      <c r="E66" s="196"/>
      <c r="F66" s="197"/>
      <c r="G66" s="197"/>
      <c r="H66" s="198"/>
      <c r="I66" s="203"/>
      <c r="J66" s="207"/>
      <c r="K66" s="207"/>
      <c r="L66" s="209"/>
      <c r="M66" s="298"/>
    </row>
    <row r="67" spans="1:13" ht="15.75">
      <c r="A67" s="258" t="s">
        <v>325</v>
      </c>
      <c r="B67" s="182" t="s">
        <v>327</v>
      </c>
      <c r="C67" s="266">
        <v>480</v>
      </c>
      <c r="D67" s="192">
        <v>4</v>
      </c>
      <c r="E67" s="196"/>
      <c r="F67" s="197"/>
      <c r="G67" s="197"/>
      <c r="H67" s="198"/>
      <c r="I67" s="203"/>
      <c r="J67" s="207"/>
      <c r="K67" s="207"/>
      <c r="L67" s="209"/>
      <c r="M67" s="298"/>
    </row>
    <row r="68" spans="1:13" ht="15.75">
      <c r="A68" s="182" t="s">
        <v>325</v>
      </c>
      <c r="B68" s="182" t="s">
        <v>328</v>
      </c>
      <c r="C68" s="266">
        <v>750</v>
      </c>
      <c r="D68" s="192">
        <v>4</v>
      </c>
      <c r="E68" s="196"/>
      <c r="F68" s="197"/>
      <c r="G68" s="197"/>
      <c r="H68" s="198"/>
      <c r="I68" s="203"/>
      <c r="J68" s="207"/>
      <c r="K68" s="207"/>
      <c r="L68" s="209"/>
      <c r="M68" s="298"/>
    </row>
    <row r="69" spans="1:13">
      <c r="A69" s="183" t="s">
        <v>329</v>
      </c>
      <c r="B69" s="182" t="s">
        <v>330</v>
      </c>
      <c r="C69" s="190"/>
      <c r="D69" s="192">
        <v>4</v>
      </c>
      <c r="E69" s="194">
        <v>1</v>
      </c>
      <c r="F69" s="197">
        <v>1.91</v>
      </c>
      <c r="G69" s="197"/>
      <c r="H69" s="200" t="s">
        <v>331</v>
      </c>
      <c r="I69" s="205" t="s">
        <v>261</v>
      </c>
      <c r="J69" s="207">
        <v>912</v>
      </c>
      <c r="K69" s="207"/>
      <c r="L69" s="210" t="s">
        <v>332</v>
      </c>
      <c r="M69" s="298"/>
    </row>
    <row r="70" spans="1:13">
      <c r="A70" s="182" t="s">
        <v>329</v>
      </c>
      <c r="B70" s="189" t="s">
        <v>333</v>
      </c>
      <c r="C70" s="189"/>
      <c r="D70" s="192">
        <v>2</v>
      </c>
      <c r="E70" s="194">
        <v>1</v>
      </c>
      <c r="F70" s="197">
        <v>1.81</v>
      </c>
      <c r="G70" s="197"/>
      <c r="H70" s="200" t="s">
        <v>334</v>
      </c>
      <c r="I70" s="205" t="s">
        <v>261</v>
      </c>
      <c r="J70" s="182">
        <v>7991</v>
      </c>
      <c r="K70" s="207"/>
      <c r="L70" s="211" t="s">
        <v>335</v>
      </c>
      <c r="M70" s="298"/>
    </row>
    <row r="71" spans="1:13" ht="15.75">
      <c r="A71" s="182" t="s">
        <v>329</v>
      </c>
      <c r="B71" s="182" t="s">
        <v>336</v>
      </c>
      <c r="C71" s="217"/>
      <c r="D71" s="192">
        <v>6</v>
      </c>
      <c r="E71" s="194"/>
      <c r="F71" s="197"/>
      <c r="G71" s="197"/>
      <c r="H71" s="200"/>
      <c r="I71" s="203"/>
      <c r="J71" s="182"/>
      <c r="K71" s="207"/>
      <c r="L71" s="242"/>
      <c r="M71" s="298"/>
    </row>
    <row r="72" spans="1:13">
      <c r="A72" s="183" t="s">
        <v>329</v>
      </c>
      <c r="B72" s="182" t="s">
        <v>337</v>
      </c>
      <c r="C72" s="190"/>
      <c r="D72" s="191">
        <v>9</v>
      </c>
      <c r="E72" s="194">
        <v>1</v>
      </c>
      <c r="F72" s="197">
        <v>1.78</v>
      </c>
      <c r="G72" s="197"/>
      <c r="H72" s="218" t="s">
        <v>338</v>
      </c>
      <c r="I72" s="205" t="s">
        <v>261</v>
      </c>
      <c r="J72" s="207">
        <v>916</v>
      </c>
      <c r="K72" s="207"/>
      <c r="L72" s="210" t="s">
        <v>339</v>
      </c>
      <c r="M72" s="298"/>
    </row>
    <row r="73" spans="1:13">
      <c r="A73" s="182" t="s">
        <v>329</v>
      </c>
      <c r="B73" s="187" t="s">
        <v>340</v>
      </c>
      <c r="C73" s="187"/>
      <c r="D73" s="192">
        <v>7</v>
      </c>
      <c r="E73" s="194">
        <v>1</v>
      </c>
      <c r="F73" s="197">
        <v>1.68</v>
      </c>
      <c r="G73" s="197"/>
      <c r="H73" s="198" t="s">
        <v>341</v>
      </c>
      <c r="I73" s="205" t="s">
        <v>261</v>
      </c>
      <c r="J73" s="182"/>
      <c r="K73" s="219">
        <v>7380</v>
      </c>
      <c r="L73" s="210" t="s">
        <v>342</v>
      </c>
      <c r="M73" s="298"/>
    </row>
    <row r="74" spans="1:13">
      <c r="A74" s="182" t="s">
        <v>329</v>
      </c>
      <c r="B74" s="187" t="s">
        <v>343</v>
      </c>
      <c r="C74" s="187"/>
      <c r="D74" s="192">
        <v>17</v>
      </c>
      <c r="E74" s="195">
        <v>1</v>
      </c>
      <c r="F74" s="197">
        <v>1.78</v>
      </c>
      <c r="G74" s="197">
        <f>E74*F74</f>
        <v>1.78</v>
      </c>
      <c r="H74" s="182" t="s">
        <v>344</v>
      </c>
      <c r="I74" s="205" t="s">
        <v>261</v>
      </c>
      <c r="J74" s="219"/>
      <c r="K74" s="219">
        <v>7380</v>
      </c>
      <c r="L74" s="255" t="s">
        <v>342</v>
      </c>
      <c r="M74" s="298"/>
    </row>
    <row r="75" spans="1:13">
      <c r="A75" s="183" t="s">
        <v>329</v>
      </c>
      <c r="B75" s="182" t="s">
        <v>345</v>
      </c>
      <c r="C75" s="183"/>
      <c r="D75" s="192">
        <v>16</v>
      </c>
      <c r="E75" s="195">
        <v>1</v>
      </c>
      <c r="F75" s="197">
        <v>1.81</v>
      </c>
      <c r="G75" s="197">
        <v>1.1200000000000001</v>
      </c>
      <c r="H75" s="182" t="s">
        <v>346</v>
      </c>
      <c r="I75" s="205" t="s">
        <v>261</v>
      </c>
      <c r="J75" s="207">
        <v>7991</v>
      </c>
      <c r="K75" s="207"/>
      <c r="L75" s="210" t="s">
        <v>335</v>
      </c>
      <c r="M75" s="298"/>
    </row>
    <row r="76" spans="1:13">
      <c r="A76" s="182" t="s">
        <v>329</v>
      </c>
      <c r="B76" s="187" t="s">
        <v>347</v>
      </c>
      <c r="C76" s="187"/>
      <c r="D76" s="192">
        <v>112</v>
      </c>
      <c r="E76" s="195">
        <v>12</v>
      </c>
      <c r="F76" s="197">
        <v>1</v>
      </c>
      <c r="G76" s="197">
        <f>E76*F76</f>
        <v>12</v>
      </c>
      <c r="H76" s="182" t="s">
        <v>348</v>
      </c>
      <c r="I76" s="205" t="s">
        <v>261</v>
      </c>
      <c r="J76" s="207">
        <v>912</v>
      </c>
      <c r="K76" s="207"/>
      <c r="L76" s="210" t="s">
        <v>332</v>
      </c>
      <c r="M76" s="298"/>
    </row>
    <row r="77" spans="1:13">
      <c r="A77" s="183" t="s">
        <v>329</v>
      </c>
      <c r="B77" s="187" t="s">
        <v>349</v>
      </c>
      <c r="C77" s="187"/>
      <c r="D77" s="192">
        <v>45</v>
      </c>
      <c r="E77" s="195">
        <v>5</v>
      </c>
      <c r="F77" s="197">
        <v>1.52</v>
      </c>
      <c r="G77" s="197">
        <v>1.07</v>
      </c>
      <c r="H77" s="182" t="s">
        <v>350</v>
      </c>
      <c r="I77" s="205" t="s">
        <v>261</v>
      </c>
      <c r="J77" s="219">
        <v>912</v>
      </c>
      <c r="K77" s="219"/>
      <c r="L77" s="256" t="s">
        <v>332</v>
      </c>
      <c r="M77" s="298"/>
    </row>
    <row r="78" spans="1:13">
      <c r="A78" s="183" t="s">
        <v>329</v>
      </c>
      <c r="B78" s="183" t="s">
        <v>351</v>
      </c>
      <c r="C78" s="183"/>
      <c r="D78" s="192">
        <v>6</v>
      </c>
      <c r="E78" s="194">
        <v>1</v>
      </c>
      <c r="F78" s="197">
        <v>1.93</v>
      </c>
      <c r="G78" s="197"/>
      <c r="H78" s="201" t="s">
        <v>352</v>
      </c>
      <c r="I78" s="205" t="s">
        <v>261</v>
      </c>
      <c r="J78" s="182">
        <v>7991</v>
      </c>
      <c r="K78" s="207"/>
      <c r="L78" s="210" t="s">
        <v>335</v>
      </c>
      <c r="M78" s="298"/>
    </row>
    <row r="79" spans="1:13">
      <c r="A79" s="183" t="s">
        <v>329</v>
      </c>
      <c r="B79" s="182" t="s">
        <v>353</v>
      </c>
      <c r="C79" s="190"/>
      <c r="D79" s="192">
        <v>12</v>
      </c>
      <c r="E79" s="194">
        <v>1</v>
      </c>
      <c r="F79" s="197">
        <v>1.55</v>
      </c>
      <c r="G79" s="197"/>
      <c r="H79" s="201" t="s">
        <v>354</v>
      </c>
      <c r="I79" s="205" t="s">
        <v>261</v>
      </c>
      <c r="J79" s="207">
        <v>912</v>
      </c>
      <c r="K79" s="207"/>
      <c r="L79" s="210" t="s">
        <v>332</v>
      </c>
      <c r="M79" s="298"/>
    </row>
    <row r="80" spans="1:13">
      <c r="A80" s="182" t="s">
        <v>329</v>
      </c>
      <c r="B80" s="182" t="s">
        <v>355</v>
      </c>
      <c r="C80" s="190"/>
      <c r="D80" s="192">
        <v>2</v>
      </c>
      <c r="E80" s="194">
        <v>1</v>
      </c>
      <c r="F80" s="197">
        <v>1.94</v>
      </c>
      <c r="G80" s="197"/>
      <c r="H80" s="201" t="s">
        <v>356</v>
      </c>
      <c r="I80" s="205" t="s">
        <v>261</v>
      </c>
      <c r="J80" s="182">
        <v>7991</v>
      </c>
      <c r="K80" s="207"/>
      <c r="L80" s="210" t="s">
        <v>335</v>
      </c>
      <c r="M80" s="298"/>
    </row>
    <row r="81" spans="1:13">
      <c r="A81" s="182" t="s">
        <v>329</v>
      </c>
      <c r="B81" s="182" t="s">
        <v>357</v>
      </c>
      <c r="C81" s="190"/>
      <c r="D81" s="192">
        <v>2</v>
      </c>
      <c r="E81" s="194">
        <v>1</v>
      </c>
      <c r="F81" s="197">
        <v>1.56</v>
      </c>
      <c r="G81" s="197"/>
      <c r="H81" s="201" t="s">
        <v>358</v>
      </c>
      <c r="I81" s="205" t="s">
        <v>261</v>
      </c>
      <c r="J81" s="207">
        <v>912</v>
      </c>
      <c r="K81" s="207"/>
      <c r="L81" s="210" t="s">
        <v>332</v>
      </c>
      <c r="M81" s="298"/>
    </row>
    <row r="82" spans="1:13">
      <c r="A82" s="182" t="s">
        <v>329</v>
      </c>
      <c r="B82" s="187" t="s">
        <v>359</v>
      </c>
      <c r="C82" s="187"/>
      <c r="D82" s="192">
        <v>4</v>
      </c>
      <c r="E82" s="195">
        <v>1</v>
      </c>
      <c r="F82" s="197">
        <v>2.04</v>
      </c>
      <c r="G82" s="197">
        <f>E82*F82</f>
        <v>2.04</v>
      </c>
      <c r="H82" s="182" t="s">
        <v>360</v>
      </c>
      <c r="I82" s="205" t="s">
        <v>261</v>
      </c>
      <c r="J82" s="219"/>
      <c r="K82" s="207">
        <v>7380</v>
      </c>
      <c r="L82" s="255" t="s">
        <v>342</v>
      </c>
      <c r="M82" s="298"/>
    </row>
    <row r="83" spans="1:13">
      <c r="A83" s="182" t="s">
        <v>329</v>
      </c>
      <c r="B83" s="238" t="s">
        <v>361</v>
      </c>
      <c r="C83" s="238"/>
      <c r="D83" s="216">
        <v>1</v>
      </c>
      <c r="E83" s="194">
        <v>1</v>
      </c>
      <c r="F83" s="197">
        <v>1.89</v>
      </c>
      <c r="G83" s="197"/>
      <c r="H83" s="201" t="s">
        <v>362</v>
      </c>
      <c r="I83" s="205" t="s">
        <v>261</v>
      </c>
      <c r="J83" s="207">
        <v>933</v>
      </c>
      <c r="K83" s="207"/>
      <c r="L83" s="255" t="s">
        <v>363</v>
      </c>
      <c r="M83" s="298"/>
    </row>
    <row r="84" spans="1:13" ht="15" customHeight="1">
      <c r="A84" s="183" t="s">
        <v>329</v>
      </c>
      <c r="B84" s="183" t="s">
        <v>364</v>
      </c>
      <c r="C84" s="183"/>
      <c r="D84" s="192">
        <v>11</v>
      </c>
      <c r="E84" s="195">
        <v>1</v>
      </c>
      <c r="F84" s="197">
        <v>2.93</v>
      </c>
      <c r="G84" s="197">
        <f>E84*F84</f>
        <v>2.93</v>
      </c>
      <c r="H84" s="183" t="s">
        <v>365</v>
      </c>
      <c r="I84" s="205" t="s">
        <v>261</v>
      </c>
      <c r="J84" s="207">
        <v>912</v>
      </c>
      <c r="K84" s="207">
        <v>7380</v>
      </c>
      <c r="L84" s="211" t="s">
        <v>366</v>
      </c>
      <c r="M84" s="298"/>
    </row>
    <row r="85" spans="1:13">
      <c r="A85" s="183" t="s">
        <v>329</v>
      </c>
      <c r="B85" s="183" t="s">
        <v>367</v>
      </c>
      <c r="C85" s="183"/>
      <c r="D85" s="192">
        <v>6</v>
      </c>
      <c r="E85" s="194"/>
      <c r="F85" s="197"/>
      <c r="G85" s="197"/>
      <c r="H85" s="199"/>
      <c r="I85" s="203" t="s">
        <v>253</v>
      </c>
      <c r="J85" s="207"/>
      <c r="K85" s="207"/>
      <c r="L85" s="208"/>
      <c r="M85" s="298"/>
    </row>
    <row r="86" spans="1:13" ht="33.75">
      <c r="A86" s="182" t="s">
        <v>329</v>
      </c>
      <c r="B86" s="182" t="s">
        <v>368</v>
      </c>
      <c r="C86" s="182"/>
      <c r="D86" s="257">
        <v>4</v>
      </c>
      <c r="E86" s="195"/>
      <c r="F86" s="197">
        <v>2.48</v>
      </c>
      <c r="G86" s="197">
        <f>E86*F86</f>
        <v>0</v>
      </c>
      <c r="H86" s="182" t="s">
        <v>369</v>
      </c>
      <c r="I86" s="228" t="s">
        <v>370</v>
      </c>
      <c r="J86" s="207"/>
      <c r="K86" s="207"/>
      <c r="L86" s="211" t="s">
        <v>371</v>
      </c>
      <c r="M86" s="298"/>
    </row>
    <row r="87" spans="1:13" ht="15.75">
      <c r="A87" s="182" t="s">
        <v>329</v>
      </c>
      <c r="B87" s="182" t="s">
        <v>372</v>
      </c>
      <c r="C87" s="190"/>
      <c r="D87" s="192">
        <v>1</v>
      </c>
      <c r="E87" s="194"/>
      <c r="F87" s="197"/>
      <c r="G87" s="197"/>
      <c r="H87" s="198"/>
      <c r="I87" s="203"/>
      <c r="J87" s="219"/>
      <c r="K87" s="219"/>
      <c r="L87" s="242"/>
      <c r="M87" s="298"/>
    </row>
    <row r="88" spans="1:13">
      <c r="A88" s="183" t="s">
        <v>329</v>
      </c>
      <c r="B88" s="183" t="s">
        <v>373</v>
      </c>
      <c r="C88" s="183"/>
      <c r="D88" s="192">
        <v>1</v>
      </c>
      <c r="E88" s="194">
        <v>1</v>
      </c>
      <c r="F88" s="197">
        <v>1.78</v>
      </c>
      <c r="G88" s="197"/>
      <c r="H88" s="201" t="s">
        <v>374</v>
      </c>
      <c r="I88" s="205" t="s">
        <v>261</v>
      </c>
      <c r="J88" s="207">
        <v>916</v>
      </c>
      <c r="K88" s="207"/>
      <c r="L88" s="211" t="s">
        <v>339</v>
      </c>
      <c r="M88" s="298"/>
    </row>
    <row r="89" spans="1:13">
      <c r="A89" s="182" t="s">
        <v>329</v>
      </c>
      <c r="B89" s="185" t="s">
        <v>375</v>
      </c>
      <c r="C89" s="190"/>
      <c r="D89" s="192">
        <v>3</v>
      </c>
      <c r="E89" s="194">
        <v>1</v>
      </c>
      <c r="F89" s="197">
        <v>1.82</v>
      </c>
      <c r="G89" s="197"/>
      <c r="H89" s="201" t="s">
        <v>376</v>
      </c>
      <c r="I89" s="205" t="s">
        <v>261</v>
      </c>
      <c r="J89" s="207">
        <v>912</v>
      </c>
      <c r="K89" s="207"/>
      <c r="L89" s="211" t="s">
        <v>332</v>
      </c>
      <c r="M89" s="298"/>
    </row>
    <row r="90" spans="1:13" s="2" customFormat="1" ht="15.75">
      <c r="A90" s="182" t="s">
        <v>329</v>
      </c>
      <c r="B90" s="182" t="s">
        <v>377</v>
      </c>
      <c r="C90" s="182"/>
      <c r="D90" s="192">
        <v>4</v>
      </c>
      <c r="E90" s="195">
        <v>1</v>
      </c>
      <c r="F90" s="197">
        <v>1.74</v>
      </c>
      <c r="G90" s="197">
        <f>E90*F90</f>
        <v>1.74</v>
      </c>
      <c r="H90" s="182" t="s">
        <v>378</v>
      </c>
      <c r="I90" s="205" t="s">
        <v>261</v>
      </c>
      <c r="J90" s="219">
        <v>7991</v>
      </c>
      <c r="K90" s="219">
        <v>10642</v>
      </c>
      <c r="L90" s="211" t="s">
        <v>335</v>
      </c>
      <c r="M90" s="299"/>
    </row>
    <row r="91" spans="1:13" s="2" customFormat="1" ht="15.75">
      <c r="A91" s="182" t="s">
        <v>329</v>
      </c>
      <c r="B91" s="213" t="s">
        <v>379</v>
      </c>
      <c r="C91" s="190"/>
      <c r="D91" s="192">
        <v>5</v>
      </c>
      <c r="E91" s="194">
        <v>1</v>
      </c>
      <c r="F91" s="197">
        <v>1.86</v>
      </c>
      <c r="G91" s="197"/>
      <c r="H91" s="198" t="s">
        <v>380</v>
      </c>
      <c r="I91" s="205" t="s">
        <v>261</v>
      </c>
      <c r="J91" s="219">
        <v>7991</v>
      </c>
      <c r="K91" s="219"/>
      <c r="L91" s="211" t="s">
        <v>335</v>
      </c>
      <c r="M91" s="299"/>
    </row>
    <row r="92" spans="1:13" s="2" customFormat="1" ht="15.75">
      <c r="A92" s="182" t="s">
        <v>329</v>
      </c>
      <c r="B92" s="182" t="s">
        <v>381</v>
      </c>
      <c r="C92" s="190"/>
      <c r="D92" s="192">
        <v>2</v>
      </c>
      <c r="E92" s="194"/>
      <c r="F92" s="197"/>
      <c r="G92" s="197"/>
      <c r="H92" s="198"/>
      <c r="I92" s="203"/>
      <c r="J92" s="219"/>
      <c r="K92" s="219"/>
      <c r="L92" s="242"/>
      <c r="M92" s="299"/>
    </row>
    <row r="93" spans="1:13" s="2" customFormat="1" ht="15.75">
      <c r="A93" s="182" t="s">
        <v>329</v>
      </c>
      <c r="B93" s="189" t="s">
        <v>382</v>
      </c>
      <c r="C93" s="189"/>
      <c r="D93" s="192">
        <v>4</v>
      </c>
      <c r="E93" s="195">
        <v>1</v>
      </c>
      <c r="F93" s="197">
        <v>2.63</v>
      </c>
      <c r="G93" s="197">
        <f>E93*F93</f>
        <v>2.63</v>
      </c>
      <c r="H93" s="182" t="s">
        <v>383</v>
      </c>
      <c r="I93" s="205" t="s">
        <v>261</v>
      </c>
      <c r="J93" s="207">
        <v>7991</v>
      </c>
      <c r="K93" s="207">
        <v>10642</v>
      </c>
      <c r="L93" s="211" t="s">
        <v>335</v>
      </c>
      <c r="M93" s="299"/>
    </row>
    <row r="94" spans="1:13" s="2" customFormat="1" ht="15.75">
      <c r="A94" s="182" t="s">
        <v>329</v>
      </c>
      <c r="B94" s="187" t="s">
        <v>384</v>
      </c>
      <c r="C94" s="187"/>
      <c r="D94" s="192">
        <v>155</v>
      </c>
      <c r="E94" s="195">
        <v>15</v>
      </c>
      <c r="F94" s="197">
        <v>1.75</v>
      </c>
      <c r="G94" s="197">
        <f>E94*F94</f>
        <v>26.25</v>
      </c>
      <c r="H94" s="182" t="s">
        <v>385</v>
      </c>
      <c r="I94" s="254" t="s">
        <v>261</v>
      </c>
      <c r="J94" s="207"/>
      <c r="K94" s="207">
        <v>7380</v>
      </c>
      <c r="L94" s="210" t="s">
        <v>342</v>
      </c>
      <c r="M94" s="299"/>
    </row>
    <row r="95" spans="1:13" s="2" customFormat="1" ht="15.75">
      <c r="A95" s="182" t="s">
        <v>329</v>
      </c>
      <c r="B95" s="187" t="s">
        <v>386</v>
      </c>
      <c r="C95" s="190"/>
      <c r="D95" s="192">
        <v>3</v>
      </c>
      <c r="E95" s="194">
        <v>1</v>
      </c>
      <c r="F95" s="197">
        <v>1.98</v>
      </c>
      <c r="G95" s="197"/>
      <c r="H95" s="198" t="s">
        <v>387</v>
      </c>
      <c r="I95" s="205" t="s">
        <v>261</v>
      </c>
      <c r="J95" s="219"/>
      <c r="K95" s="219">
        <v>7380</v>
      </c>
      <c r="L95" s="210" t="s">
        <v>342</v>
      </c>
      <c r="M95" s="299"/>
    </row>
    <row r="96" spans="1:13" s="2" customFormat="1" ht="15.75">
      <c r="A96" s="182" t="s">
        <v>329</v>
      </c>
      <c r="B96" s="187" t="s">
        <v>388</v>
      </c>
      <c r="C96" s="187"/>
      <c r="D96" s="192">
        <v>4</v>
      </c>
      <c r="E96" s="237">
        <v>1</v>
      </c>
      <c r="F96" s="197">
        <v>2.0499999999999998</v>
      </c>
      <c r="G96" s="197">
        <f>E96*F96</f>
        <v>2.0499999999999998</v>
      </c>
      <c r="H96" s="182" t="s">
        <v>389</v>
      </c>
      <c r="I96" s="205" t="s">
        <v>261</v>
      </c>
      <c r="J96" s="219">
        <v>912</v>
      </c>
      <c r="K96" s="219">
        <v>7380</v>
      </c>
      <c r="L96" s="210" t="s">
        <v>342</v>
      </c>
      <c r="M96" s="299"/>
    </row>
    <row r="97" spans="1:13" s="2" customFormat="1" ht="15.75">
      <c r="A97" s="182" t="s">
        <v>329</v>
      </c>
      <c r="B97" s="212" t="s">
        <v>390</v>
      </c>
      <c r="C97" s="190"/>
      <c r="D97" s="216">
        <v>3</v>
      </c>
      <c r="E97" s="194">
        <v>1</v>
      </c>
      <c r="F97" s="197">
        <v>2.4900000000000002</v>
      </c>
      <c r="G97" s="197"/>
      <c r="H97" s="198" t="s">
        <v>391</v>
      </c>
      <c r="I97" s="205" t="s">
        <v>261</v>
      </c>
      <c r="J97" s="207">
        <v>933</v>
      </c>
      <c r="K97" s="207"/>
      <c r="L97" s="210" t="s">
        <v>363</v>
      </c>
      <c r="M97" s="299"/>
    </row>
    <row r="98" spans="1:13" s="2" customFormat="1" ht="15.75">
      <c r="A98" s="182" t="s">
        <v>329</v>
      </c>
      <c r="B98" s="182" t="s">
        <v>392</v>
      </c>
      <c r="C98" s="190"/>
      <c r="D98" s="216">
        <v>4</v>
      </c>
      <c r="E98" s="194">
        <v>1</v>
      </c>
      <c r="F98" s="197">
        <v>2.15</v>
      </c>
      <c r="G98" s="197"/>
      <c r="H98" s="198" t="s">
        <v>393</v>
      </c>
      <c r="I98" s="205" t="s">
        <v>261</v>
      </c>
      <c r="J98" s="207"/>
      <c r="K98" s="207">
        <v>7380</v>
      </c>
      <c r="L98" s="210" t="s">
        <v>342</v>
      </c>
      <c r="M98" s="299"/>
    </row>
    <row r="99" spans="1:13" s="2" customFormat="1" ht="15.75">
      <c r="A99" s="182" t="s">
        <v>329</v>
      </c>
      <c r="B99" s="212" t="s">
        <v>394</v>
      </c>
      <c r="C99" s="184"/>
      <c r="D99" s="216">
        <v>2</v>
      </c>
      <c r="E99" s="194">
        <v>1</v>
      </c>
      <c r="F99" s="197">
        <v>2.88</v>
      </c>
      <c r="G99" s="197"/>
      <c r="H99" s="198" t="s">
        <v>395</v>
      </c>
      <c r="I99" s="205" t="s">
        <v>261</v>
      </c>
      <c r="J99" s="207">
        <v>933</v>
      </c>
      <c r="K99" s="207"/>
      <c r="L99" s="210" t="s">
        <v>363</v>
      </c>
      <c r="M99" s="299"/>
    </row>
    <row r="100" spans="1:13" s="2" customFormat="1" ht="15.75">
      <c r="A100" s="182" t="s">
        <v>329</v>
      </c>
      <c r="B100" s="184" t="s">
        <v>396</v>
      </c>
      <c r="C100" s="184"/>
      <c r="D100" s="216">
        <v>44</v>
      </c>
      <c r="E100" s="194">
        <v>5</v>
      </c>
      <c r="F100" s="197">
        <v>2.4500000000000002</v>
      </c>
      <c r="G100" s="197"/>
      <c r="H100" s="198" t="s">
        <v>397</v>
      </c>
      <c r="I100" s="205" t="s">
        <v>261</v>
      </c>
      <c r="J100" s="207">
        <v>933</v>
      </c>
      <c r="K100" s="207"/>
      <c r="L100" s="210" t="s">
        <v>363</v>
      </c>
      <c r="M100" s="299"/>
    </row>
    <row r="101" spans="1:13" s="2" customFormat="1" ht="15.75">
      <c r="A101" s="182" t="s">
        <v>329</v>
      </c>
      <c r="B101" s="184" t="s">
        <v>398</v>
      </c>
      <c r="C101" s="184"/>
      <c r="D101" s="216">
        <v>16</v>
      </c>
      <c r="E101" s="194">
        <v>2</v>
      </c>
      <c r="F101" s="197">
        <v>3.24</v>
      </c>
      <c r="G101" s="197"/>
      <c r="H101" s="198" t="s">
        <v>399</v>
      </c>
      <c r="I101" s="205" t="s">
        <v>261</v>
      </c>
      <c r="J101" s="207">
        <v>933</v>
      </c>
      <c r="K101" s="207"/>
      <c r="L101" s="210" t="s">
        <v>363</v>
      </c>
      <c r="M101" s="299"/>
    </row>
    <row r="102" spans="1:13" s="2" customFormat="1" ht="15.75">
      <c r="A102" s="183" t="s">
        <v>329</v>
      </c>
      <c r="B102" s="189" t="s">
        <v>400</v>
      </c>
      <c r="C102" s="190"/>
      <c r="D102" s="192">
        <v>6</v>
      </c>
      <c r="E102" s="260">
        <v>1</v>
      </c>
      <c r="F102" s="197">
        <v>1.62</v>
      </c>
      <c r="G102" s="197"/>
      <c r="H102" s="261" t="s">
        <v>401</v>
      </c>
      <c r="I102" s="205" t="s">
        <v>261</v>
      </c>
      <c r="J102" s="219"/>
      <c r="K102" s="219">
        <v>7380</v>
      </c>
      <c r="L102" s="211" t="s">
        <v>342</v>
      </c>
      <c r="M102" s="299"/>
    </row>
    <row r="103" spans="1:13" s="2" customFormat="1" ht="15.75">
      <c r="A103" s="183" t="s">
        <v>402</v>
      </c>
      <c r="B103" s="182" t="s">
        <v>403</v>
      </c>
      <c r="C103" s="217"/>
      <c r="D103" s="191">
        <v>1</v>
      </c>
      <c r="E103" s="194"/>
      <c r="F103" s="197"/>
      <c r="G103" s="197"/>
      <c r="H103" s="218"/>
      <c r="I103" s="203"/>
      <c r="J103" s="219"/>
      <c r="K103" s="219"/>
      <c r="L103" s="209"/>
      <c r="M103" s="299"/>
    </row>
    <row r="104" spans="1:13" s="2" customFormat="1" ht="15.75">
      <c r="A104" s="183" t="s">
        <v>402</v>
      </c>
      <c r="B104" s="212" t="s">
        <v>404</v>
      </c>
      <c r="C104" s="184"/>
      <c r="D104" s="191">
        <v>4</v>
      </c>
      <c r="E104" s="194"/>
      <c r="F104" s="197"/>
      <c r="G104" s="197"/>
      <c r="H104" s="218"/>
      <c r="I104" s="229" t="s">
        <v>253</v>
      </c>
      <c r="J104" s="219"/>
      <c r="K104" s="219"/>
      <c r="L104" s="208"/>
      <c r="M104" s="299"/>
    </row>
    <row r="105" spans="1:13" s="2" customFormat="1" ht="15.75">
      <c r="A105" s="182" t="s">
        <v>402</v>
      </c>
      <c r="B105" s="212" t="s">
        <v>405</v>
      </c>
      <c r="C105" s="190"/>
      <c r="D105" s="191">
        <v>6</v>
      </c>
      <c r="E105" s="194"/>
      <c r="F105" s="197"/>
      <c r="G105" s="197"/>
      <c r="H105" s="218"/>
      <c r="I105" s="229" t="s">
        <v>253</v>
      </c>
      <c r="J105" s="219"/>
      <c r="K105" s="219"/>
      <c r="L105" s="208"/>
      <c r="M105" s="299"/>
    </row>
    <row r="106" spans="1:13" s="2" customFormat="1" ht="15.75">
      <c r="A106" s="183" t="s">
        <v>402</v>
      </c>
      <c r="B106" s="212" t="s">
        <v>406</v>
      </c>
      <c r="C106" s="184"/>
      <c r="D106" s="191">
        <v>4</v>
      </c>
      <c r="E106" s="194">
        <v>4</v>
      </c>
      <c r="F106" s="197"/>
      <c r="G106" s="197"/>
      <c r="H106" s="218"/>
      <c r="I106" s="229" t="s">
        <v>253</v>
      </c>
      <c r="J106" s="219"/>
      <c r="K106" s="219"/>
      <c r="L106" s="208"/>
      <c r="M106" s="299"/>
    </row>
    <row r="107" spans="1:13" s="2" customFormat="1" ht="16.5" customHeight="1">
      <c r="A107" s="183" t="s">
        <v>402</v>
      </c>
      <c r="B107" s="212" t="s">
        <v>407</v>
      </c>
      <c r="C107" s="184"/>
      <c r="D107" s="191">
        <v>8</v>
      </c>
      <c r="E107" s="194">
        <v>8</v>
      </c>
      <c r="F107" s="197"/>
      <c r="G107" s="197"/>
      <c r="H107" s="218"/>
      <c r="I107" s="229" t="s">
        <v>253</v>
      </c>
      <c r="J107" s="219"/>
      <c r="K107" s="219"/>
      <c r="L107" s="208"/>
      <c r="M107" s="299"/>
    </row>
    <row r="108" spans="1:13" s="2" customFormat="1" ht="17.25" customHeight="1">
      <c r="A108" s="183" t="s">
        <v>402</v>
      </c>
      <c r="B108" s="232" t="s">
        <v>408</v>
      </c>
      <c r="C108" s="183"/>
      <c r="D108" s="191">
        <v>1</v>
      </c>
      <c r="E108" s="195">
        <v>1</v>
      </c>
      <c r="F108" s="197">
        <v>3.78</v>
      </c>
      <c r="G108" s="197">
        <f>E108*F108</f>
        <v>3.78</v>
      </c>
      <c r="H108" s="218" t="s">
        <v>409</v>
      </c>
      <c r="I108" s="233" t="s">
        <v>253</v>
      </c>
      <c r="J108" s="219"/>
      <c r="K108" s="219"/>
      <c r="L108" s="208"/>
      <c r="M108" s="299"/>
    </row>
    <row r="109" spans="1:13" s="2" customFormat="1" ht="18" customHeight="1">
      <c r="A109" s="183" t="s">
        <v>410</v>
      </c>
      <c r="B109" s="187" t="s">
        <v>411</v>
      </c>
      <c r="C109" s="187"/>
      <c r="D109" s="227">
        <v>30</v>
      </c>
      <c r="E109" s="195">
        <v>1</v>
      </c>
      <c r="F109" s="197">
        <v>2.34</v>
      </c>
      <c r="G109" s="197">
        <f>E109*F109</f>
        <v>2.34</v>
      </c>
      <c r="H109" s="182" t="s">
        <v>412</v>
      </c>
      <c r="I109" s="222" t="s">
        <v>413</v>
      </c>
      <c r="J109" s="207">
        <v>988</v>
      </c>
      <c r="K109" s="207">
        <v>10642</v>
      </c>
      <c r="L109" s="210" t="s">
        <v>414</v>
      </c>
      <c r="M109" s="299"/>
    </row>
    <row r="110" spans="1:13" s="2" customFormat="1" ht="30.75">
      <c r="A110" s="183" t="s">
        <v>410</v>
      </c>
      <c r="B110" s="183" t="s">
        <v>415</v>
      </c>
      <c r="C110" s="183"/>
      <c r="D110" s="195">
        <v>36</v>
      </c>
      <c r="E110" s="259">
        <v>1</v>
      </c>
      <c r="F110" s="197">
        <v>2.34</v>
      </c>
      <c r="G110" s="197" t="e">
        <f>#REF!*F110</f>
        <v>#REF!</v>
      </c>
      <c r="H110" s="182" t="s">
        <v>416</v>
      </c>
      <c r="I110" s="222" t="s">
        <v>413</v>
      </c>
      <c r="J110" s="207">
        <v>988</v>
      </c>
      <c r="K110" s="207">
        <v>7380</v>
      </c>
      <c r="L110" s="210" t="s">
        <v>414</v>
      </c>
      <c r="M110" s="299"/>
    </row>
    <row r="111" spans="1:13" s="2" customFormat="1" ht="30.75">
      <c r="A111" s="183" t="s">
        <v>410</v>
      </c>
      <c r="B111" s="183" t="s">
        <v>417</v>
      </c>
      <c r="C111" s="183"/>
      <c r="D111" s="227">
        <v>2</v>
      </c>
      <c r="E111" s="195">
        <v>1</v>
      </c>
      <c r="F111" s="197">
        <v>3.24</v>
      </c>
      <c r="G111" s="197">
        <f>D111*F111</f>
        <v>6.48</v>
      </c>
      <c r="H111" s="182" t="s">
        <v>418</v>
      </c>
      <c r="I111" s="222" t="s">
        <v>413</v>
      </c>
      <c r="J111" s="241">
        <v>988</v>
      </c>
      <c r="K111" s="207"/>
      <c r="L111" s="211" t="s">
        <v>414</v>
      </c>
      <c r="M111" s="299"/>
    </row>
    <row r="112" spans="1:13" s="2" customFormat="1" ht="15.75">
      <c r="A112" s="183" t="s">
        <v>419</v>
      </c>
      <c r="B112" s="182" t="s">
        <v>420</v>
      </c>
      <c r="C112" s="190"/>
      <c r="D112" s="191">
        <v>2</v>
      </c>
      <c r="E112" s="194"/>
      <c r="F112" s="197"/>
      <c r="G112" s="197"/>
      <c r="H112" s="240"/>
      <c r="I112" s="203"/>
      <c r="J112" s="241"/>
      <c r="K112" s="207"/>
      <c r="L112" s="242"/>
      <c r="M112" s="299"/>
    </row>
    <row r="113" spans="1:13" s="2" customFormat="1" ht="15.75">
      <c r="A113" s="182" t="s">
        <v>421</v>
      </c>
      <c r="B113" s="187" t="s">
        <v>422</v>
      </c>
      <c r="C113" s="187"/>
      <c r="D113" s="191">
        <v>4</v>
      </c>
      <c r="E113" s="194">
        <v>1</v>
      </c>
      <c r="F113" s="197">
        <v>1.84</v>
      </c>
      <c r="G113" s="197"/>
      <c r="H113" s="200" t="s">
        <v>423</v>
      </c>
      <c r="I113" s="205" t="s">
        <v>261</v>
      </c>
      <c r="J113" s="207">
        <v>125</v>
      </c>
      <c r="K113" s="207"/>
      <c r="L113" s="210" t="s">
        <v>424</v>
      </c>
      <c r="M113" s="299"/>
    </row>
    <row r="114" spans="1:13" s="2" customFormat="1" ht="15.75">
      <c r="A114" s="182" t="s">
        <v>421</v>
      </c>
      <c r="B114" s="187" t="s">
        <v>425</v>
      </c>
      <c r="C114" s="187"/>
      <c r="D114" s="191">
        <v>82</v>
      </c>
      <c r="E114" s="195">
        <v>1</v>
      </c>
      <c r="F114" s="197">
        <v>0.74</v>
      </c>
      <c r="G114" s="197">
        <f>E114*F114</f>
        <v>0.74</v>
      </c>
      <c r="H114" s="182" t="s">
        <v>426</v>
      </c>
      <c r="I114" s="205" t="s">
        <v>261</v>
      </c>
      <c r="J114" s="207">
        <v>125</v>
      </c>
      <c r="K114" s="207"/>
      <c r="L114" s="210" t="s">
        <v>424</v>
      </c>
      <c r="M114" s="299"/>
    </row>
    <row r="115" spans="1:13" s="2" customFormat="1" ht="15.75">
      <c r="A115" s="182" t="s">
        <v>421</v>
      </c>
      <c r="B115" s="182" t="s">
        <v>427</v>
      </c>
      <c r="C115" s="182"/>
      <c r="D115" s="192">
        <v>15</v>
      </c>
      <c r="E115" s="195">
        <v>1</v>
      </c>
      <c r="F115" s="197">
        <v>1.86</v>
      </c>
      <c r="G115" s="197">
        <f>E115*F115</f>
        <v>1.86</v>
      </c>
      <c r="H115" s="182" t="s">
        <v>428</v>
      </c>
      <c r="I115" s="205" t="s">
        <v>261</v>
      </c>
      <c r="J115" s="219">
        <v>25</v>
      </c>
      <c r="K115" s="219"/>
      <c r="L115" s="211" t="s">
        <v>424</v>
      </c>
      <c r="M115" s="299"/>
    </row>
    <row r="116" spans="1:13" s="2" customFormat="1" ht="15.75">
      <c r="A116" s="182" t="s">
        <v>421</v>
      </c>
      <c r="B116" s="187" t="s">
        <v>429</v>
      </c>
      <c r="C116" s="187"/>
      <c r="D116" s="192">
        <v>168</v>
      </c>
      <c r="E116" s="195">
        <v>4</v>
      </c>
      <c r="F116" s="197">
        <v>2.1</v>
      </c>
      <c r="G116" s="197">
        <f>E116*F116</f>
        <v>8.4</v>
      </c>
      <c r="H116" s="182" t="s">
        <v>430</v>
      </c>
      <c r="I116" s="205" t="s">
        <v>261</v>
      </c>
      <c r="J116" s="207">
        <v>125</v>
      </c>
      <c r="K116" s="207"/>
      <c r="L116" s="211" t="s">
        <v>424</v>
      </c>
      <c r="M116" s="299"/>
    </row>
    <row r="117" spans="1:13" s="2" customFormat="1" ht="15.75">
      <c r="A117" s="182"/>
      <c r="B117" s="182"/>
      <c r="C117" s="182"/>
      <c r="D117" s="192"/>
      <c r="E117" s="264"/>
      <c r="F117" s="182"/>
      <c r="G117" s="182"/>
      <c r="H117" s="182"/>
      <c r="I117" s="182"/>
      <c r="J117" s="182"/>
      <c r="K117" s="182"/>
      <c r="L117" s="182"/>
      <c r="M117" s="299"/>
    </row>
    <row r="118" spans="1:13" s="2" customFormat="1" ht="15.75">
      <c r="A118" s="182"/>
      <c r="B118" s="182"/>
      <c r="C118" s="182"/>
      <c r="D118" s="192"/>
      <c r="E118" s="264"/>
      <c r="F118" s="182"/>
      <c r="G118" s="182"/>
      <c r="H118" s="182"/>
      <c r="I118" s="182"/>
      <c r="J118" s="182"/>
      <c r="K118" s="182"/>
      <c r="L118" s="182"/>
      <c r="M118" s="299"/>
    </row>
    <row r="119" spans="1:13" s="2" customFormat="1" ht="15.75">
      <c r="A119" s="182"/>
      <c r="B119" s="182"/>
      <c r="C119" s="182"/>
      <c r="D119" s="192"/>
      <c r="E119" s="264"/>
      <c r="F119" s="182"/>
      <c r="G119" s="182"/>
      <c r="H119" s="182"/>
      <c r="I119" s="182"/>
      <c r="J119" s="182"/>
      <c r="K119" s="182"/>
      <c r="L119" s="182"/>
      <c r="M119" s="299"/>
    </row>
    <row r="120" spans="1:13" s="2" customFormat="1" ht="15.75">
      <c r="A120" s="182"/>
      <c r="B120" s="182"/>
      <c r="C120" s="182"/>
      <c r="D120" s="192"/>
      <c r="E120" s="264"/>
      <c r="F120" s="182"/>
      <c r="G120" s="182"/>
      <c r="H120" s="182"/>
      <c r="I120" s="182"/>
      <c r="J120" s="182"/>
      <c r="K120" s="182"/>
      <c r="L120" s="182"/>
      <c r="M120" s="299"/>
    </row>
    <row r="121" spans="1:13" s="2" customFormat="1" ht="15.75">
      <c r="A121" s="182"/>
      <c r="B121" s="182"/>
      <c r="C121" s="182"/>
      <c r="D121" s="192"/>
      <c r="E121" s="264"/>
      <c r="F121" s="182"/>
      <c r="G121" s="182"/>
      <c r="H121" s="182"/>
      <c r="I121" s="182"/>
      <c r="J121" s="182"/>
      <c r="K121" s="182"/>
      <c r="L121" s="182"/>
      <c r="M121" s="299"/>
    </row>
    <row r="122" spans="1:13" s="2" customFormat="1" ht="15.75">
      <c r="A122" s="182"/>
      <c r="B122" s="182"/>
      <c r="C122" s="182"/>
      <c r="D122" s="192"/>
      <c r="E122" s="264"/>
      <c r="F122" s="182"/>
      <c r="G122" s="182"/>
      <c r="H122" s="182"/>
      <c r="I122" s="182"/>
      <c r="J122" s="182"/>
      <c r="K122" s="182"/>
      <c r="L122" s="182"/>
      <c r="M122" s="299"/>
    </row>
    <row r="123" spans="1:13">
      <c r="A123" s="182"/>
      <c r="B123" s="182"/>
      <c r="C123" s="182"/>
      <c r="D123" s="192"/>
      <c r="E123" s="264"/>
      <c r="F123" s="182"/>
      <c r="G123" s="182"/>
      <c r="H123" s="182"/>
      <c r="I123" s="182"/>
      <c r="J123" s="182"/>
      <c r="K123" s="182"/>
      <c r="L123" s="182"/>
      <c r="M123" s="298"/>
    </row>
    <row r="124" spans="1:13">
      <c r="A124" s="182"/>
      <c r="B124" s="182"/>
      <c r="C124" s="190"/>
      <c r="D124" s="192"/>
      <c r="E124" s="307"/>
      <c r="F124" s="197"/>
      <c r="G124" s="197"/>
      <c r="H124" s="198"/>
      <c r="I124" s="203"/>
      <c r="J124" s="207"/>
      <c r="K124" s="207"/>
      <c r="L124" s="182"/>
      <c r="M124" s="298"/>
    </row>
    <row r="125" spans="1:13" ht="15.75">
      <c r="A125" s="267" t="s">
        <v>64</v>
      </c>
      <c r="B125" s="268"/>
      <c r="C125" s="268"/>
      <c r="D125" s="269"/>
      <c r="E125" s="270"/>
      <c r="F125" s="267"/>
      <c r="G125" s="271" t="e">
        <f>SUBTOTAL(109,Table13[Line Price $USD])</f>
        <v>#REF!</v>
      </c>
      <c r="H125" s="267"/>
      <c r="I125" s="272"/>
      <c r="J125" s="272"/>
      <c r="K125" s="272"/>
      <c r="L125" s="272"/>
    </row>
  </sheetData>
  <hyperlinks>
    <hyperlink ref="H7" r:id="rId1" display="1x Bushings 5x8x2.5" xr:uid="{00000000-0004-0000-0000-000016000000}"/>
    <hyperlink ref="H108" r:id="rId2" xr:uid="{00000000-0004-0000-0000-000023000000}"/>
    <hyperlink ref="H2" r:id="rId3" xr:uid="{00000000-0004-0000-0000-000027000000}"/>
    <hyperlink ref="H5" r:id="rId4" display="Color: Buffer 14inch 35cm" xr:uid="{00000000-0004-0000-0000-000028000000}"/>
    <hyperlink ref="H50" r:id="rId5" xr:uid="{2775E3FF-4942-4424-A542-AFE4B44940A9}"/>
    <hyperlink ref="L29" r:id="rId6" xr:uid="{2F9D3D35-13A6-4565-B668-6BD70CA55283}"/>
    <hyperlink ref="L9" r:id="rId7" xr:uid="{3E5F1ED4-D860-498F-858B-05395595B860}"/>
    <hyperlink ref="L61" r:id="rId8" xr:uid="{4246C08B-05CE-4625-9B1F-B1224C2A2A6E}"/>
    <hyperlink ref="L62" r:id="rId9" xr:uid="{3BC924ED-7BD5-48AE-AE30-F21A76A0C152}"/>
    <hyperlink ref="L59" r:id="rId10" xr:uid="{6AFE51A3-AFD5-4070-8A13-B7758FCD9AA4}"/>
    <hyperlink ref="L43" r:id="rId11" xr:uid="{F81E0F48-5007-4ECB-A180-1C3E2417EA27}"/>
    <hyperlink ref="L44" r:id="rId12" xr:uid="{67DA1977-C5EF-445A-98F0-DA6EAC9BE36A}"/>
    <hyperlink ref="L115" r:id="rId13" xr:uid="{545940A6-13EA-4EE8-A698-8CBD67440617}"/>
    <hyperlink ref="L84" r:id="rId14" xr:uid="{B237D18E-2A92-49BD-B604-8E87E47722E3}"/>
    <hyperlink ref="L74" r:id="rId15" xr:uid="{A9CF74D8-CBF8-48CC-8DF4-3737C87293D0}"/>
    <hyperlink ref="L82" r:id="rId16" xr:uid="{4E4BAA4D-D5B4-4C09-A2B3-1BC252AE27FA}"/>
    <hyperlink ref="L90" r:id="rId17" xr:uid="{1C9ECA38-420C-432B-9841-26923651FAE7}"/>
    <hyperlink ref="L93" r:id="rId18" xr:uid="{0614772F-3098-4D46-BAD7-228BB88E15A2}"/>
    <hyperlink ref="L46" r:id="rId19" xr:uid="{A1F21B35-D61D-46DB-8993-819912A4C1A9}"/>
    <hyperlink ref="L47" r:id="rId20" xr:uid="{9E53146D-8596-466E-9916-255F6141F031}"/>
    <hyperlink ref="L94" r:id="rId21" xr:uid="{145E43B9-EF2B-4887-8C09-4D1735403915}"/>
    <hyperlink ref="L96" r:id="rId22" xr:uid="{B0E897E5-5FA6-4EEB-8703-E70B478E6044}"/>
    <hyperlink ref="L109" r:id="rId23" xr:uid="{0392AA09-8B77-4F51-BF15-9A8827B2CD82}"/>
    <hyperlink ref="L110" r:id="rId24" xr:uid="{4351EAAC-E22F-443D-8278-A3B3F343DC95}"/>
    <hyperlink ref="L15:L16" r:id="rId25" display="https://www.aliexpress.com/item/1005010042779749.html" xr:uid="{0D00FB25-17F7-419E-A9AE-39D2952DB3D0}"/>
    <hyperlink ref="L34" r:id="rId26" xr:uid="{C6A56D46-36F3-441F-96D4-D4E3D60971B2}"/>
    <hyperlink ref="L14" r:id="rId27" xr:uid="{9248C0A1-FC6C-49D6-B032-1CB02B7CC839}"/>
    <hyperlink ref="L116" r:id="rId28" xr:uid="{B7268F81-0D8A-4838-AB53-5FF6EA306F86}"/>
    <hyperlink ref="L5" r:id="rId29" xr:uid="{A0D73292-664F-4A1E-9884-F5EA33C168ED}"/>
    <hyperlink ref="L86" r:id="rId30" xr:uid="{502BA516-F7FC-40A7-A01A-2A17B34E4618}"/>
    <hyperlink ref="L41" r:id="rId31" xr:uid="{A3D33CF1-520E-421A-9A6D-A37A12F1409F}"/>
    <hyperlink ref="L7" r:id="rId32" xr:uid="{0014E8BB-F066-48B9-8237-9D9D1CDB1104}"/>
    <hyperlink ref="L75" r:id="rId33" xr:uid="{133CDEC6-E1FA-47F9-9A5A-117E60E396E4}"/>
    <hyperlink ref="L114" r:id="rId34" xr:uid="{44949187-275A-48E9-A3C0-E8B59E6DFE40}"/>
    <hyperlink ref="L4" r:id="rId35" xr:uid="{3CE186FA-8237-44B4-8DD9-C81DCCE903F5}"/>
    <hyperlink ref="L3" r:id="rId36" xr:uid="{D87387BE-A88E-4B18-A22B-30CFB9492235}"/>
    <hyperlink ref="L8" r:id="rId37" xr:uid="{1F8AE128-83B5-4E5D-B31A-89BF6700D742}"/>
    <hyperlink ref="L6" r:id="rId38" xr:uid="{6781BD9E-796F-41AE-B335-9EB1BF88C73C}"/>
    <hyperlink ref="L37" r:id="rId39" xr:uid="{C46CB245-59BF-4695-AD57-BFECBA7B7605}"/>
    <hyperlink ref="L15" r:id="rId40" xr:uid="{36393D95-2C32-480D-8480-1E2FA04F47D4}"/>
    <hyperlink ref="L18" r:id="rId41" xr:uid="{6670012F-796C-4A31-B4C2-7952C0D1BD3A}"/>
    <hyperlink ref="L53" r:id="rId42" xr:uid="{317AA6FD-8531-48FB-8AF2-25FD4C8B4A9D}"/>
    <hyperlink ref="L39" r:id="rId43" xr:uid="{CB4A51D6-9369-4165-95D3-9CBA3D6D4B0B}"/>
    <hyperlink ref="L113" r:id="rId44" xr:uid="{CE9BE29B-D5A2-4092-B57D-DED814270C93}"/>
    <hyperlink ref="L69" r:id="rId45" xr:uid="{8DA9BEF4-F222-425E-B417-E09B8CA014C3}"/>
    <hyperlink ref="L70" r:id="rId46" xr:uid="{A4B0EF17-C932-4AB2-99BF-0313B4172D91}"/>
    <hyperlink ref="L40" r:id="rId47" xr:uid="{99231398-3313-4A02-8F35-B8C2E70EB18E}"/>
    <hyperlink ref="L72" r:id="rId48" xr:uid="{CBA2C5AE-7C68-4E59-85ED-677B259D38A4}"/>
    <hyperlink ref="L76" r:id="rId49" xr:uid="{1C310764-9EC2-4C0A-A301-2D94EA94EE22}"/>
    <hyperlink ref="L78" r:id="rId50" xr:uid="{A16E7EBE-1E1E-4EC2-9F40-739703D66C5A}"/>
    <hyperlink ref="L79" r:id="rId51" xr:uid="{F930CD86-1BB1-49BC-A6A0-4484CDA41E16}"/>
    <hyperlink ref="L81" r:id="rId52" xr:uid="{74419C7D-320C-4C53-9FD5-9AB2250C8D94}"/>
    <hyperlink ref="L80" r:id="rId53" xr:uid="{A83A78E5-1B0B-4604-98B4-1522F077D07B}"/>
    <hyperlink ref="L83" r:id="rId54" xr:uid="{E6074F20-1A0F-4C06-A572-D6B6B0957638}"/>
    <hyperlink ref="L73" r:id="rId55" xr:uid="{754E6B4B-D2B9-42BF-8281-0315A238756C}"/>
    <hyperlink ref="L88" r:id="rId56" xr:uid="{5C41BAEB-A6DE-4EB8-8C24-753C81D18F07}"/>
    <hyperlink ref="L89" r:id="rId57" xr:uid="{3E105494-A576-47A0-A88C-46708FE60359}"/>
    <hyperlink ref="L91" r:id="rId58" xr:uid="{4FBF8FA8-6D70-4523-9808-F1E94918E156}"/>
    <hyperlink ref="L45" r:id="rId59" xr:uid="{EB1A574E-6F17-45F3-BA6C-790CF3F6BBD6}"/>
    <hyperlink ref="L95" r:id="rId60" xr:uid="{5CA2208F-7D9A-405B-A0E6-D5C4EDEB8786}"/>
    <hyperlink ref="L97" r:id="rId61" xr:uid="{7EE3B707-7034-4E7F-BCD0-EC1FBD4DC744}"/>
    <hyperlink ref="L98" r:id="rId62" xr:uid="{4C321D63-AFFF-49CA-A7F6-956C47546030}"/>
    <hyperlink ref="L99" r:id="rId63" xr:uid="{50FA7C23-01EF-4C9A-8D50-33724504ACB9}"/>
    <hyperlink ref="L100" r:id="rId64" xr:uid="{688EE82D-E603-4C7E-B6FC-424AFED64065}"/>
    <hyperlink ref="L101" r:id="rId65" xr:uid="{2F68439F-AB47-4BB2-8D5C-7A109D9E67E6}"/>
    <hyperlink ref="L102" r:id="rId66" xr:uid="{9D3E600C-5715-4765-B597-C30AAF618965}"/>
    <hyperlink ref="L27" r:id="rId67" xr:uid="{41792071-E6A2-4421-9A37-EB0B3ED7F36F}"/>
    <hyperlink ref="L10" r:id="rId68" xr:uid="{E0E78FBC-15CB-40CA-A6BE-45E61E9518A8}"/>
    <hyperlink ref="L11" r:id="rId69" xr:uid="{344F91E9-7601-40D8-91B3-5C93D0A00A09}"/>
    <hyperlink ref="L12" r:id="rId70" xr:uid="{C558131C-8918-4519-9288-64FE1171A2D4}"/>
    <hyperlink ref="L13" r:id="rId71" xr:uid="{57586B0B-C0B5-4E8C-80DE-143569C5A899}"/>
    <hyperlink ref="L25" r:id="rId72" xr:uid="{4B1EF5D8-D62D-4094-871D-B972EC7504D2}"/>
    <hyperlink ref="L26" r:id="rId73" xr:uid="{74B514FD-5299-40EC-AC66-B865FAA7D976}"/>
    <hyperlink ref="L48" r:id="rId74" xr:uid="{4007CA6B-2885-42D1-8C6F-CFC4B47EB450}"/>
    <hyperlink ref="L54" r:id="rId75" xr:uid="{1AA7C626-56E0-468C-AF38-83DA56077D5E}"/>
    <hyperlink ref="L60" r:id="rId76" xr:uid="{9C5C78BF-3B1F-4E58-8227-1C5CD8C4FBF1}"/>
  </hyperlinks>
  <printOptions horizontalCentered="1" verticalCentered="1"/>
  <pageMargins left="0.19685039370078741" right="0.19685039370078741" top="0.19685039370078741" bottom="0.19685039370078741" header="0" footer="0"/>
  <pageSetup paperSize="9" scale="79" orientation="landscape" r:id="rId77"/>
  <tableParts count="1">
    <tablePart r:id="rId7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K25"/>
  <sheetViews>
    <sheetView view="pageLayout" topLeftCell="A26" zoomScaleNormal="100" workbookViewId="0">
      <selection activeCell="L8" sqref="L8"/>
    </sheetView>
  </sheetViews>
  <sheetFormatPr defaultColWidth="11" defaultRowHeight="15"/>
  <cols>
    <col min="1" max="1" width="42.140625" style="285" bestFit="1" customWidth="1"/>
    <col min="2" max="2" width="11" style="285" bestFit="1" customWidth="1"/>
    <col min="3" max="3" width="16.7109375" style="285" bestFit="1" customWidth="1"/>
    <col min="4" max="4" width="9" style="286" customWidth="1"/>
    <col min="5" max="5" width="10.7109375" style="286" bestFit="1" customWidth="1"/>
    <col min="6" max="6" width="22.28515625" style="287" bestFit="1" customWidth="1"/>
    <col min="7" max="7" width="11.140625" style="285" bestFit="1" customWidth="1"/>
    <col min="8" max="16384" width="11" style="285"/>
  </cols>
  <sheetData>
    <row r="1" spans="1:11" s="184" customFormat="1" ht="30" customHeight="1">
      <c r="A1" s="282" t="s">
        <v>66</v>
      </c>
      <c r="B1" s="283" t="s">
        <v>431</v>
      </c>
      <c r="C1" s="283" t="s">
        <v>2</v>
      </c>
      <c r="D1" s="283" t="s">
        <v>156</v>
      </c>
      <c r="E1" s="284" t="s">
        <v>432</v>
      </c>
      <c r="F1" s="284" t="s">
        <v>433</v>
      </c>
      <c r="G1" s="284" t="s">
        <v>434</v>
      </c>
      <c r="H1" s="284" t="s">
        <v>435</v>
      </c>
      <c r="I1" s="182"/>
    </row>
    <row r="2" spans="1:11">
      <c r="A2" s="183" t="s">
        <v>436</v>
      </c>
      <c r="B2" s="183">
        <v>1</v>
      </c>
      <c r="C2" s="183" t="s">
        <v>437</v>
      </c>
      <c r="D2" s="309">
        <v>420</v>
      </c>
      <c r="E2" s="310">
        <v>1</v>
      </c>
      <c r="F2" s="291" t="s">
        <v>438</v>
      </c>
      <c r="G2" s="288">
        <v>12</v>
      </c>
      <c r="H2" s="288">
        <f>Table112[[#This Row],[Unit Price]]*Table112[[#This Row],[Pack Quantity]]</f>
        <v>12</v>
      </c>
      <c r="I2" s="183"/>
      <c r="J2" s="183"/>
      <c r="K2" s="183"/>
    </row>
    <row r="3" spans="1:11">
      <c r="A3" s="183" t="s">
        <v>436</v>
      </c>
      <c r="B3" s="183">
        <v>1</v>
      </c>
      <c r="C3" s="183" t="s">
        <v>323</v>
      </c>
      <c r="D3" s="309">
        <v>368</v>
      </c>
      <c r="E3" s="310">
        <v>1</v>
      </c>
      <c r="F3" s="291" t="s">
        <v>439</v>
      </c>
      <c r="G3" s="288">
        <v>11</v>
      </c>
      <c r="H3" s="288">
        <f>Table112[[#This Row],[Unit Price]]*Table112[[#This Row],[Pack Quantity]]</f>
        <v>11</v>
      </c>
      <c r="I3" s="183"/>
      <c r="J3" s="183"/>
      <c r="K3" s="183"/>
    </row>
    <row r="4" spans="1:11">
      <c r="A4" s="183" t="s">
        <v>436</v>
      </c>
      <c r="B4" s="183">
        <v>1</v>
      </c>
      <c r="C4" s="183" t="s">
        <v>324</v>
      </c>
      <c r="D4" s="309">
        <v>172</v>
      </c>
      <c r="E4" s="310">
        <v>1</v>
      </c>
      <c r="F4" s="291" t="s">
        <v>440</v>
      </c>
      <c r="G4" s="288">
        <v>9</v>
      </c>
      <c r="H4" s="288">
        <f>Table112[[#This Row],[Unit Price]]*Table112[[#This Row],[Pack Quantity]]</f>
        <v>9</v>
      </c>
      <c r="I4" s="183"/>
      <c r="J4" s="183"/>
      <c r="K4" s="183"/>
    </row>
    <row r="5" spans="1:11">
      <c r="A5" s="183" t="s">
        <v>441</v>
      </c>
      <c r="B5" s="183">
        <v>4</v>
      </c>
      <c r="C5" s="183" t="s">
        <v>326</v>
      </c>
      <c r="D5" s="309">
        <v>420</v>
      </c>
      <c r="E5" s="310">
        <v>4</v>
      </c>
      <c r="F5" s="291" t="s">
        <v>442</v>
      </c>
      <c r="G5" s="288">
        <v>15</v>
      </c>
      <c r="H5" s="288">
        <f>Table112[[#This Row],[Unit Price]]*Table112[[#This Row],[Pack Quantity]]</f>
        <v>60</v>
      </c>
      <c r="I5" s="183"/>
      <c r="J5" s="183"/>
      <c r="K5" s="183"/>
    </row>
    <row r="6" spans="1:11">
      <c r="A6" s="183" t="s">
        <v>441</v>
      </c>
      <c r="B6" s="183">
        <v>4</v>
      </c>
      <c r="C6" s="183" t="s">
        <v>327</v>
      </c>
      <c r="D6" s="309">
        <v>480</v>
      </c>
      <c r="E6" s="310">
        <v>4</v>
      </c>
      <c r="F6" s="291" t="s">
        <v>443</v>
      </c>
      <c r="G6" s="288">
        <v>16</v>
      </c>
      <c r="H6" s="288">
        <f>Table112[[#This Row],[Unit Price]]*Table112[[#This Row],[Pack Quantity]]</f>
        <v>64</v>
      </c>
      <c r="I6" s="183"/>
      <c r="J6" s="183"/>
      <c r="K6" s="183"/>
    </row>
    <row r="7" spans="1:11">
      <c r="A7" s="183" t="s">
        <v>441</v>
      </c>
      <c r="B7" s="183">
        <v>4</v>
      </c>
      <c r="C7" s="183" t="s">
        <v>444</v>
      </c>
      <c r="D7" s="309">
        <v>750</v>
      </c>
      <c r="E7" s="310">
        <v>4</v>
      </c>
      <c r="F7" s="291" t="s">
        <v>445</v>
      </c>
      <c r="G7" s="288">
        <v>40</v>
      </c>
      <c r="H7" s="288">
        <f>Table112[[#This Row],[Unit Price]]*Table112[[#This Row],[Pack Quantity]]</f>
        <v>160</v>
      </c>
      <c r="I7" s="183"/>
      <c r="J7" s="183"/>
      <c r="K7" s="183"/>
    </row>
    <row r="8" spans="1:11">
      <c r="A8" s="183" t="s">
        <v>308</v>
      </c>
      <c r="B8" s="183">
        <v>34</v>
      </c>
      <c r="C8" s="183" t="s">
        <v>446</v>
      </c>
      <c r="D8" s="309"/>
      <c r="E8" s="310">
        <v>4</v>
      </c>
      <c r="F8" s="291" t="s">
        <v>447</v>
      </c>
      <c r="G8" s="288">
        <v>6</v>
      </c>
      <c r="H8" s="288">
        <f>Table112[[#This Row],[Unit Price]]*Table112[[#This Row],[Pack Quantity]]</f>
        <v>24</v>
      </c>
      <c r="I8" s="183"/>
      <c r="J8" s="183"/>
      <c r="K8" s="183"/>
    </row>
    <row r="9" spans="1:11">
      <c r="A9" s="183" t="s">
        <v>312</v>
      </c>
      <c r="B9" s="183">
        <v>2</v>
      </c>
      <c r="C9" s="183" t="s">
        <v>448</v>
      </c>
      <c r="D9" s="309"/>
      <c r="E9" s="310">
        <v>1</v>
      </c>
      <c r="F9" s="291" t="s">
        <v>449</v>
      </c>
      <c r="G9" s="288">
        <v>7</v>
      </c>
      <c r="H9" s="288">
        <f>Table112[[#This Row],[Unit Price]]*Table112[[#This Row],[Pack Quantity]]</f>
        <v>7</v>
      </c>
      <c r="I9" s="183"/>
      <c r="J9" s="183"/>
      <c r="K9" s="183"/>
    </row>
    <row r="10" spans="1:11">
      <c r="A10" s="183" t="s">
        <v>450</v>
      </c>
      <c r="B10" s="183">
        <v>81</v>
      </c>
      <c r="C10" s="183"/>
      <c r="D10" s="309"/>
      <c r="E10" s="309"/>
      <c r="F10" s="291"/>
      <c r="G10" s="288"/>
      <c r="H10" s="288"/>
      <c r="I10" s="183"/>
      <c r="J10" s="183"/>
      <c r="K10" s="183"/>
    </row>
    <row r="11" spans="1:11">
      <c r="A11" s="183" t="s">
        <v>280</v>
      </c>
      <c r="B11" s="183">
        <v>8</v>
      </c>
      <c r="C11" s="183"/>
      <c r="D11" s="309"/>
      <c r="E11" s="309"/>
      <c r="F11" s="291"/>
      <c r="G11" s="288"/>
      <c r="H11" s="288"/>
      <c r="I11" s="183"/>
      <c r="J11" s="183"/>
      <c r="K11" s="183"/>
    </row>
    <row r="12" spans="1:11">
      <c r="A12" s="183" t="s">
        <v>429</v>
      </c>
      <c r="B12" s="183">
        <v>78</v>
      </c>
      <c r="C12" s="183"/>
      <c r="D12" s="309"/>
      <c r="E12" s="309"/>
      <c r="F12" s="291"/>
      <c r="G12" s="288"/>
      <c r="H12" s="288"/>
      <c r="I12" s="183"/>
      <c r="J12" s="183"/>
      <c r="K12" s="183"/>
    </row>
    <row r="13" spans="1:11">
      <c r="A13" s="183" t="s">
        <v>384</v>
      </c>
      <c r="B13" s="183">
        <v>89</v>
      </c>
      <c r="C13" s="183"/>
      <c r="D13" s="309"/>
      <c r="E13" s="309"/>
      <c r="F13" s="291"/>
      <c r="G13" s="288"/>
      <c r="H13" s="288"/>
      <c r="I13" s="183"/>
      <c r="J13" s="183"/>
      <c r="K13" s="183"/>
    </row>
    <row r="14" spans="1:11">
      <c r="A14" s="183" t="s">
        <v>392</v>
      </c>
      <c r="B14" s="183">
        <v>4</v>
      </c>
      <c r="C14" s="183"/>
      <c r="D14" s="309"/>
      <c r="E14" s="309"/>
      <c r="F14" s="291"/>
      <c r="G14" s="288"/>
      <c r="H14" s="288"/>
      <c r="I14" s="183"/>
      <c r="J14" s="183"/>
      <c r="K14" s="183"/>
    </row>
    <row r="15" spans="1:11">
      <c r="A15" s="183" t="s">
        <v>400</v>
      </c>
      <c r="B15" s="183">
        <v>16</v>
      </c>
      <c r="C15" s="183"/>
      <c r="D15" s="309"/>
      <c r="E15" s="309"/>
      <c r="F15" s="291"/>
      <c r="G15" s="288"/>
      <c r="H15" s="288"/>
      <c r="I15" s="183"/>
      <c r="J15" s="183"/>
      <c r="K15" s="183"/>
    </row>
    <row r="16" spans="1:11">
      <c r="A16" s="183" t="s">
        <v>451</v>
      </c>
      <c r="B16" s="183">
        <v>1</v>
      </c>
      <c r="C16" s="183" t="s">
        <v>452</v>
      </c>
      <c r="D16" s="309"/>
      <c r="E16" s="309"/>
      <c r="F16" s="291"/>
      <c r="G16" s="288"/>
      <c r="H16" s="288"/>
      <c r="I16" s="183"/>
      <c r="J16" s="183"/>
      <c r="K16" s="183"/>
    </row>
    <row r="17" spans="1:11">
      <c r="A17" s="183" t="s">
        <v>453</v>
      </c>
      <c r="B17" s="183">
        <v>4</v>
      </c>
      <c r="C17" s="183" t="s">
        <v>454</v>
      </c>
      <c r="D17" s="309"/>
      <c r="E17" s="309"/>
      <c r="F17" s="291"/>
      <c r="G17" s="288"/>
      <c r="H17" s="288"/>
      <c r="I17" s="183"/>
      <c r="J17" s="183"/>
      <c r="K17" s="183"/>
    </row>
    <row r="18" spans="1:11">
      <c r="A18" s="183" t="s">
        <v>455</v>
      </c>
      <c r="B18" s="183">
        <v>4</v>
      </c>
      <c r="C18" s="183" t="s">
        <v>452</v>
      </c>
      <c r="D18" s="309"/>
      <c r="E18" s="309"/>
      <c r="F18" s="291"/>
      <c r="G18" s="288"/>
      <c r="H18" s="288"/>
      <c r="I18" s="183"/>
      <c r="J18" s="183"/>
      <c r="K18" s="183"/>
    </row>
    <row r="19" spans="1:11">
      <c r="A19" s="183" t="s">
        <v>456</v>
      </c>
      <c r="B19" s="183">
        <v>4</v>
      </c>
      <c r="C19" s="183" t="s">
        <v>452</v>
      </c>
      <c r="D19" s="309"/>
      <c r="E19" s="309"/>
      <c r="F19" s="291"/>
      <c r="G19" s="288"/>
      <c r="H19" s="288"/>
      <c r="I19" s="183"/>
      <c r="J19" s="183"/>
      <c r="K19" s="183"/>
    </row>
    <row r="20" spans="1:11">
      <c r="A20" s="289" t="s">
        <v>457</v>
      </c>
      <c r="B20" s="289"/>
      <c r="C20" s="289"/>
      <c r="D20" s="294"/>
      <c r="E20" s="294"/>
      <c r="F20" s="291"/>
      <c r="G20" s="290"/>
      <c r="H20" s="290">
        <f>SUBTOTAL(109,H2:H19)</f>
        <v>347</v>
      </c>
      <c r="I20" s="311"/>
      <c r="J20" s="311"/>
      <c r="K20" s="311"/>
    </row>
    <row r="22" spans="1:11">
      <c r="A22" s="292" t="s">
        <v>458</v>
      </c>
      <c r="B22" s="311"/>
      <c r="C22" s="311"/>
      <c r="D22" s="309"/>
      <c r="E22" s="309"/>
      <c r="G22" s="311"/>
      <c r="H22" s="311"/>
      <c r="I22" s="311"/>
      <c r="J22" s="311"/>
      <c r="K22" s="311"/>
    </row>
    <row r="23" spans="1:11">
      <c r="A23" s="293" t="s">
        <v>459</v>
      </c>
      <c r="B23" s="311"/>
      <c r="C23" s="311"/>
      <c r="D23" s="309"/>
      <c r="E23" s="309"/>
      <c r="G23" s="311"/>
      <c r="H23" s="311"/>
      <c r="I23" s="311"/>
      <c r="J23" s="311"/>
      <c r="K23" s="311"/>
    </row>
    <row r="24" spans="1:11">
      <c r="A24" s="293" t="s">
        <v>460</v>
      </c>
      <c r="B24" s="311"/>
      <c r="C24" s="311"/>
      <c r="D24" s="309"/>
      <c r="E24" s="309"/>
      <c r="G24" s="311"/>
      <c r="H24" s="311"/>
      <c r="I24" s="311"/>
      <c r="J24" s="311"/>
      <c r="K24" s="311"/>
    </row>
    <row r="25" spans="1:11">
      <c r="A25" s="293" t="s">
        <v>461</v>
      </c>
      <c r="B25" s="311"/>
      <c r="C25" s="311"/>
      <c r="D25" s="309"/>
      <c r="E25" s="309"/>
      <c r="G25" s="311"/>
      <c r="H25" s="311"/>
      <c r="I25" s="311"/>
      <c r="J25" s="311"/>
      <c r="K25" s="311"/>
    </row>
  </sheetData>
  <hyperlinks>
    <hyperlink ref="F3" r:id="rId1" xr:uid="{00000000-0004-0000-0100-000000000000}"/>
    <hyperlink ref="F2" r:id="rId2" display="Color: 420 mm" xr:uid="{00000000-0004-0000-0100-000001000000}"/>
    <hyperlink ref="F8" r:id="rId3" display="Color: 4x10PCS 2028 Silver" xr:uid="{C22286B1-7BBB-4870-A737-AE20B5C2ED4D}"/>
    <hyperlink ref="F9" r:id="rId4" display="Color: 1x2020 (4pcs)" xr:uid="{0D5F4A2C-C07F-48AC-BE68-22412B365DD3}"/>
    <hyperlink ref="F4" r:id="rId5" display="Color: L 368mm - 2020" xr:uid="{37C8548F-E667-4811-BC99-B6CB78F9D10C}"/>
    <hyperlink ref="F5" r:id="rId6" display="Color: 420 mm" xr:uid="{1FD08F8E-0388-4C89-ABAA-D14879244B62}"/>
    <hyperlink ref="F6" r:id="rId7" display="Color: 420 mm" xr:uid="{E5424433-EC34-4180-BA24-23EE3604F957}"/>
    <hyperlink ref="F7" r:id="rId8" display="Color: 420 mm" xr:uid="{C3348BCC-4BE9-4B08-9F2C-7265DAB2EE69}"/>
    <hyperlink ref="A23" r:id="rId9" xr:uid="{CD174873-4876-4D82-8FD3-C3275181847A}"/>
    <hyperlink ref="A24" r:id="rId10" xr:uid="{36BCB8B2-AC17-4FE6-9344-669D692717D5}"/>
    <hyperlink ref="A25" r:id="rId11" xr:uid="{C939FF3F-751D-4A6F-934B-74413B537290}"/>
  </hyperlinks>
  <pageMargins left="0.7" right="0.7" top="0.75" bottom="0.75" header="0.3" footer="0.3"/>
  <pageSetup paperSize="9" scale="97" orientation="landscape" r:id="rId12"/>
  <headerFooter>
    <oddHeader>&amp;C&amp;"Aptos Black,Regular"&amp;14VALKYRIE V2 - FRAME BOM</oddHeader>
  </headerFooter>
  <drawing r:id="rId13"/>
  <tableParts count="1">
    <tablePart r:id="rId1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I41"/>
  <sheetViews>
    <sheetView workbookViewId="0">
      <selection activeCell="E1" sqref="E1"/>
    </sheetView>
  </sheetViews>
  <sheetFormatPr defaultColWidth="11.42578125" defaultRowHeight="15"/>
  <cols>
    <col min="1" max="1" width="27.140625" style="47" bestFit="1" customWidth="1"/>
    <col min="2" max="2" width="11" style="47" bestFit="1" customWidth="1"/>
    <col min="3" max="3" width="10.42578125" style="47" customWidth="1"/>
    <col min="4" max="4" width="20.140625" style="47" bestFit="1" customWidth="1"/>
    <col min="5" max="5" width="12" style="47" bestFit="1" customWidth="1"/>
    <col min="6" max="6" width="11" style="47" bestFit="1" customWidth="1"/>
    <col min="7" max="7" width="11.85546875" style="47" bestFit="1" customWidth="1"/>
    <col min="8" max="16372" width="11.42578125" style="47"/>
    <col min="16373" max="16378" width="11.42578125" style="47" bestFit="1" customWidth="1"/>
    <col min="16379" max="16384" width="11.42578125" style="47"/>
  </cols>
  <sheetData>
    <row r="1" spans="1:9" ht="30" customHeight="1">
      <c r="A1" s="275" t="s">
        <v>66</v>
      </c>
      <c r="B1" s="276" t="s">
        <v>431</v>
      </c>
      <c r="C1" s="276" t="s">
        <v>5</v>
      </c>
      <c r="D1" s="276" t="s">
        <v>462</v>
      </c>
      <c r="E1" s="277" t="s">
        <v>434</v>
      </c>
      <c r="F1" s="277" t="s">
        <v>463</v>
      </c>
      <c r="G1" s="277" t="s">
        <v>435</v>
      </c>
      <c r="H1"/>
      <c r="I1"/>
    </row>
    <row r="2" spans="1:9">
      <c r="A2" s="179" t="s">
        <v>464</v>
      </c>
      <c r="B2" s="274">
        <v>2</v>
      </c>
      <c r="C2" s="274"/>
      <c r="E2" s="273"/>
      <c r="F2" s="273"/>
      <c r="G2" s="273">
        <f>Table9[[#This Row],[Unit Price]]*Table9[[#This Row],[Pack Order Quantity]]+Table9[[#This Row],[Shipping]]</f>
        <v>0</v>
      </c>
      <c r="H2"/>
      <c r="I2"/>
    </row>
    <row r="3" spans="1:9">
      <c r="A3" s="179" t="s">
        <v>465</v>
      </c>
      <c r="B3" s="274">
        <v>36</v>
      </c>
      <c r="C3" s="274"/>
      <c r="E3" s="273"/>
      <c r="F3" s="273"/>
      <c r="G3" s="273">
        <f>Table9[[#This Row],[Unit Price]]*Table9[[#This Row],[Pack Order Quantity]]+Table9[[#This Row],[Shipping]]</f>
        <v>0</v>
      </c>
      <c r="H3"/>
      <c r="I3"/>
    </row>
    <row r="4" spans="1:9">
      <c r="A4" s="179" t="s">
        <v>186</v>
      </c>
      <c r="B4" s="274">
        <v>24</v>
      </c>
      <c r="C4" s="274"/>
      <c r="E4" s="273"/>
      <c r="F4" s="273"/>
      <c r="G4" s="273">
        <f>Table9[[#This Row],[Unit Price]]*Table9[[#This Row],[Pack Order Quantity]]+Table9[[#This Row],[Shipping]]</f>
        <v>0</v>
      </c>
      <c r="H4"/>
      <c r="I4"/>
    </row>
    <row r="5" spans="1:9">
      <c r="A5" s="179" t="s">
        <v>406</v>
      </c>
      <c r="B5" s="274">
        <v>4</v>
      </c>
      <c r="C5" s="274"/>
      <c r="E5" s="273"/>
      <c r="F5" s="273"/>
      <c r="G5" s="273">
        <f>Table9[[#This Row],[Unit Price]]*Table9[[#This Row],[Pack Order Quantity]]+Table9[[#This Row],[Shipping]]</f>
        <v>0</v>
      </c>
      <c r="H5"/>
      <c r="I5"/>
    </row>
    <row r="6" spans="1:9">
      <c r="A6" s="179" t="s">
        <v>407</v>
      </c>
      <c r="B6" s="274">
        <v>8</v>
      </c>
      <c r="C6" s="274"/>
      <c r="E6" s="273"/>
      <c r="F6" s="273"/>
      <c r="G6" s="273">
        <f>Table9[[#This Row],[Unit Price]]*Table9[[#This Row],[Pack Order Quantity]]+Table9[[#This Row],[Shipping]]</f>
        <v>0</v>
      </c>
      <c r="H6"/>
      <c r="I6"/>
    </row>
    <row r="7" spans="1:9">
      <c r="A7" t="s">
        <v>242</v>
      </c>
      <c r="B7" s="274">
        <v>5</v>
      </c>
      <c r="C7" s="274"/>
      <c r="E7" s="273"/>
      <c r="F7" s="273"/>
      <c r="G7" s="273">
        <f>Table9[[#This Row],[Unit Price]]*Table9[[#This Row],[Pack Order Quantity]]+Table9[[#This Row],[Shipping]]</f>
        <v>0</v>
      </c>
      <c r="H7"/>
      <c r="I7"/>
    </row>
    <row r="8" spans="1:9">
      <c r="A8" t="s">
        <v>243</v>
      </c>
      <c r="B8" s="274">
        <v>2</v>
      </c>
      <c r="C8" s="274"/>
      <c r="E8" s="273"/>
      <c r="F8" s="273"/>
      <c r="G8" s="273">
        <f>Table9[[#This Row],[Unit Price]]*Table9[[#This Row],[Pack Order Quantity]]+Table9[[#This Row],[Shipping]]</f>
        <v>0</v>
      </c>
      <c r="H8"/>
      <c r="I8"/>
    </row>
    <row r="9" spans="1:9">
      <c r="A9" s="47" t="s">
        <v>466</v>
      </c>
      <c r="B9" s="274">
        <v>52</v>
      </c>
      <c r="C9" s="274"/>
      <c r="E9" s="273"/>
      <c r="F9" s="273"/>
      <c r="G9" s="273">
        <f>Table9[[#This Row],[Unit Price]]*Table9[[#This Row],[Pack Order Quantity]]+Table9[[#This Row],[Shipping]]</f>
        <v>0</v>
      </c>
      <c r="H9"/>
      <c r="I9"/>
    </row>
    <row r="10" spans="1:9">
      <c r="A10" s="47" t="s">
        <v>467</v>
      </c>
      <c r="B10" s="274">
        <v>8</v>
      </c>
      <c r="C10" s="274"/>
      <c r="E10" s="273"/>
      <c r="F10" s="273"/>
      <c r="G10" s="273">
        <f>Table9[[#This Row],[Unit Price]]*Table9[[#This Row],[Pack Order Quantity]]+Table9[[#This Row],[Shipping]]</f>
        <v>0</v>
      </c>
      <c r="H10"/>
      <c r="I10"/>
    </row>
    <row r="11" spans="1:9">
      <c r="A11" s="47" t="s">
        <v>468</v>
      </c>
      <c r="B11" s="274">
        <v>8</v>
      </c>
      <c r="C11" s="274"/>
      <c r="E11" s="273"/>
      <c r="F11" s="273"/>
      <c r="G11" s="273">
        <f>Table9[[#This Row],[Unit Price]]*Table9[[#This Row],[Pack Order Quantity]]+Table9[[#This Row],[Shipping]]</f>
        <v>0</v>
      </c>
      <c r="H11"/>
      <c r="I11"/>
    </row>
    <row r="12" spans="1:9">
      <c r="A12" s="47" t="s">
        <v>343</v>
      </c>
      <c r="B12" s="274">
        <v>8</v>
      </c>
      <c r="C12" s="274"/>
      <c r="E12" s="273"/>
      <c r="F12" s="273"/>
      <c r="G12" s="273">
        <f>Table9[[#This Row],[Unit Price]]*Table9[[#This Row],[Pack Order Quantity]]+Table9[[#This Row],[Shipping]]</f>
        <v>0</v>
      </c>
      <c r="H12"/>
      <c r="I12"/>
    </row>
    <row r="13" spans="1:9">
      <c r="A13" s="47" t="s">
        <v>347</v>
      </c>
      <c r="B13" s="274">
        <v>52</v>
      </c>
      <c r="C13" s="274"/>
      <c r="E13" s="273"/>
      <c r="F13" s="273"/>
      <c r="G13" s="273">
        <f>Table9[[#This Row],[Unit Price]]*Table9[[#This Row],[Pack Order Quantity]]+Table9[[#This Row],[Shipping]]</f>
        <v>0</v>
      </c>
      <c r="H13"/>
      <c r="I13"/>
    </row>
    <row r="14" spans="1:9">
      <c r="A14" s="47" t="s">
        <v>349</v>
      </c>
      <c r="B14" s="274">
        <v>8</v>
      </c>
      <c r="C14" s="274"/>
      <c r="E14" s="273"/>
      <c r="F14" s="273"/>
      <c r="G14" s="273">
        <f>Table9[[#This Row],[Unit Price]]*Table9[[#This Row],[Pack Order Quantity]]+Table9[[#This Row],[Shipping]]</f>
        <v>0</v>
      </c>
      <c r="H14"/>
      <c r="I14"/>
    </row>
    <row r="15" spans="1:9">
      <c r="A15" s="47" t="s">
        <v>359</v>
      </c>
      <c r="B15" s="274">
        <v>4</v>
      </c>
      <c r="C15" s="274"/>
      <c r="E15" s="273"/>
      <c r="F15" s="273"/>
      <c r="G15" s="273">
        <f>Table9[[#This Row],[Unit Price]]*Table9[[#This Row],[Pack Order Quantity]]+Table9[[#This Row],[Shipping]]</f>
        <v>0</v>
      </c>
      <c r="H15"/>
      <c r="I15"/>
    </row>
    <row r="16" spans="1:9">
      <c r="A16" s="47" t="s">
        <v>469</v>
      </c>
      <c r="B16" s="274">
        <v>2</v>
      </c>
      <c r="C16" s="274"/>
      <c r="E16" s="273"/>
      <c r="F16" s="273"/>
      <c r="G16" s="273">
        <f>Table9[[#This Row],[Unit Price]]*Table9[[#This Row],[Pack Order Quantity]]+Table9[[#This Row],[Shipping]]</f>
        <v>0</v>
      </c>
      <c r="H16"/>
      <c r="I16"/>
    </row>
    <row r="17" spans="1:9">
      <c r="A17" s="47" t="s">
        <v>470</v>
      </c>
      <c r="B17" s="274">
        <v>11</v>
      </c>
      <c r="C17" s="274"/>
      <c r="E17" s="273"/>
      <c r="F17" s="273"/>
      <c r="G17" s="273">
        <f>Table9[[#This Row],[Unit Price]]*Table9[[#This Row],[Pack Order Quantity]]+Table9[[#This Row],[Shipping]]</f>
        <v>0</v>
      </c>
      <c r="H17"/>
      <c r="I17"/>
    </row>
    <row r="18" spans="1:9">
      <c r="A18" s="47" t="s">
        <v>450</v>
      </c>
      <c r="B18" s="274">
        <v>19</v>
      </c>
      <c r="C18" s="274"/>
      <c r="E18" s="273"/>
      <c r="F18" s="273"/>
      <c r="G18" s="273">
        <f>Table9[[#This Row],[Unit Price]]*Table9[[#This Row],[Pack Order Quantity]]+Table9[[#This Row],[Shipping]]</f>
        <v>0</v>
      </c>
      <c r="H18"/>
      <c r="I18"/>
    </row>
    <row r="19" spans="1:9">
      <c r="A19" s="47" t="s">
        <v>429</v>
      </c>
      <c r="B19" s="274">
        <v>4</v>
      </c>
      <c r="C19" s="274"/>
      <c r="E19" s="273"/>
      <c r="F19" s="273"/>
      <c r="G19" s="273">
        <f>Table9[[#This Row],[Unit Price]]*Table9[[#This Row],[Pack Order Quantity]]+Table9[[#This Row],[Shipping]]</f>
        <v>0</v>
      </c>
      <c r="H19"/>
      <c r="I19"/>
    </row>
    <row r="20" spans="1:9">
      <c r="A20" s="47" t="s">
        <v>384</v>
      </c>
      <c r="B20" s="274">
        <v>27</v>
      </c>
      <c r="C20" s="274"/>
      <c r="E20" s="273"/>
      <c r="F20" s="273"/>
      <c r="G20" s="273">
        <f>Table9[[#This Row],[Unit Price]]*Table9[[#This Row],[Pack Order Quantity]]+Table9[[#This Row],[Shipping]]</f>
        <v>0</v>
      </c>
      <c r="H20"/>
      <c r="I20"/>
    </row>
    <row r="21" spans="1:9">
      <c r="A21" s="47" t="s">
        <v>388</v>
      </c>
      <c r="B21" s="274">
        <v>4</v>
      </c>
      <c r="C21" s="274"/>
      <c r="E21" s="273"/>
      <c r="F21" s="273"/>
      <c r="G21" s="273">
        <f>Table9[[#This Row],[Unit Price]]*Table9[[#This Row],[Pack Order Quantity]]+Table9[[#This Row],[Shipping]]</f>
        <v>0</v>
      </c>
      <c r="H21"/>
      <c r="I21"/>
    </row>
    <row r="22" spans="1:9">
      <c r="A22" s="47" t="s">
        <v>394</v>
      </c>
      <c r="B22" s="274">
        <v>2</v>
      </c>
      <c r="C22" s="274"/>
      <c r="E22" s="273"/>
      <c r="F22" s="273"/>
      <c r="G22" s="273">
        <f>Table9[[#This Row],[Unit Price]]*Table9[[#This Row],[Pack Order Quantity]]+Table9[[#This Row],[Shipping]]</f>
        <v>0</v>
      </c>
      <c r="H22"/>
      <c r="I22"/>
    </row>
    <row r="23" spans="1:9">
      <c r="A23" s="47" t="s">
        <v>411</v>
      </c>
      <c r="B23" s="274">
        <v>0</v>
      </c>
      <c r="C23" s="274"/>
      <c r="E23" s="273"/>
      <c r="F23" s="273"/>
      <c r="G23" s="273">
        <f>Table9[[#This Row],[Unit Price]]*Table9[[#This Row],[Pack Order Quantity]]+Table9[[#This Row],[Shipping]]</f>
        <v>0</v>
      </c>
      <c r="H23"/>
      <c r="I23"/>
    </row>
    <row r="24" spans="1:9">
      <c r="A24" s="179" t="s">
        <v>471</v>
      </c>
      <c r="B24" s="274">
        <v>2</v>
      </c>
      <c r="C24" s="274">
        <v>2</v>
      </c>
      <c r="D24" s="6" t="s">
        <v>472</v>
      </c>
      <c r="E24" s="273">
        <v>36</v>
      </c>
      <c r="F24" s="273"/>
      <c r="G24" s="273">
        <f>Table9[[#This Row],[Unit Price]]*Table9[[#This Row],[Pack Order Quantity]]+Table9[[#This Row],[Shipping]]</f>
        <v>72</v>
      </c>
      <c r="H24"/>
      <c r="I24"/>
    </row>
    <row r="25" spans="1:9">
      <c r="A25" s="179" t="s">
        <v>473</v>
      </c>
      <c r="B25" s="274">
        <v>1</v>
      </c>
      <c r="C25" s="312">
        <v>1</v>
      </c>
      <c r="D25" s="6" t="s">
        <v>474</v>
      </c>
      <c r="E25" s="273">
        <v>34</v>
      </c>
      <c r="F25" s="273"/>
      <c r="G25" s="273">
        <f>Table9[[#This Row],[Unit Price]]*Table9[[#This Row],[Pack Order Quantity]]+Table9[[#This Row],[Shipping]]</f>
        <v>34</v>
      </c>
      <c r="H25"/>
      <c r="I25"/>
    </row>
    <row r="26" spans="1:9">
      <c r="A26" s="47" t="s">
        <v>230</v>
      </c>
      <c r="B26" s="274">
        <v>2</v>
      </c>
      <c r="C26" s="274">
        <v>2</v>
      </c>
      <c r="D26" s="6" t="s">
        <v>475</v>
      </c>
      <c r="E26" s="273">
        <v>14</v>
      </c>
      <c r="F26" s="273"/>
      <c r="G26" s="273">
        <f>Table9[[#This Row],[Unit Price]]*Table9[[#This Row],[Pack Order Quantity]]+Table9[[#This Row],[Shipping]]</f>
        <v>28</v>
      </c>
      <c r="H26"/>
      <c r="I26"/>
    </row>
    <row r="27" spans="1:9">
      <c r="A27" s="47" t="s">
        <v>476</v>
      </c>
      <c r="B27" s="274">
        <v>1</v>
      </c>
      <c r="C27" s="274"/>
      <c r="D27" s="93"/>
      <c r="E27" s="273"/>
      <c r="F27" s="273"/>
      <c r="G27" s="273">
        <f>Table9[[#This Row],[Unit Price]]*Table9[[#This Row],[Pack Order Quantity]]+Table9[[#This Row],[Shipping]]</f>
        <v>0</v>
      </c>
      <c r="H27"/>
      <c r="I27"/>
    </row>
    <row r="28" spans="1:9">
      <c r="A28" s="47" t="s">
        <v>477</v>
      </c>
      <c r="B28" s="274">
        <v>4</v>
      </c>
      <c r="C28" s="274"/>
      <c r="D28" s="93"/>
      <c r="E28" s="273"/>
      <c r="F28" s="273"/>
      <c r="G28" s="273">
        <f>Table9[[#This Row],[Unit Price]]*Table9[[#This Row],[Pack Order Quantity]]+Table9[[#This Row],[Shipping]]</f>
        <v>0</v>
      </c>
      <c r="H28"/>
      <c r="I28"/>
    </row>
    <row r="29" spans="1:9">
      <c r="A29" s="47" t="s">
        <v>478</v>
      </c>
      <c r="B29" s="274">
        <v>2</v>
      </c>
      <c r="C29" s="274"/>
      <c r="D29" s="93"/>
      <c r="E29" s="273"/>
      <c r="F29" s="273"/>
      <c r="G29" s="273">
        <f>Table9[[#This Row],[Unit Price]]*Table9[[#This Row],[Pack Order Quantity]]+Table9[[#This Row],[Shipping]]</f>
        <v>0</v>
      </c>
      <c r="H29"/>
      <c r="I29"/>
    </row>
    <row r="30" spans="1:9">
      <c r="A30" s="47" t="s">
        <v>479</v>
      </c>
      <c r="B30" s="274">
        <v>1</v>
      </c>
      <c r="C30" s="274"/>
      <c r="D30" s="93"/>
      <c r="E30" s="273"/>
      <c r="F30" s="273"/>
      <c r="G30" s="273">
        <f>Table9[[#This Row],[Unit Price]]*Table9[[#This Row],[Pack Order Quantity]]+Table9[[#This Row],[Shipping]]</f>
        <v>0</v>
      </c>
      <c r="H30"/>
      <c r="I30"/>
    </row>
    <row r="31" spans="1:9">
      <c r="A31" s="47" t="s">
        <v>480</v>
      </c>
      <c r="B31" s="274">
        <v>1</v>
      </c>
      <c r="C31" s="274"/>
      <c r="D31" s="93"/>
      <c r="E31" s="273"/>
      <c r="F31" s="273"/>
      <c r="G31" s="273">
        <f>Table9[[#This Row],[Unit Price]]*Table9[[#This Row],[Pack Order Quantity]]+Table9[[#This Row],[Shipping]]</f>
        <v>0</v>
      </c>
      <c r="H31"/>
      <c r="I31"/>
    </row>
    <row r="32" spans="1:9">
      <c r="A32" s="47" t="s">
        <v>481</v>
      </c>
      <c r="B32" s="274">
        <v>2</v>
      </c>
      <c r="C32" s="274"/>
      <c r="D32" s="93"/>
      <c r="E32" s="273"/>
      <c r="F32" s="273"/>
      <c r="G32" s="273">
        <f>Table9[[#This Row],[Unit Price]]*Table9[[#This Row],[Pack Order Quantity]]+Table9[[#This Row],[Shipping]]</f>
        <v>0</v>
      </c>
      <c r="H32"/>
      <c r="I32"/>
    </row>
    <row r="33" spans="1:9">
      <c r="A33" s="47" t="s">
        <v>482</v>
      </c>
      <c r="B33" s="274">
        <v>1</v>
      </c>
      <c r="C33" s="274"/>
      <c r="D33" s="93"/>
      <c r="E33" s="273"/>
      <c r="F33" s="273"/>
      <c r="G33" s="273">
        <f>Table9[[#This Row],[Unit Price]]*Table9[[#This Row],[Pack Order Quantity]]+Table9[[#This Row],[Shipping]]</f>
        <v>0</v>
      </c>
      <c r="H33"/>
      <c r="I33"/>
    </row>
    <row r="34" spans="1:9">
      <c r="A34" s="47" t="s">
        <v>483</v>
      </c>
      <c r="B34" s="274">
        <v>1</v>
      </c>
      <c r="C34" s="274"/>
      <c r="D34" s="93"/>
      <c r="E34" s="273"/>
      <c r="F34" s="273"/>
      <c r="G34" s="273">
        <f>Table9[[#This Row],[Unit Price]]*Table9[[#This Row],[Pack Order Quantity]]+Table9[[#This Row],[Shipping]]</f>
        <v>0</v>
      </c>
      <c r="H34"/>
      <c r="I34"/>
    </row>
    <row r="35" spans="1:9">
      <c r="A35" s="47" t="s">
        <v>484</v>
      </c>
      <c r="B35" s="274">
        <v>1</v>
      </c>
      <c r="C35" s="274"/>
      <c r="D35" s="93"/>
      <c r="E35" s="273"/>
      <c r="F35" s="273"/>
      <c r="G35" s="273">
        <f>Table9[[#This Row],[Unit Price]]*Table9[[#This Row],[Pack Order Quantity]]+Table9[[#This Row],[Shipping]]</f>
        <v>0</v>
      </c>
      <c r="H35"/>
      <c r="I35"/>
    </row>
    <row r="36" spans="1:9">
      <c r="A36" s="47" t="s">
        <v>485</v>
      </c>
      <c r="B36" s="274">
        <v>2</v>
      </c>
      <c r="C36" s="274"/>
      <c r="D36" s="93"/>
      <c r="E36" s="273"/>
      <c r="F36" s="273"/>
      <c r="G36" s="273">
        <f>Table9[[#This Row],[Unit Price]]*Table9[[#This Row],[Pack Order Quantity]]+Table9[[#This Row],[Shipping]]</f>
        <v>0</v>
      </c>
      <c r="H36"/>
      <c r="I36"/>
    </row>
    <row r="37" spans="1:9">
      <c r="A37" s="47" t="s">
        <v>486</v>
      </c>
      <c r="B37" s="274">
        <v>1</v>
      </c>
      <c r="C37" s="274"/>
      <c r="D37" s="93"/>
      <c r="E37" s="273"/>
      <c r="F37" s="273"/>
      <c r="G37" s="273">
        <f>Table9[[#This Row],[Unit Price]]*Table9[[#This Row],[Pack Order Quantity]]+Table9[[#This Row],[Shipping]]</f>
        <v>0</v>
      </c>
      <c r="H37"/>
      <c r="I37"/>
    </row>
    <row r="38" spans="1:9">
      <c r="A38" s="47" t="s">
        <v>487</v>
      </c>
      <c r="B38" s="274">
        <v>1</v>
      </c>
      <c r="C38" s="274"/>
      <c r="D38" s="93"/>
      <c r="E38" s="273"/>
      <c r="F38" s="273"/>
      <c r="G38" s="273">
        <f>Table9[[#This Row],[Unit Price]]*Table9[[#This Row],[Pack Order Quantity]]+Table9[[#This Row],[Shipping]]</f>
        <v>0</v>
      </c>
      <c r="H38"/>
      <c r="I38"/>
    </row>
    <row r="39" spans="1:9">
      <c r="A39" s="47" t="s">
        <v>488</v>
      </c>
      <c r="B39" s="274">
        <v>1</v>
      </c>
      <c r="C39" s="274"/>
      <c r="E39" s="273"/>
      <c r="F39" s="273"/>
      <c r="G39" s="273">
        <f>Table9[[#This Row],[Unit Price]]*Table9[[#This Row],[Pack Order Quantity]]+Table9[[#This Row],[Shipping]]</f>
        <v>0</v>
      </c>
      <c r="H39"/>
      <c r="I39"/>
    </row>
    <row r="40" spans="1:9">
      <c r="E40"/>
      <c r="F40"/>
      <c r="G40"/>
      <c r="H40"/>
      <c r="I40"/>
    </row>
    <row r="41" spans="1:9">
      <c r="E41"/>
      <c r="F41"/>
    </row>
  </sheetData>
  <hyperlinks>
    <hyperlink ref="D24" r:id="rId1" xr:uid="{75480ED0-43EB-4E73-A285-2AB05641807C}"/>
    <hyperlink ref="D25" r:id="rId2" display="Color: L400 - MGN12H" xr:uid="{996E2B09-0691-4BEC-AAF6-1BC50620D8EC}"/>
    <hyperlink ref="D26" r:id="rId3" display="Color: 17HS19-2504S-H-V1" xr:uid="{F3389B4A-2BFD-48DA-8E55-C7FF702A8F73}"/>
  </hyperlinks>
  <pageMargins left="0.7" right="0.7" top="0.75" bottom="0.75" header="0.3" footer="0.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E239-FAF9-47D0-BC13-1FD55AB9441B}">
  <sheetPr>
    <tabColor rgb="FF00B050"/>
  </sheetPr>
  <dimension ref="A1:S60"/>
  <sheetViews>
    <sheetView zoomScaleNormal="100" workbookViewId="0">
      <selection activeCell="C43" sqref="C43"/>
    </sheetView>
  </sheetViews>
  <sheetFormatPr defaultRowHeight="15"/>
  <cols>
    <col min="1" max="1" width="9.140625" style="78"/>
    <col min="2" max="2" width="39.140625" style="78" bestFit="1" customWidth="1"/>
    <col min="3" max="3" width="16.42578125" style="80" customWidth="1"/>
    <col min="4" max="4" width="13.28515625" style="78" bestFit="1" customWidth="1"/>
    <col min="5" max="5" width="15.28515625" style="78" customWidth="1"/>
    <col min="6" max="6" width="11.85546875" style="78" customWidth="1"/>
    <col min="7" max="7" width="11.85546875" style="167" customWidth="1"/>
    <col min="8" max="8" width="17.42578125" style="78" customWidth="1"/>
    <col min="9" max="9" width="13.42578125" style="78" customWidth="1"/>
    <col min="10" max="10" width="9.140625" style="78" customWidth="1"/>
    <col min="11" max="11" width="5.42578125" style="78" customWidth="1"/>
    <col min="12" max="12" width="6.140625" style="78" customWidth="1"/>
    <col min="13" max="13" width="9.140625" style="78" customWidth="1"/>
    <col min="14" max="14" width="15.42578125" style="78" customWidth="1"/>
    <col min="15" max="15" width="34" style="78" customWidth="1"/>
    <col min="16" max="16" width="8.7109375" style="78" customWidth="1"/>
    <col min="17" max="17" width="22.7109375" style="78" customWidth="1"/>
    <col min="18" max="18" width="34.140625" style="78" bestFit="1" customWidth="1"/>
    <col min="19" max="19" width="8.42578125" style="78" bestFit="1" customWidth="1"/>
    <col min="20" max="16384" width="9.140625" style="78"/>
  </cols>
  <sheetData>
    <row r="1" spans="2:19">
      <c r="B1" s="78" t="s">
        <v>66</v>
      </c>
      <c r="C1" s="80" t="s">
        <v>489</v>
      </c>
      <c r="D1" s="78" t="s">
        <v>2</v>
      </c>
      <c r="E1" s="78" t="s">
        <v>68</v>
      </c>
      <c r="F1" s="78" t="s">
        <v>111</v>
      </c>
      <c r="G1" s="167" t="s">
        <v>490</v>
      </c>
      <c r="H1" s="78" t="s">
        <v>112</v>
      </c>
      <c r="I1" s="78" t="s">
        <v>113</v>
      </c>
      <c r="J1" s="78" t="s">
        <v>114</v>
      </c>
      <c r="L1"/>
      <c r="O1" t="s">
        <v>491</v>
      </c>
      <c r="P1" t="s">
        <v>489</v>
      </c>
      <c r="Q1"/>
      <c r="R1" t="s">
        <v>491</v>
      </c>
      <c r="S1" t="s">
        <v>489</v>
      </c>
    </row>
    <row r="2" spans="2:19">
      <c r="B2" t="s">
        <v>492</v>
      </c>
      <c r="C2" s="15">
        <v>1</v>
      </c>
      <c r="L2"/>
      <c r="O2"/>
      <c r="P2"/>
      <c r="Q2"/>
      <c r="R2"/>
      <c r="S2"/>
    </row>
    <row r="3" spans="2:19">
      <c r="B3" s="82" t="s">
        <v>255</v>
      </c>
      <c r="C3" s="80">
        <v>1</v>
      </c>
      <c r="E3" s="88" t="s">
        <v>493</v>
      </c>
      <c r="L3"/>
      <c r="O3"/>
      <c r="P3"/>
      <c r="Q3"/>
      <c r="R3"/>
      <c r="S3"/>
    </row>
    <row r="4" spans="2:19">
      <c r="B4" s="82" t="s">
        <v>494</v>
      </c>
      <c r="C4" s="80">
        <v>1</v>
      </c>
      <c r="E4" s="84" t="s">
        <v>495</v>
      </c>
      <c r="L4"/>
      <c r="O4"/>
      <c r="P4"/>
      <c r="Q4"/>
      <c r="R4"/>
      <c r="S4"/>
    </row>
    <row r="5" spans="2:19">
      <c r="B5" s="82" t="s">
        <v>496</v>
      </c>
      <c r="C5" s="80">
        <v>1</v>
      </c>
      <c r="E5" s="88"/>
      <c r="L5"/>
      <c r="O5"/>
      <c r="P5"/>
      <c r="Q5"/>
      <c r="R5"/>
      <c r="S5"/>
    </row>
    <row r="6" spans="2:19">
      <c r="B6" t="s">
        <v>251</v>
      </c>
      <c r="C6" s="80">
        <v>4</v>
      </c>
      <c r="E6" s="88"/>
      <c r="L6"/>
      <c r="O6"/>
      <c r="P6"/>
      <c r="Q6"/>
      <c r="R6"/>
      <c r="S6"/>
    </row>
    <row r="7" spans="2:19">
      <c r="B7" s="78" t="s">
        <v>263</v>
      </c>
      <c r="C7" s="80">
        <v>8</v>
      </c>
      <c r="E7" s="88"/>
      <c r="L7"/>
      <c r="O7"/>
      <c r="P7"/>
      <c r="Q7"/>
      <c r="R7"/>
      <c r="S7"/>
    </row>
    <row r="8" spans="2:19">
      <c r="B8" t="s">
        <v>497</v>
      </c>
      <c r="C8" s="15">
        <v>14</v>
      </c>
      <c r="E8" s="88"/>
      <c r="L8"/>
      <c r="O8"/>
      <c r="P8"/>
      <c r="Q8"/>
      <c r="R8"/>
      <c r="S8"/>
    </row>
    <row r="9" spans="2:19">
      <c r="B9" t="s">
        <v>336</v>
      </c>
      <c r="C9" s="15">
        <v>6</v>
      </c>
      <c r="E9" s="88"/>
      <c r="L9"/>
      <c r="O9"/>
      <c r="P9"/>
      <c r="Q9"/>
      <c r="R9"/>
      <c r="S9"/>
    </row>
    <row r="10" spans="2:19">
      <c r="B10" s="78" t="s">
        <v>498</v>
      </c>
      <c r="C10" s="15">
        <v>1</v>
      </c>
      <c r="E10" s="103"/>
      <c r="L10"/>
      <c r="O10"/>
      <c r="P10"/>
      <c r="Q10"/>
      <c r="R10"/>
      <c r="S10"/>
    </row>
    <row r="11" spans="2:19">
      <c r="B11" t="s">
        <v>345</v>
      </c>
      <c r="C11" s="80">
        <v>6</v>
      </c>
      <c r="E11" s="88"/>
      <c r="L11"/>
      <c r="O11"/>
      <c r="P11"/>
      <c r="Q11"/>
      <c r="R11"/>
      <c r="S11"/>
    </row>
    <row r="12" spans="2:19">
      <c r="B12" t="s">
        <v>349</v>
      </c>
      <c r="C12" s="15">
        <v>2</v>
      </c>
      <c r="E12" s="88"/>
      <c r="L12"/>
      <c r="O12"/>
      <c r="P12"/>
      <c r="Q12"/>
      <c r="R12"/>
      <c r="S12"/>
    </row>
    <row r="13" spans="2:19">
      <c r="B13" t="s">
        <v>353</v>
      </c>
      <c r="C13" s="15">
        <v>10</v>
      </c>
      <c r="E13" s="88"/>
      <c r="L13"/>
      <c r="O13"/>
      <c r="P13"/>
      <c r="Q13"/>
      <c r="R13"/>
      <c r="S13"/>
    </row>
    <row r="14" spans="2:19">
      <c r="B14" s="78" t="s">
        <v>499</v>
      </c>
      <c r="C14" s="80">
        <v>1</v>
      </c>
      <c r="E14" s="88"/>
      <c r="L14"/>
      <c r="O14"/>
      <c r="P14"/>
      <c r="Q14"/>
      <c r="R14"/>
      <c r="S14"/>
    </row>
    <row r="15" spans="2:19">
      <c r="B15" s="82" t="s">
        <v>500</v>
      </c>
      <c r="C15" s="80">
        <v>1</v>
      </c>
      <c r="E15" s="79"/>
      <c r="L15"/>
      <c r="O15"/>
      <c r="P15"/>
      <c r="Q15"/>
      <c r="R15"/>
      <c r="S15"/>
    </row>
    <row r="16" spans="2:19">
      <c r="B16" s="313" t="s">
        <v>501</v>
      </c>
      <c r="C16" s="80">
        <v>1</v>
      </c>
      <c r="E16" s="79"/>
      <c r="L16"/>
      <c r="O16"/>
      <c r="P16"/>
      <c r="Q16"/>
      <c r="R16"/>
      <c r="S16"/>
    </row>
    <row r="17" spans="1:19">
      <c r="B17" s="78" t="s">
        <v>502</v>
      </c>
      <c r="C17" s="80">
        <v>1</v>
      </c>
      <c r="E17" s="79"/>
      <c r="L17"/>
      <c r="O17"/>
      <c r="P17"/>
      <c r="Q17"/>
      <c r="R17"/>
      <c r="S17"/>
    </row>
    <row r="18" spans="1:19">
      <c r="B18" s="313" t="s">
        <v>503</v>
      </c>
      <c r="C18" s="80" t="s">
        <v>504</v>
      </c>
      <c r="E18" s="79"/>
      <c r="L18"/>
      <c r="O18"/>
      <c r="P18"/>
      <c r="Q18"/>
      <c r="R18"/>
      <c r="S18"/>
    </row>
    <row r="19" spans="1:19">
      <c r="B19" s="78" t="s">
        <v>505</v>
      </c>
      <c r="C19" s="80" t="s">
        <v>504</v>
      </c>
      <c r="E19" s="79"/>
      <c r="O19"/>
      <c r="P19"/>
      <c r="Q19"/>
      <c r="R19"/>
      <c r="S19"/>
    </row>
    <row r="20" spans="1:19">
      <c r="B20" s="82" t="s">
        <v>506</v>
      </c>
      <c r="C20" s="80">
        <v>2</v>
      </c>
      <c r="E20" s="79"/>
      <c r="O20"/>
      <c r="P20"/>
      <c r="Q20"/>
      <c r="R20"/>
      <c r="S20"/>
    </row>
    <row r="21" spans="1:19">
      <c r="B21" s="82" t="s">
        <v>507</v>
      </c>
      <c r="C21" s="80">
        <v>1</v>
      </c>
      <c r="E21" s="79"/>
      <c r="O21"/>
      <c r="P21"/>
      <c r="Q21"/>
      <c r="R21"/>
      <c r="S21"/>
    </row>
    <row r="22" spans="1:19">
      <c r="B22" s="78" t="s">
        <v>508</v>
      </c>
      <c r="C22" s="80" t="s">
        <v>504</v>
      </c>
      <c r="E22" s="79"/>
      <c r="O22"/>
      <c r="P22"/>
      <c r="Q22"/>
      <c r="R22"/>
      <c r="S22"/>
    </row>
    <row r="23" spans="1:19">
      <c r="O23"/>
      <c r="P23"/>
      <c r="Q23"/>
      <c r="R23"/>
      <c r="S23"/>
    </row>
    <row r="24" spans="1:19">
      <c r="O24"/>
      <c r="P24"/>
      <c r="Q24"/>
      <c r="R24"/>
      <c r="S24"/>
    </row>
    <row r="25" spans="1:19">
      <c r="B25" s="136" t="s">
        <v>509</v>
      </c>
      <c r="O25"/>
      <c r="P25"/>
      <c r="Q25"/>
      <c r="R25"/>
      <c r="S25"/>
    </row>
    <row r="26" spans="1:19">
      <c r="O26"/>
      <c r="P26"/>
      <c r="Q26"/>
      <c r="R26"/>
      <c r="S26"/>
    </row>
    <row r="27" spans="1:19" ht="19.5" customHeight="1">
      <c r="B27" s="136" t="s">
        <v>510</v>
      </c>
      <c r="C27" s="161"/>
      <c r="D27" s="140" t="s">
        <v>511</v>
      </c>
      <c r="E27" s="78" t="s">
        <v>512</v>
      </c>
      <c r="F27" s="141" t="s">
        <v>513</v>
      </c>
      <c r="G27" s="168"/>
      <c r="M27" s="78" t="s">
        <v>514</v>
      </c>
      <c r="O27"/>
      <c r="P27"/>
      <c r="Q27"/>
      <c r="R27"/>
      <c r="S27"/>
    </row>
    <row r="28" spans="1:19">
      <c r="A28" s="117" t="s">
        <v>515</v>
      </c>
      <c r="B28" s="117" t="s">
        <v>516</v>
      </c>
      <c r="C28" s="162"/>
      <c r="D28" s="138">
        <v>1</v>
      </c>
      <c r="E28" s="139">
        <v>1</v>
      </c>
      <c r="F28" s="121">
        <v>0</v>
      </c>
      <c r="G28" s="169"/>
      <c r="H28" s="121"/>
      <c r="I28" s="121"/>
      <c r="J28" s="121"/>
      <c r="K28" s="121"/>
      <c r="L28" s="121"/>
      <c r="M28" s="121"/>
      <c r="O28"/>
      <c r="P28"/>
      <c r="Q28"/>
      <c r="R28"/>
      <c r="S28"/>
    </row>
    <row r="29" spans="1:19">
      <c r="A29" s="117" t="s">
        <v>515</v>
      </c>
      <c r="B29" s="117" t="s">
        <v>517</v>
      </c>
      <c r="C29" s="163"/>
      <c r="D29" s="31">
        <v>1</v>
      </c>
      <c r="E29" s="138">
        <v>1</v>
      </c>
      <c r="F29" s="121">
        <v>0</v>
      </c>
      <c r="G29" s="169"/>
      <c r="H29" s="121"/>
      <c r="I29" s="121"/>
      <c r="J29" s="121"/>
      <c r="K29" s="121"/>
      <c r="L29" s="121"/>
      <c r="M29" s="121"/>
      <c r="O29"/>
      <c r="P29"/>
      <c r="Q29"/>
      <c r="R29"/>
      <c r="S29"/>
    </row>
    <row r="30" spans="1:19">
      <c r="A30" s="117" t="s">
        <v>515</v>
      </c>
      <c r="B30" t="s">
        <v>518</v>
      </c>
      <c r="C30" s="104"/>
      <c r="D30" s="31">
        <v>1</v>
      </c>
      <c r="E30" s="138">
        <v>1</v>
      </c>
      <c r="F30" s="121"/>
      <c r="G30" s="169"/>
      <c r="H30" s="121"/>
      <c r="I30" s="121"/>
      <c r="J30" s="121"/>
      <c r="K30" s="121"/>
      <c r="L30" s="121"/>
      <c r="M30" s="121"/>
      <c r="O30"/>
      <c r="P30"/>
      <c r="Q30"/>
      <c r="R30"/>
      <c r="S30"/>
    </row>
    <row r="31" spans="1:19">
      <c r="A31" s="117" t="s">
        <v>515</v>
      </c>
      <c r="B31" s="111" t="s">
        <v>519</v>
      </c>
      <c r="C31" s="164"/>
      <c r="D31" s="314">
        <v>1</v>
      </c>
      <c r="E31" s="314">
        <v>1</v>
      </c>
      <c r="F31" s="315">
        <v>3.9</v>
      </c>
      <c r="G31" s="316"/>
      <c r="H31" s="315"/>
      <c r="I31" s="315"/>
      <c r="J31" s="315"/>
      <c r="K31" s="121"/>
      <c r="L31" s="121"/>
      <c r="M31" s="120" t="s">
        <v>520</v>
      </c>
      <c r="O31"/>
      <c r="P31"/>
      <c r="Q31"/>
      <c r="R31"/>
      <c r="S31"/>
    </row>
    <row r="32" spans="1:19">
      <c r="A32" s="117" t="s">
        <v>515</v>
      </c>
      <c r="B32" s="111" t="s">
        <v>521</v>
      </c>
      <c r="C32" s="164"/>
      <c r="D32" s="314">
        <v>1</v>
      </c>
      <c r="E32" s="314">
        <v>1</v>
      </c>
      <c r="F32" s="315">
        <v>4.09</v>
      </c>
      <c r="G32" s="316"/>
      <c r="H32" s="315"/>
      <c r="I32" s="315"/>
      <c r="J32" s="315"/>
      <c r="K32" s="121"/>
      <c r="L32" s="121"/>
      <c r="M32" s="120" t="s">
        <v>522</v>
      </c>
      <c r="O32"/>
      <c r="P32"/>
      <c r="Q32"/>
      <c r="R32"/>
      <c r="S32"/>
    </row>
    <row r="33" spans="1:19">
      <c r="A33" s="117" t="s">
        <v>515</v>
      </c>
      <c r="B33" s="315" t="s">
        <v>233</v>
      </c>
      <c r="C33" s="164"/>
      <c r="D33" s="314">
        <v>1</v>
      </c>
      <c r="E33" s="314">
        <v>1</v>
      </c>
      <c r="F33" s="315">
        <v>6.52</v>
      </c>
      <c r="G33" s="316"/>
      <c r="H33" s="315"/>
      <c r="I33" s="315"/>
      <c r="J33" s="315"/>
      <c r="K33" s="121"/>
      <c r="L33" s="121"/>
      <c r="M33" s="120" t="s">
        <v>523</v>
      </c>
      <c r="O33"/>
      <c r="P33"/>
      <c r="Q33"/>
      <c r="R33"/>
      <c r="S33"/>
    </row>
    <row r="34" spans="1:19">
      <c r="A34" s="117" t="s">
        <v>515</v>
      </c>
      <c r="B34" s="315" t="s">
        <v>257</v>
      </c>
      <c r="C34" s="317"/>
      <c r="D34" s="314">
        <v>1</v>
      </c>
      <c r="E34" s="314">
        <v>1</v>
      </c>
      <c r="F34" s="315"/>
      <c r="G34" s="316"/>
      <c r="H34" s="315"/>
      <c r="I34" s="315"/>
      <c r="J34" s="315"/>
      <c r="K34" s="121"/>
      <c r="L34" s="121"/>
      <c r="M34" s="121"/>
      <c r="O34"/>
      <c r="P34"/>
      <c r="Q34"/>
      <c r="R34"/>
      <c r="S34"/>
    </row>
    <row r="35" spans="1:19" ht="15.75">
      <c r="A35" s="117" t="s">
        <v>515</v>
      </c>
      <c r="B35" s="117" t="s">
        <v>524</v>
      </c>
      <c r="C35" s="165"/>
      <c r="D35" s="118">
        <v>1</v>
      </c>
      <c r="E35" s="123">
        <v>1</v>
      </c>
      <c r="F35" s="113">
        <v>17.59</v>
      </c>
      <c r="G35" s="170"/>
      <c r="H35" s="131"/>
      <c r="I35" s="132" t="s">
        <v>525</v>
      </c>
      <c r="J35" s="114" t="s">
        <v>234</v>
      </c>
      <c r="K35" s="131"/>
      <c r="L35" s="131"/>
      <c r="M35" s="133" t="s">
        <v>526</v>
      </c>
      <c r="N35"/>
      <c r="O35"/>
      <c r="P35"/>
      <c r="Q35"/>
      <c r="R35"/>
      <c r="S35"/>
    </row>
    <row r="36" spans="1:19">
      <c r="A36" s="117" t="s">
        <v>515</v>
      </c>
      <c r="B36" s="117" t="s">
        <v>527</v>
      </c>
      <c r="C36" s="165"/>
      <c r="D36" s="118">
        <v>1</v>
      </c>
      <c r="E36" s="116">
        <v>1</v>
      </c>
      <c r="F36" s="113">
        <v>7.39</v>
      </c>
      <c r="G36" s="170"/>
      <c r="H36" s="113"/>
      <c r="I36" s="135" t="s">
        <v>528</v>
      </c>
      <c r="J36" s="114" t="s">
        <v>529</v>
      </c>
      <c r="K36" s="115"/>
      <c r="L36" s="115"/>
      <c r="M36" s="133" t="s">
        <v>530</v>
      </c>
      <c r="N36"/>
      <c r="O36"/>
      <c r="P36"/>
      <c r="Q36"/>
      <c r="R36"/>
      <c r="S36"/>
    </row>
    <row r="37" spans="1:19">
      <c r="A37" s="117" t="s">
        <v>515</v>
      </c>
      <c r="B37" s="121" t="s">
        <v>298</v>
      </c>
      <c r="C37" s="165"/>
      <c r="D37" s="142">
        <v>2</v>
      </c>
      <c r="E37" s="116">
        <v>2</v>
      </c>
      <c r="F37" s="113">
        <v>3.49</v>
      </c>
      <c r="G37" s="170"/>
      <c r="H37" s="113"/>
      <c r="I37" s="126" t="s">
        <v>299</v>
      </c>
      <c r="J37" s="114"/>
      <c r="K37" s="115"/>
      <c r="L37" s="115"/>
      <c r="M37" s="133" t="s">
        <v>300</v>
      </c>
      <c r="N37"/>
      <c r="Q37"/>
      <c r="R37"/>
      <c r="S37"/>
    </row>
    <row r="38" spans="1:19" ht="15.75">
      <c r="A38" s="117" t="s">
        <v>515</v>
      </c>
      <c r="B38" s="121" t="s">
        <v>531</v>
      </c>
      <c r="C38" s="165" t="s">
        <v>532</v>
      </c>
      <c r="D38" s="112">
        <v>1</v>
      </c>
      <c r="E38" s="116"/>
      <c r="F38" s="113">
        <v>48</v>
      </c>
      <c r="G38" s="170"/>
      <c r="H38" s="113"/>
      <c r="I38" s="126"/>
      <c r="J38" s="114" t="s">
        <v>533</v>
      </c>
      <c r="K38" s="115"/>
      <c r="L38" s="115"/>
      <c r="M38" s="124"/>
      <c r="N38"/>
      <c r="Q38"/>
      <c r="R38"/>
      <c r="S38"/>
    </row>
    <row r="39" spans="1:19">
      <c r="A39" s="117" t="s">
        <v>515</v>
      </c>
      <c r="B39" s="111" t="s">
        <v>534</v>
      </c>
      <c r="C39" s="165"/>
      <c r="D39" s="118">
        <v>1</v>
      </c>
      <c r="E39" s="116">
        <v>1</v>
      </c>
      <c r="F39" s="113">
        <v>10</v>
      </c>
      <c r="G39" s="170"/>
      <c r="H39" s="113"/>
      <c r="I39" s="126"/>
      <c r="J39" s="114"/>
      <c r="K39" s="115"/>
      <c r="L39" s="115"/>
      <c r="M39" s="120" t="s">
        <v>535</v>
      </c>
      <c r="N39"/>
      <c r="Q39"/>
      <c r="R39"/>
      <c r="S39"/>
    </row>
    <row r="40" spans="1:19" ht="15.75">
      <c r="A40" s="117" t="s">
        <v>536</v>
      </c>
      <c r="B40" s="117" t="s">
        <v>537</v>
      </c>
      <c r="C40" s="165"/>
      <c r="D40" s="118">
        <v>1</v>
      </c>
      <c r="E40" s="123">
        <v>1</v>
      </c>
      <c r="F40" s="113">
        <v>1.54</v>
      </c>
      <c r="G40" s="78"/>
      <c r="H40" s="131"/>
      <c r="I40" s="132" t="s">
        <v>538</v>
      </c>
      <c r="J40" s="114" t="s">
        <v>234</v>
      </c>
      <c r="K40" s="131"/>
      <c r="L40" s="131"/>
      <c r="M40" s="133" t="s">
        <v>539</v>
      </c>
      <c r="N40"/>
      <c r="Q40"/>
      <c r="R40"/>
      <c r="S40"/>
    </row>
    <row r="41" spans="1:19" ht="15.75">
      <c r="A41" s="117" t="s">
        <v>536</v>
      </c>
      <c r="B41" s="117" t="s">
        <v>540</v>
      </c>
      <c r="C41" s="165"/>
      <c r="D41" s="118">
        <v>1</v>
      </c>
      <c r="E41" s="123">
        <v>1</v>
      </c>
      <c r="F41" s="113">
        <v>2.31</v>
      </c>
      <c r="G41" s="170"/>
      <c r="H41" s="131"/>
      <c r="I41" s="132" t="s">
        <v>541</v>
      </c>
      <c r="J41" s="114" t="s">
        <v>234</v>
      </c>
      <c r="K41" s="131"/>
      <c r="L41" s="131"/>
      <c r="M41" s="133" t="s">
        <v>539</v>
      </c>
      <c r="N41"/>
      <c r="Q41"/>
      <c r="R41"/>
      <c r="S41"/>
    </row>
    <row r="42" spans="1:19">
      <c r="A42" s="117" t="s">
        <v>536</v>
      </c>
      <c r="B42" s="125" t="s">
        <v>542</v>
      </c>
      <c r="C42" s="165"/>
      <c r="D42" s="119">
        <v>1</v>
      </c>
      <c r="E42" s="116">
        <v>1</v>
      </c>
      <c r="F42" s="113">
        <v>13.5</v>
      </c>
      <c r="G42" s="78"/>
      <c r="H42" s="113"/>
      <c r="I42" s="122" t="s">
        <v>543</v>
      </c>
      <c r="J42" s="114" t="s">
        <v>234</v>
      </c>
      <c r="K42" s="115"/>
      <c r="L42" s="115"/>
      <c r="M42" s="133" t="s">
        <v>544</v>
      </c>
      <c r="N42"/>
      <c r="R42"/>
      <c r="S42"/>
    </row>
    <row r="43" spans="1:19">
      <c r="B43" s="82"/>
      <c r="C43" s="318"/>
      <c r="D43" s="313"/>
      <c r="E43" s="313" t="s">
        <v>545</v>
      </c>
      <c r="F43" s="313">
        <f>SUM(F28:F42)</f>
        <v>118.33000000000001</v>
      </c>
      <c r="G43" s="319"/>
      <c r="H43" s="320"/>
      <c r="I43" s="320"/>
      <c r="J43" s="320"/>
      <c r="R43"/>
      <c r="S43"/>
    </row>
    <row r="44" spans="1:19">
      <c r="R44"/>
      <c r="S44"/>
    </row>
    <row r="45" spans="1:19">
      <c r="R45"/>
      <c r="S45"/>
    </row>
    <row r="46" spans="1:19">
      <c r="B46" s="143" t="s">
        <v>546</v>
      </c>
    </row>
    <row r="47" spans="1:19">
      <c r="B47" s="143" t="s">
        <v>547</v>
      </c>
      <c r="C47" s="161"/>
      <c r="D47" s="140" t="s">
        <v>511</v>
      </c>
      <c r="E47" s="80" t="s">
        <v>512</v>
      </c>
      <c r="F47" s="141" t="s">
        <v>513</v>
      </c>
      <c r="G47" s="168"/>
      <c r="M47" s="78" t="s">
        <v>514</v>
      </c>
    </row>
    <row r="48" spans="1:19">
      <c r="A48" s="117" t="s">
        <v>515</v>
      </c>
      <c r="B48" s="117" t="s">
        <v>548</v>
      </c>
      <c r="C48" s="162"/>
      <c r="D48" s="138">
        <v>1</v>
      </c>
      <c r="E48" s="139">
        <v>1</v>
      </c>
      <c r="F48" s="121">
        <v>0</v>
      </c>
      <c r="G48" s="169"/>
      <c r="H48" s="121"/>
      <c r="I48" s="121"/>
      <c r="J48" s="121"/>
      <c r="K48" s="121"/>
      <c r="L48" s="121"/>
      <c r="M48" s="121"/>
    </row>
    <row r="49" spans="1:13">
      <c r="A49" s="117" t="s">
        <v>515</v>
      </c>
      <c r="B49" s="117" t="s">
        <v>517</v>
      </c>
      <c r="C49" s="163" t="s">
        <v>549</v>
      </c>
      <c r="D49" s="31">
        <v>1</v>
      </c>
      <c r="E49" s="138">
        <v>1</v>
      </c>
      <c r="F49" s="121">
        <v>0</v>
      </c>
      <c r="G49" s="169"/>
      <c r="H49" s="121"/>
      <c r="I49" s="121"/>
      <c r="J49" s="121"/>
      <c r="K49" s="121"/>
      <c r="L49" s="121"/>
      <c r="M49" s="121"/>
    </row>
    <row r="50" spans="1:13">
      <c r="A50" s="117" t="s">
        <v>515</v>
      </c>
      <c r="B50" s="111" t="s">
        <v>550</v>
      </c>
      <c r="C50" s="164"/>
      <c r="D50" s="314">
        <v>1</v>
      </c>
      <c r="E50" s="314">
        <v>1</v>
      </c>
      <c r="F50" s="315">
        <v>4.09</v>
      </c>
      <c r="G50" s="316"/>
      <c r="H50" s="315"/>
      <c r="I50" s="315"/>
      <c r="J50" s="315"/>
      <c r="K50" s="121"/>
      <c r="L50" s="121"/>
      <c r="M50" s="120" t="s">
        <v>522</v>
      </c>
    </row>
    <row r="51" spans="1:13">
      <c r="A51" s="117" t="s">
        <v>515</v>
      </c>
      <c r="B51" s="315" t="s">
        <v>233</v>
      </c>
      <c r="C51" s="164"/>
      <c r="D51" s="314">
        <v>1</v>
      </c>
      <c r="E51" s="314">
        <v>1</v>
      </c>
      <c r="F51" s="315">
        <v>6.52</v>
      </c>
      <c r="G51" s="316"/>
      <c r="H51" s="315"/>
      <c r="I51" s="315"/>
      <c r="J51" s="315"/>
      <c r="K51" s="121"/>
      <c r="L51" s="121"/>
      <c r="M51" s="120" t="s">
        <v>523</v>
      </c>
    </row>
    <row r="52" spans="1:13">
      <c r="A52" s="150" t="s">
        <v>515</v>
      </c>
      <c r="B52" s="321" t="s">
        <v>257</v>
      </c>
      <c r="C52" s="322"/>
      <c r="D52" s="321"/>
      <c r="E52" s="323"/>
      <c r="F52" s="321"/>
      <c r="G52" s="324"/>
      <c r="H52" s="321"/>
      <c r="I52" s="321"/>
      <c r="J52" s="321"/>
      <c r="K52" s="151"/>
      <c r="L52" s="151"/>
      <c r="M52" s="151"/>
    </row>
    <row r="53" spans="1:13">
      <c r="A53" s="117" t="s">
        <v>536</v>
      </c>
      <c r="B53" s="121" t="s">
        <v>551</v>
      </c>
      <c r="C53" s="164"/>
      <c r="D53" s="138">
        <v>1</v>
      </c>
      <c r="E53" s="138">
        <v>1</v>
      </c>
      <c r="F53" s="121">
        <v>32.520000000000003</v>
      </c>
      <c r="G53" s="169"/>
      <c r="H53" s="121"/>
      <c r="I53" s="121"/>
      <c r="J53" s="121"/>
      <c r="K53" s="121"/>
      <c r="L53" s="121"/>
      <c r="M53" s="120" t="s">
        <v>552</v>
      </c>
    </row>
    <row r="54" spans="1:13">
      <c r="A54" s="117" t="s">
        <v>536</v>
      </c>
      <c r="B54" s="121" t="s">
        <v>553</v>
      </c>
      <c r="C54" s="164"/>
      <c r="D54" s="138">
        <v>1</v>
      </c>
      <c r="E54" s="138">
        <v>1</v>
      </c>
      <c r="F54" s="121">
        <v>12.05</v>
      </c>
      <c r="G54" s="169"/>
      <c r="H54" s="121"/>
      <c r="I54" s="121"/>
      <c r="J54" s="121"/>
      <c r="K54" s="121"/>
      <c r="L54" s="121"/>
      <c r="M54" s="120" t="s">
        <v>554</v>
      </c>
    </row>
    <row r="55" spans="1:13">
      <c r="A55" s="117" t="s">
        <v>536</v>
      </c>
      <c r="B55" s="121" t="s">
        <v>555</v>
      </c>
      <c r="C55" s="164"/>
      <c r="D55" s="138">
        <v>1</v>
      </c>
      <c r="E55" s="138">
        <v>1</v>
      </c>
      <c r="F55" s="121">
        <v>11.31</v>
      </c>
      <c r="G55" s="169"/>
      <c r="H55" s="121"/>
      <c r="I55" s="121"/>
      <c r="J55" s="121"/>
      <c r="K55" s="121"/>
      <c r="L55" s="121"/>
      <c r="M55" s="120" t="s">
        <v>556</v>
      </c>
    </row>
    <row r="56" spans="1:13">
      <c r="A56" s="152" t="s">
        <v>515</v>
      </c>
      <c r="B56" s="153" t="s">
        <v>557</v>
      </c>
      <c r="C56" s="166"/>
      <c r="D56" s="154">
        <v>1</v>
      </c>
      <c r="E56" s="155">
        <v>1</v>
      </c>
      <c r="F56" s="156">
        <v>13.89</v>
      </c>
      <c r="G56" s="171"/>
      <c r="H56" s="156"/>
      <c r="I56" s="157"/>
      <c r="J56" s="158"/>
      <c r="K56" s="159"/>
      <c r="L56" s="159"/>
      <c r="M56" s="160" t="s">
        <v>558</v>
      </c>
    </row>
    <row r="57" spans="1:13">
      <c r="E57" s="78" t="s">
        <v>545</v>
      </c>
      <c r="F57" s="78">
        <f>SUM(F48:F56)</f>
        <v>80.38000000000001</v>
      </c>
    </row>
    <row r="60" spans="1:13">
      <c r="G60" s="78"/>
    </row>
  </sheetData>
  <hyperlinks>
    <hyperlink ref="E4" r:id="rId1" xr:uid="{EEBE149D-34CC-48D1-AE39-2076C5D7F620}"/>
    <hyperlink ref="M42" r:id="rId2" xr:uid="{651EC016-808C-4026-8142-B5362475A548}"/>
    <hyperlink ref="M35" r:id="rId3" xr:uid="{7CB79D65-A63A-433B-B30B-B7AA33900B17}"/>
    <hyperlink ref="M41" r:id="rId4" xr:uid="{7D870999-1C0F-4225-A042-F569ABD058CA}"/>
    <hyperlink ref="M40" r:id="rId5" xr:uid="{14B66981-D97A-49C2-8562-A86624576EFD}"/>
    <hyperlink ref="M37" r:id="rId6" xr:uid="{3683AC76-6E10-4161-9635-53013C79E6A3}"/>
    <hyperlink ref="M36" r:id="rId7" xr:uid="{E3709729-800C-4C29-B335-4A65858CA92E}"/>
    <hyperlink ref="M53" r:id="rId8" xr:uid="{4ECBB9E8-6819-4DC3-A804-A69AD2199B8A}"/>
    <hyperlink ref="M54" r:id="rId9" xr:uid="{D7FED2A5-8723-4426-8596-D19FB92554D2}"/>
    <hyperlink ref="M55" r:id="rId10" xr:uid="{D658CDD4-12EE-49A3-BFF2-572363488565}"/>
    <hyperlink ref="M56" r:id="rId11" xr:uid="{73F77B0B-276C-472B-A7DC-BE6EA4AAA1D0}"/>
    <hyperlink ref="M50" r:id="rId12" xr:uid="{4735B3BA-3551-474C-8427-217927319F98}"/>
    <hyperlink ref="M32" r:id="rId13" xr:uid="{E078871B-05BF-4AB5-8C04-046B8DFB3E8D}"/>
    <hyperlink ref="M51" r:id="rId14" xr:uid="{1BE45CFC-B954-42A9-8CBE-DF166E44D57D}"/>
    <hyperlink ref="M33" r:id="rId15" xr:uid="{67AC0242-ADA0-4745-82E0-3CBED0317F69}"/>
    <hyperlink ref="M31" r:id="rId16" xr:uid="{E53F0245-FE9C-4F57-B9A3-D4CA6F6E79A3}"/>
    <hyperlink ref="M39" r:id="rId17" xr:uid="{43D24FEC-BD23-4B40-A8DD-2DAACBAFDEFC}"/>
  </hyperlinks>
  <pageMargins left="0.7" right="0.7" top="0.75" bottom="0.75" header="0.3" footer="0.3"/>
  <tableParts count="1">
    <tablePart r:id="rId1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2443-E064-4150-B51E-D6535A81DA7E}">
  <sheetPr>
    <tabColor rgb="FF00B050"/>
  </sheetPr>
  <dimension ref="A1:I45"/>
  <sheetViews>
    <sheetView workbookViewId="0">
      <selection activeCell="D30" sqref="D30"/>
    </sheetView>
  </sheetViews>
  <sheetFormatPr defaultRowHeight="15"/>
  <cols>
    <col min="1" max="1" width="39.85546875" style="89" bestFit="1" customWidth="1"/>
    <col min="2" max="2" width="11" bestFit="1" customWidth="1"/>
    <col min="3" max="3" width="12.85546875" style="89" bestFit="1" customWidth="1"/>
    <col min="4" max="4" width="20.140625" style="89" bestFit="1" customWidth="1"/>
    <col min="5" max="5" width="12" style="279" bestFit="1" customWidth="1"/>
    <col min="6" max="6" width="11" style="279" bestFit="1" customWidth="1"/>
    <col min="7" max="7" width="11.85546875" style="279" bestFit="1" customWidth="1"/>
    <col min="8" max="8" width="15.42578125" bestFit="1" customWidth="1"/>
    <col min="9" max="16384" width="9.140625" style="89"/>
  </cols>
  <sheetData>
    <row r="1" spans="1:9" s="47" customFormat="1" ht="30" customHeight="1">
      <c r="A1" s="275" t="s">
        <v>66</v>
      </c>
      <c r="B1" s="276" t="s">
        <v>431</v>
      </c>
      <c r="C1" s="276" t="s">
        <v>5</v>
      </c>
      <c r="D1" s="276" t="s">
        <v>462</v>
      </c>
      <c r="E1" s="277" t="s">
        <v>434</v>
      </c>
      <c r="F1" s="277" t="s">
        <v>463</v>
      </c>
      <c r="G1" s="277" t="s">
        <v>435</v>
      </c>
      <c r="H1" s="276" t="s">
        <v>2</v>
      </c>
      <c r="I1"/>
    </row>
    <row r="2" spans="1:9">
      <c r="A2" s="181" t="s">
        <v>559</v>
      </c>
      <c r="B2" s="89">
        <v>12</v>
      </c>
      <c r="D2" s="92"/>
      <c r="E2" s="273"/>
      <c r="F2" s="273"/>
      <c r="G2" s="273">
        <f>Table16[[#This Row],[Unit Price]]*Table16[[#This Row],[Pack Order Quantity]]</f>
        <v>0</v>
      </c>
      <c r="H2" s="181" t="s">
        <v>59</v>
      </c>
    </row>
    <row r="3" spans="1:9">
      <c r="A3" s="181" t="s">
        <v>404</v>
      </c>
      <c r="B3" s="89">
        <v>3</v>
      </c>
      <c r="D3" s="92"/>
      <c r="E3" s="273"/>
      <c r="F3" s="273"/>
      <c r="G3" s="273">
        <f>Table16[[#This Row],[Unit Price]]*Table16[[#This Row],[Pack Order Quantity]]</f>
        <v>0</v>
      </c>
      <c r="H3" s="181" t="s">
        <v>560</v>
      </c>
    </row>
    <row r="4" spans="1:9">
      <c r="A4" s="181" t="s">
        <v>405</v>
      </c>
      <c r="B4" s="89">
        <v>6</v>
      </c>
      <c r="D4" s="92"/>
      <c r="E4" s="273"/>
      <c r="F4" s="273"/>
      <c r="G4" s="273">
        <f>Table16[[#This Row],[Unit Price]]*Table16[[#This Row],[Pack Order Quantity]]</f>
        <v>0</v>
      </c>
      <c r="H4" s="181" t="s">
        <v>560</v>
      </c>
    </row>
    <row r="5" spans="1:9">
      <c r="A5" s="89" t="s">
        <v>286</v>
      </c>
      <c r="B5" s="89">
        <v>1</v>
      </c>
      <c r="D5" s="92"/>
      <c r="E5" s="273"/>
      <c r="F5" s="273"/>
      <c r="G5" s="273">
        <f>Table16[[#This Row],[Unit Price]]*Table16[[#This Row],[Pack Order Quantity]]</f>
        <v>0</v>
      </c>
      <c r="H5" s="181" t="s">
        <v>561</v>
      </c>
    </row>
    <row r="6" spans="1:9">
      <c r="A6" s="90" t="s">
        <v>562</v>
      </c>
      <c r="B6" s="89">
        <v>1</v>
      </c>
      <c r="D6" s="278" t="s">
        <v>563</v>
      </c>
      <c r="E6" s="273"/>
      <c r="F6" s="273"/>
      <c r="G6" s="273">
        <f>Table16[[#This Row],[Unit Price]]*Table16[[#This Row],[Pack Order Quantity]]</f>
        <v>0</v>
      </c>
      <c r="H6" s="181" t="s">
        <v>564</v>
      </c>
    </row>
    <row r="7" spans="1:9">
      <c r="A7" s="181" t="s">
        <v>31</v>
      </c>
      <c r="B7" s="89">
        <v>6</v>
      </c>
      <c r="D7" s="92"/>
      <c r="E7" s="273"/>
      <c r="F7" s="273"/>
      <c r="G7" s="273">
        <f>Table16[[#This Row],[Unit Price]]*Table16[[#This Row],[Pack Order Quantity]]</f>
        <v>0</v>
      </c>
      <c r="H7" s="181" t="s">
        <v>565</v>
      </c>
    </row>
    <row r="8" spans="1:9">
      <c r="A8" s="181" t="s">
        <v>566</v>
      </c>
      <c r="B8" s="89">
        <v>3</v>
      </c>
      <c r="D8" s="92" t="s">
        <v>567</v>
      </c>
      <c r="E8" s="273"/>
      <c r="F8" s="273"/>
      <c r="G8" s="273">
        <f>Table16[[#This Row],[Unit Price]]*Table16[[#This Row],[Pack Order Quantity]]</f>
        <v>0</v>
      </c>
      <c r="H8" s="181" t="s">
        <v>565</v>
      </c>
    </row>
    <row r="9" spans="1:9" ht="15" customHeight="1">
      <c r="A9" s="181" t="s">
        <v>568</v>
      </c>
      <c r="B9" s="89">
        <v>3</v>
      </c>
      <c r="D9" s="99" t="s">
        <v>567</v>
      </c>
      <c r="E9" s="273"/>
      <c r="F9" s="273"/>
      <c r="G9" s="273">
        <f>Table16[[#This Row],[Unit Price]]*Table16[[#This Row],[Pack Order Quantity]]</f>
        <v>0</v>
      </c>
      <c r="H9" s="181" t="s">
        <v>565</v>
      </c>
    </row>
    <row r="10" spans="1:9" ht="15" customHeight="1">
      <c r="A10" s="97" t="s">
        <v>569</v>
      </c>
      <c r="B10" s="89">
        <v>3</v>
      </c>
      <c r="D10" s="99" t="s">
        <v>567</v>
      </c>
      <c r="E10" s="273"/>
      <c r="F10" s="273"/>
      <c r="G10" s="273">
        <f>Table16[[#This Row],[Unit Price]]*Table16[[#This Row],[Pack Order Quantity]]</f>
        <v>0</v>
      </c>
      <c r="H10" s="181" t="s">
        <v>564</v>
      </c>
    </row>
    <row r="11" spans="1:9">
      <c r="A11" s="280" t="s">
        <v>570</v>
      </c>
      <c r="B11" s="89">
        <v>1</v>
      </c>
      <c r="D11" s="92"/>
      <c r="E11" s="273"/>
      <c r="F11" s="273"/>
      <c r="G11" s="273">
        <f>Table16[[#This Row],[Unit Price]]*Table16[[#This Row],[Pack Order Quantity]]</f>
        <v>0</v>
      </c>
      <c r="H11" s="181" t="s">
        <v>571</v>
      </c>
    </row>
    <row r="12" spans="1:9">
      <c r="A12" s="89" t="s">
        <v>466</v>
      </c>
      <c r="B12" s="89">
        <v>42</v>
      </c>
      <c r="D12" s="92"/>
      <c r="E12" s="273"/>
      <c r="F12" s="273"/>
      <c r="G12" s="273">
        <f>Table16[[#This Row],[Unit Price]]*Table16[[#This Row],[Pack Order Quantity]]</f>
        <v>0</v>
      </c>
      <c r="H12" s="181" t="s">
        <v>572</v>
      </c>
    </row>
    <row r="13" spans="1:9">
      <c r="A13" s="89" t="s">
        <v>467</v>
      </c>
      <c r="B13" s="89">
        <v>3</v>
      </c>
      <c r="D13" s="92"/>
      <c r="E13" s="273"/>
      <c r="F13" s="273"/>
      <c r="G13" s="273">
        <f>Table16[[#This Row],[Unit Price]]*Table16[[#This Row],[Pack Order Quantity]]</f>
        <v>0</v>
      </c>
      <c r="H13" s="181" t="s">
        <v>572</v>
      </c>
    </row>
    <row r="14" spans="1:9">
      <c r="A14" s="89" t="s">
        <v>573</v>
      </c>
      <c r="B14" s="89">
        <v>27</v>
      </c>
      <c r="D14" s="92"/>
      <c r="E14" s="273"/>
      <c r="F14" s="273"/>
      <c r="G14" s="273">
        <f>Table16[[#This Row],[Unit Price]]*Table16[[#This Row],[Pack Order Quantity]]</f>
        <v>0</v>
      </c>
      <c r="H14" s="181" t="s">
        <v>572</v>
      </c>
    </row>
    <row r="15" spans="1:9">
      <c r="A15" s="89" t="s">
        <v>347</v>
      </c>
      <c r="B15" s="89">
        <v>54</v>
      </c>
      <c r="D15" s="92"/>
      <c r="E15" s="273"/>
      <c r="F15" s="273"/>
      <c r="G15" s="273">
        <f>Table16[[#This Row],[Unit Price]]*Table16[[#This Row],[Pack Order Quantity]]</f>
        <v>0</v>
      </c>
      <c r="H15" s="181" t="s">
        <v>572</v>
      </c>
    </row>
    <row r="16" spans="1:9">
      <c r="A16" s="89" t="s">
        <v>349</v>
      </c>
      <c r="B16" s="89">
        <v>8</v>
      </c>
      <c r="D16" s="92"/>
      <c r="E16" s="273"/>
      <c r="F16" s="273"/>
      <c r="G16" s="273">
        <f>Table16[[#This Row],[Unit Price]]*Table16[[#This Row],[Pack Order Quantity]]</f>
        <v>0</v>
      </c>
      <c r="H16" s="181" t="s">
        <v>572</v>
      </c>
    </row>
    <row r="17" spans="1:8">
      <c r="A17" s="181" t="s">
        <v>574</v>
      </c>
      <c r="B17" s="89">
        <v>7</v>
      </c>
      <c r="D17" s="278"/>
      <c r="E17" s="273"/>
      <c r="F17" s="273"/>
      <c r="G17" s="273">
        <f>Table16[[#This Row],[Unit Price]]*Table16[[#This Row],[Pack Order Quantity]]</f>
        <v>0</v>
      </c>
      <c r="H17" s="181" t="s">
        <v>572</v>
      </c>
    </row>
    <row r="18" spans="1:8">
      <c r="A18" s="89" t="s">
        <v>368</v>
      </c>
      <c r="B18" s="89">
        <v>3</v>
      </c>
      <c r="D18" s="92"/>
      <c r="E18" s="273"/>
      <c r="F18" s="273"/>
      <c r="G18" s="273">
        <f>Table16[[#This Row],[Unit Price]]*Table16[[#This Row],[Pack Order Quantity]]</f>
        <v>0</v>
      </c>
      <c r="H18" s="181" t="s">
        <v>572</v>
      </c>
    </row>
    <row r="19" spans="1:8">
      <c r="A19" s="89" t="s">
        <v>575</v>
      </c>
      <c r="B19" s="89">
        <v>3</v>
      </c>
      <c r="D19" s="92"/>
      <c r="E19" s="273"/>
      <c r="F19" s="273"/>
      <c r="G19" s="273">
        <f>Table16[[#This Row],[Unit Price]]*Table16[[#This Row],[Pack Order Quantity]]</f>
        <v>0</v>
      </c>
      <c r="H19" s="181" t="s">
        <v>572</v>
      </c>
    </row>
    <row r="20" spans="1:8">
      <c r="A20" s="181" t="s">
        <v>576</v>
      </c>
      <c r="B20" s="89">
        <v>3</v>
      </c>
      <c r="D20" s="92"/>
      <c r="E20" s="273"/>
      <c r="F20" s="273"/>
      <c r="G20" s="273">
        <f>Table16[[#This Row],[Unit Price]]*Table16[[#This Row],[Pack Order Quantity]]</f>
        <v>0</v>
      </c>
      <c r="H20" s="181" t="s">
        <v>577</v>
      </c>
    </row>
    <row r="21" spans="1:8">
      <c r="A21" s="89" t="s">
        <v>578</v>
      </c>
      <c r="B21" s="89">
        <v>3</v>
      </c>
      <c r="D21" s="92"/>
      <c r="E21" s="273"/>
      <c r="F21" s="273"/>
      <c r="G21" s="273">
        <f>Table16[[#This Row],[Unit Price]]*Table16[[#This Row],[Pack Order Quantity]]</f>
        <v>0</v>
      </c>
      <c r="H21" s="181" t="s">
        <v>572</v>
      </c>
    </row>
    <row r="22" spans="1:8">
      <c r="A22" s="89" t="s">
        <v>469</v>
      </c>
      <c r="B22" s="89">
        <v>3</v>
      </c>
      <c r="D22" s="92"/>
      <c r="E22" s="273"/>
      <c r="F22" s="273"/>
      <c r="G22" s="273">
        <f>Table16[[#This Row],[Unit Price]]*Table16[[#This Row],[Pack Order Quantity]]</f>
        <v>0</v>
      </c>
      <c r="H22" s="181" t="s">
        <v>572</v>
      </c>
    </row>
    <row r="23" spans="1:8">
      <c r="A23" s="89" t="s">
        <v>450</v>
      </c>
      <c r="B23" s="89">
        <v>24</v>
      </c>
      <c r="D23" s="92"/>
      <c r="E23" s="273"/>
      <c r="F23" s="273"/>
      <c r="G23" s="273">
        <f>Table16[[#This Row],[Unit Price]]*Table16[[#This Row],[Pack Order Quantity]]</f>
        <v>0</v>
      </c>
      <c r="H23" s="181" t="s">
        <v>572</v>
      </c>
    </row>
    <row r="24" spans="1:8">
      <c r="A24" s="89" t="s">
        <v>429</v>
      </c>
      <c r="B24" s="89">
        <v>6</v>
      </c>
      <c r="D24" s="92"/>
      <c r="E24" s="273"/>
      <c r="F24" s="273"/>
      <c r="G24" s="273">
        <f>Table16[[#This Row],[Unit Price]]*Table16[[#This Row],[Pack Order Quantity]]</f>
        <v>0</v>
      </c>
      <c r="H24" s="181" t="s">
        <v>572</v>
      </c>
    </row>
    <row r="25" spans="1:8">
      <c r="A25" s="89" t="s">
        <v>384</v>
      </c>
      <c r="B25" s="89">
        <v>21</v>
      </c>
      <c r="D25" s="92"/>
      <c r="E25" s="273"/>
      <c r="F25" s="273"/>
      <c r="G25" s="273">
        <f>Table16[[#This Row],[Unit Price]]*Table16[[#This Row],[Pack Order Quantity]]</f>
        <v>0</v>
      </c>
      <c r="H25" s="181" t="s">
        <v>572</v>
      </c>
    </row>
    <row r="26" spans="1:8">
      <c r="A26" s="89" t="s">
        <v>386</v>
      </c>
      <c r="B26" s="89">
        <v>3</v>
      </c>
      <c r="D26" s="92"/>
      <c r="E26" s="273"/>
      <c r="F26" s="273"/>
      <c r="G26" s="273">
        <f>Table16[[#This Row],[Unit Price]]*Table16[[#This Row],[Pack Order Quantity]]</f>
        <v>0</v>
      </c>
      <c r="H26" s="181" t="s">
        <v>572</v>
      </c>
    </row>
    <row r="27" spans="1:8">
      <c r="A27" s="89" t="s">
        <v>579</v>
      </c>
      <c r="B27" s="89">
        <v>3</v>
      </c>
      <c r="D27" s="92"/>
      <c r="E27" s="273"/>
      <c r="F27" s="273"/>
      <c r="G27" s="273">
        <f>Table16[[#This Row],[Unit Price]]*Table16[[#This Row],[Pack Order Quantity]]</f>
        <v>0</v>
      </c>
      <c r="H27" s="181" t="s">
        <v>572</v>
      </c>
    </row>
    <row r="28" spans="1:8">
      <c r="A28" s="89" t="s">
        <v>411</v>
      </c>
      <c r="B28" s="89">
        <v>12</v>
      </c>
      <c r="D28" s="92"/>
      <c r="E28" s="273"/>
      <c r="F28" s="273"/>
      <c r="G28" s="273">
        <f>Table16[[#This Row],[Unit Price]]*Table16[[#This Row],[Pack Order Quantity]]</f>
        <v>0</v>
      </c>
      <c r="H28" s="181" t="s">
        <v>572</v>
      </c>
    </row>
    <row r="29" spans="1:8">
      <c r="A29" s="181" t="s">
        <v>580</v>
      </c>
      <c r="B29" s="89">
        <v>3</v>
      </c>
      <c r="D29" s="8" t="s">
        <v>581</v>
      </c>
      <c r="E29" s="273"/>
      <c r="F29" s="273"/>
      <c r="G29" s="273">
        <f>Table16[[#This Row],[Unit Price]]*Table16[[#This Row],[Pack Order Quantity]]</f>
        <v>0</v>
      </c>
      <c r="H29" s="181" t="s">
        <v>582</v>
      </c>
    </row>
    <row r="30" spans="1:8">
      <c r="A30" s="89" t="s">
        <v>583</v>
      </c>
      <c r="B30" s="89">
        <v>3</v>
      </c>
      <c r="C30" s="89">
        <v>1</v>
      </c>
      <c r="D30" s="8" t="s">
        <v>584</v>
      </c>
      <c r="E30" s="273">
        <v>25</v>
      </c>
      <c r="F30" s="273"/>
      <c r="G30" s="273">
        <f>Table16[[#This Row],[Unit Price]]*Table16[[#This Row],[Pack Order Quantity]]</f>
        <v>25</v>
      </c>
      <c r="H30" s="181" t="s">
        <v>585</v>
      </c>
    </row>
    <row r="31" spans="1:8">
      <c r="A31" s="89" t="s">
        <v>586</v>
      </c>
      <c r="B31" s="89">
        <v>1</v>
      </c>
      <c r="D31" s="91"/>
      <c r="E31" s="273"/>
      <c r="F31" s="273"/>
      <c r="G31" s="273">
        <f>Table16[[#This Row],[Unit Price]]*Table16[[#This Row],[Pack Order Quantity]]</f>
        <v>0</v>
      </c>
      <c r="H31" s="181" t="s">
        <v>587</v>
      </c>
    </row>
    <row r="32" spans="1:8">
      <c r="A32" s="89" t="s">
        <v>588</v>
      </c>
      <c r="B32" s="89">
        <v>1</v>
      </c>
      <c r="D32" s="91"/>
      <c r="E32" s="273"/>
      <c r="F32" s="273"/>
      <c r="G32" s="273">
        <f>Table16[[#This Row],[Unit Price]]*Table16[[#This Row],[Pack Order Quantity]]</f>
        <v>0</v>
      </c>
      <c r="H32" s="181" t="s">
        <v>587</v>
      </c>
    </row>
    <row r="33" spans="1:8">
      <c r="A33" s="89" t="s">
        <v>589</v>
      </c>
      <c r="B33" s="89">
        <v>1</v>
      </c>
      <c r="D33" s="91"/>
      <c r="E33" s="273"/>
      <c r="F33" s="273"/>
      <c r="G33" s="273">
        <f>Table16[[#This Row],[Unit Price]]*Table16[[#This Row],[Pack Order Quantity]]</f>
        <v>0</v>
      </c>
      <c r="H33" s="181" t="s">
        <v>587</v>
      </c>
    </row>
    <row r="34" spans="1:8">
      <c r="A34" s="89" t="s">
        <v>590</v>
      </c>
      <c r="B34" s="89">
        <v>2</v>
      </c>
      <c r="D34" s="91"/>
      <c r="E34" s="273"/>
      <c r="F34" s="273"/>
      <c r="G34" s="273">
        <f>Table16[[#This Row],[Unit Price]]*Table16[[#This Row],[Pack Order Quantity]]</f>
        <v>0</v>
      </c>
      <c r="H34" s="181" t="s">
        <v>587</v>
      </c>
    </row>
    <row r="35" spans="1:8">
      <c r="A35" s="89" t="s">
        <v>591</v>
      </c>
      <c r="B35" s="89">
        <v>1</v>
      </c>
      <c r="D35" s="91"/>
      <c r="E35" s="273"/>
      <c r="F35" s="273"/>
      <c r="G35" s="273">
        <f>Table16[[#This Row],[Unit Price]]*Table16[[#This Row],[Pack Order Quantity]]</f>
        <v>0</v>
      </c>
      <c r="H35" s="181" t="s">
        <v>587</v>
      </c>
    </row>
    <row r="36" spans="1:8">
      <c r="A36" s="89" t="s">
        <v>592</v>
      </c>
      <c r="B36" s="89">
        <v>1</v>
      </c>
      <c r="D36" s="91"/>
      <c r="E36" s="273"/>
      <c r="F36" s="273"/>
      <c r="G36" s="273">
        <f>Table16[[#This Row],[Unit Price]]*Table16[[#This Row],[Pack Order Quantity]]</f>
        <v>0</v>
      </c>
      <c r="H36" s="181" t="s">
        <v>587</v>
      </c>
    </row>
    <row r="37" spans="1:8">
      <c r="A37" s="89" t="s">
        <v>593</v>
      </c>
      <c r="B37" s="89">
        <v>1</v>
      </c>
      <c r="D37" s="91"/>
      <c r="E37" s="273"/>
      <c r="F37" s="273"/>
      <c r="G37" s="273">
        <f>Table16[[#This Row],[Unit Price]]*Table16[[#This Row],[Pack Order Quantity]]</f>
        <v>0</v>
      </c>
      <c r="H37" s="181" t="s">
        <v>587</v>
      </c>
    </row>
    <row r="38" spans="1:8">
      <c r="A38" s="89" t="s">
        <v>594</v>
      </c>
      <c r="B38" s="89">
        <v>1</v>
      </c>
      <c r="D38" s="91"/>
      <c r="E38" s="273"/>
      <c r="F38" s="273"/>
      <c r="G38" s="273">
        <f>Table16[[#This Row],[Unit Price]]*Table16[[#This Row],[Pack Order Quantity]]</f>
        <v>0</v>
      </c>
      <c r="H38" s="181" t="s">
        <v>587</v>
      </c>
    </row>
    <row r="39" spans="1:8">
      <c r="A39" s="89" t="s">
        <v>595</v>
      </c>
      <c r="B39" s="89">
        <v>1</v>
      </c>
      <c r="D39" s="91"/>
      <c r="E39" s="273"/>
      <c r="F39" s="273"/>
      <c r="G39" s="273">
        <f>Table16[[#This Row],[Unit Price]]*Table16[[#This Row],[Pack Order Quantity]]</f>
        <v>0</v>
      </c>
      <c r="H39" s="181" t="s">
        <v>587</v>
      </c>
    </row>
    <row r="40" spans="1:8">
      <c r="A40" s="181" t="s">
        <v>596</v>
      </c>
      <c r="B40" s="89">
        <v>1</v>
      </c>
      <c r="D40" s="91"/>
      <c r="E40" s="281"/>
      <c r="F40" s="281"/>
      <c r="G40" s="281">
        <f>Table16[[#This Row],[Unit Price]]*Table16[[#This Row],[Pack Order Quantity]]</f>
        <v>0</v>
      </c>
      <c r="H40" s="181" t="s">
        <v>587</v>
      </c>
    </row>
    <row r="41" spans="1:8">
      <c r="A41" s="181" t="s">
        <v>597</v>
      </c>
      <c r="B41" s="89">
        <v>1</v>
      </c>
      <c r="D41" s="91"/>
      <c r="E41" s="281"/>
      <c r="F41" s="281"/>
      <c r="G41" s="281">
        <f>Table16[[#This Row],[Unit Price]]*Table16[[#This Row],[Pack Order Quantity]]</f>
        <v>0</v>
      </c>
      <c r="H41" s="181" t="s">
        <v>587</v>
      </c>
    </row>
    <row r="42" spans="1:8">
      <c r="A42" s="181" t="s">
        <v>598</v>
      </c>
      <c r="B42" s="89">
        <v>3</v>
      </c>
      <c r="D42" s="91"/>
      <c r="E42" s="281"/>
      <c r="F42" s="281"/>
      <c r="G42" s="281">
        <f>Table16[[#This Row],[Unit Price]]*Table16[[#This Row],[Pack Order Quantity]]</f>
        <v>0</v>
      </c>
      <c r="H42" s="181" t="s">
        <v>587</v>
      </c>
    </row>
    <row r="43" spans="1:8">
      <c r="A43" s="89" t="s">
        <v>599</v>
      </c>
      <c r="B43" s="89">
        <v>1</v>
      </c>
      <c r="D43" s="91"/>
      <c r="E43" s="281"/>
      <c r="F43" s="281"/>
      <c r="G43" s="281">
        <f>Table16[[#This Row],[Unit Price]]*Table16[[#This Row],[Pack Order Quantity]]</f>
        <v>0</v>
      </c>
      <c r="H43" s="181" t="s">
        <v>587</v>
      </c>
    </row>
    <row r="44" spans="1:8">
      <c r="A44" s="89" t="s">
        <v>600</v>
      </c>
      <c r="B44" s="89">
        <v>1</v>
      </c>
      <c r="D44" s="91"/>
      <c r="E44" s="281"/>
      <c r="F44" s="281"/>
      <c r="G44" s="281">
        <f>Table16[[#This Row],[Unit Price]]*Table16[[#This Row],[Pack Order Quantity]]</f>
        <v>0</v>
      </c>
      <c r="H44" s="181" t="s">
        <v>587</v>
      </c>
    </row>
    <row r="45" spans="1:8">
      <c r="A45" s="89" t="s">
        <v>601</v>
      </c>
      <c r="B45" s="89">
        <v>1</v>
      </c>
      <c r="D45" s="91"/>
      <c r="E45" s="281"/>
      <c r="F45" s="281"/>
      <c r="G45" s="281">
        <f>Table16[[#This Row],[Unit Price]]*Table16[[#This Row],[Pack Order Quantity]]</f>
        <v>0</v>
      </c>
      <c r="H45" s="181" t="s">
        <v>587</v>
      </c>
    </row>
  </sheetData>
  <phoneticPr fontId="38" type="noConversion"/>
  <hyperlinks>
    <hyperlink ref="D29" r:id="rId1" display="Color: L400 - MGN12H" xr:uid="{B3B4D29D-3F44-44D4-9FED-0719E060A770}"/>
    <hyperlink ref="D30" r:id="rId2" xr:uid="{DF4E0368-FC6F-4BE9-9598-19D65BBC8E18}"/>
  </hyperlinks>
  <pageMargins left="0.7" right="0.7" top="0.75" bottom="0.75" header="0.3" footer="0.3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3066F-ED11-4DDB-B6AD-06C4053EEE67}">
  <sheetPr>
    <tabColor rgb="FF00B050"/>
  </sheetPr>
  <dimension ref="A1:E70"/>
  <sheetViews>
    <sheetView workbookViewId="0">
      <selection activeCell="G28" sqref="G28"/>
    </sheetView>
  </sheetViews>
  <sheetFormatPr defaultRowHeight="15"/>
  <cols>
    <col min="1" max="1" width="41.85546875" style="71" customWidth="1"/>
    <col min="2" max="2" width="13.28515625" style="72" customWidth="1"/>
    <col min="3" max="3" width="30.85546875" style="71" customWidth="1"/>
    <col min="4" max="4" width="40" style="100" bestFit="1" customWidth="1"/>
    <col min="5" max="5" width="8.42578125" style="71" bestFit="1" customWidth="1"/>
    <col min="6" max="16378" width="9.140625" style="71"/>
    <col min="16379" max="16379" width="9.140625" style="71" bestFit="1" customWidth="1"/>
    <col min="16380" max="16384" width="9.140625" style="71"/>
  </cols>
  <sheetData>
    <row r="1" spans="1:5">
      <c r="A1" t="s">
        <v>66</v>
      </c>
      <c r="B1" s="15" t="s">
        <v>489</v>
      </c>
      <c r="C1" t="s">
        <v>2</v>
      </c>
      <c r="D1" s="100" t="s">
        <v>68</v>
      </c>
      <c r="E1"/>
    </row>
    <row r="2" spans="1:5">
      <c r="A2" t="s">
        <v>602</v>
      </c>
      <c r="B2" s="15">
        <v>1</v>
      </c>
      <c r="C2" t="s">
        <v>603</v>
      </c>
      <c r="D2" s="173" t="s">
        <v>604</v>
      </c>
      <c r="E2"/>
    </row>
    <row r="3" spans="1:5">
      <c r="A3" t="s">
        <v>605</v>
      </c>
      <c r="B3" s="15">
        <v>4</v>
      </c>
      <c r="C3" t="s">
        <v>606</v>
      </c>
      <c r="D3" s="173" t="s">
        <v>607</v>
      </c>
      <c r="E3"/>
    </row>
    <row r="4" spans="1:5">
      <c r="A4" t="s">
        <v>608</v>
      </c>
      <c r="B4" s="15">
        <v>12</v>
      </c>
      <c r="C4"/>
      <c r="D4" s="101"/>
      <c r="E4"/>
    </row>
    <row r="5" spans="1:5">
      <c r="A5" t="s">
        <v>609</v>
      </c>
      <c r="B5" s="15">
        <v>2</v>
      </c>
      <c r="C5"/>
      <c r="D5" s="101"/>
      <c r="E5"/>
    </row>
    <row r="6" spans="1:5">
      <c r="A6" t="s">
        <v>219</v>
      </c>
      <c r="B6" s="15">
        <v>1</v>
      </c>
      <c r="C6"/>
      <c r="D6" s="101" t="s">
        <v>220</v>
      </c>
      <c r="E6"/>
    </row>
    <row r="7" spans="1:5">
      <c r="A7" t="s">
        <v>222</v>
      </c>
      <c r="B7" s="15">
        <v>1</v>
      </c>
      <c r="C7"/>
      <c r="D7" s="101" t="s">
        <v>220</v>
      </c>
      <c r="E7"/>
    </row>
    <row r="8" spans="1:5">
      <c r="A8" t="s">
        <v>263</v>
      </c>
      <c r="B8" s="15">
        <v>33</v>
      </c>
      <c r="C8"/>
      <c r="D8" s="101"/>
      <c r="E8"/>
    </row>
    <row r="9" spans="1:5">
      <c r="A9" t="s">
        <v>610</v>
      </c>
      <c r="B9" s="15">
        <v>19</v>
      </c>
      <c r="C9"/>
      <c r="D9" s="101"/>
      <c r="E9"/>
    </row>
    <row r="10" spans="1:5">
      <c r="A10" t="s">
        <v>611</v>
      </c>
      <c r="B10" s="15">
        <v>19</v>
      </c>
      <c r="C10"/>
      <c r="D10" s="101"/>
      <c r="E10"/>
    </row>
    <row r="11" spans="1:5">
      <c r="A11" t="s">
        <v>612</v>
      </c>
      <c r="B11" s="15">
        <v>6</v>
      </c>
      <c r="C11" t="s">
        <v>613</v>
      </c>
      <c r="D11" s="101"/>
      <c r="E11"/>
    </row>
    <row r="12" spans="1:5">
      <c r="A12" t="s">
        <v>614</v>
      </c>
      <c r="B12" s="15">
        <v>8</v>
      </c>
      <c r="C12"/>
      <c r="D12" s="101"/>
      <c r="E12"/>
    </row>
    <row r="13" spans="1:5">
      <c r="A13" t="s">
        <v>367</v>
      </c>
      <c r="B13" s="15">
        <v>6</v>
      </c>
      <c r="C13" t="s">
        <v>613</v>
      </c>
      <c r="D13" s="101"/>
      <c r="E13"/>
    </row>
    <row r="14" spans="1:5">
      <c r="A14" t="s">
        <v>575</v>
      </c>
      <c r="B14" s="15">
        <v>14</v>
      </c>
      <c r="C14"/>
      <c r="D14" s="101"/>
      <c r="E14"/>
    </row>
    <row r="15" spans="1:5">
      <c r="A15" t="s">
        <v>615</v>
      </c>
      <c r="B15" s="15">
        <v>4</v>
      </c>
      <c r="C15"/>
      <c r="D15" s="101"/>
      <c r="E15"/>
    </row>
    <row r="16" spans="1:5">
      <c r="A16" t="s">
        <v>616</v>
      </c>
      <c r="B16" s="15">
        <v>6</v>
      </c>
      <c r="C16"/>
      <c r="D16" s="101"/>
      <c r="E16"/>
    </row>
    <row r="17" spans="1:5">
      <c r="A17" t="s">
        <v>617</v>
      </c>
      <c r="B17" s="15">
        <v>4</v>
      </c>
      <c r="C17"/>
      <c r="D17" s="101"/>
      <c r="E17"/>
    </row>
    <row r="18" spans="1:5">
      <c r="A18" t="s">
        <v>618</v>
      </c>
      <c r="B18" s="15">
        <v>4</v>
      </c>
      <c r="C18"/>
      <c r="D18" s="101"/>
      <c r="E18"/>
    </row>
    <row r="19" spans="1:5">
      <c r="A19" t="s">
        <v>619</v>
      </c>
      <c r="B19" s="15">
        <v>4</v>
      </c>
      <c r="C19"/>
      <c r="D19" s="101"/>
      <c r="E19"/>
    </row>
    <row r="20" spans="1:5">
      <c r="A20" t="s">
        <v>470</v>
      </c>
      <c r="B20" s="15">
        <v>16</v>
      </c>
      <c r="C20"/>
      <c r="D20" s="101"/>
      <c r="E20"/>
    </row>
    <row r="21" spans="1:5">
      <c r="A21" t="s">
        <v>450</v>
      </c>
      <c r="B21" s="15">
        <v>56</v>
      </c>
      <c r="C21"/>
      <c r="D21" s="101"/>
      <c r="E21"/>
    </row>
    <row r="22" spans="1:5">
      <c r="A22" t="s">
        <v>429</v>
      </c>
      <c r="B22" s="15">
        <v>76</v>
      </c>
      <c r="C22"/>
      <c r="D22" s="101"/>
      <c r="E22"/>
    </row>
    <row r="23" spans="1:5">
      <c r="A23" t="s">
        <v>384</v>
      </c>
      <c r="B23" s="15">
        <v>16</v>
      </c>
      <c r="C23"/>
      <c r="D23" s="101"/>
      <c r="E23"/>
    </row>
    <row r="24" spans="1:5">
      <c r="A24" t="s">
        <v>620</v>
      </c>
      <c r="B24" s="15">
        <v>44</v>
      </c>
      <c r="C24" t="s">
        <v>613</v>
      </c>
      <c r="D24" s="101"/>
      <c r="E24"/>
    </row>
    <row r="25" spans="1:5">
      <c r="A25" t="s">
        <v>621</v>
      </c>
      <c r="B25" s="15">
        <v>16</v>
      </c>
      <c r="C25"/>
      <c r="D25" s="101"/>
      <c r="E25"/>
    </row>
    <row r="26" spans="1:5">
      <c r="A26" t="s">
        <v>411</v>
      </c>
      <c r="B26" s="15">
        <v>12</v>
      </c>
      <c r="C26"/>
      <c r="D26" s="101"/>
      <c r="E26"/>
    </row>
    <row r="27" spans="1:5">
      <c r="A27" t="s">
        <v>622</v>
      </c>
      <c r="B27" s="15">
        <v>2</v>
      </c>
      <c r="C27"/>
      <c r="D27" s="101"/>
      <c r="E27"/>
    </row>
    <row r="28" spans="1:5">
      <c r="A28" t="s">
        <v>247</v>
      </c>
      <c r="B28" s="15">
        <v>6</v>
      </c>
      <c r="C28"/>
      <c r="D28" s="101"/>
      <c r="E28"/>
    </row>
    <row r="29" spans="1:5">
      <c r="A29" t="s">
        <v>252</v>
      </c>
      <c r="B29" s="15">
        <v>6</v>
      </c>
      <c r="C29"/>
      <c r="D29" s="101"/>
      <c r="E29"/>
    </row>
    <row r="30" spans="1:5">
      <c r="A30" t="s">
        <v>623</v>
      </c>
      <c r="B30" s="15">
        <v>1</v>
      </c>
      <c r="C30" t="s">
        <v>624</v>
      </c>
      <c r="D30" s="102"/>
      <c r="E30"/>
    </row>
    <row r="31" spans="1:5">
      <c r="A31" t="s">
        <v>625</v>
      </c>
      <c r="B31" s="15">
        <v>1</v>
      </c>
      <c r="C31" t="s">
        <v>626</v>
      </c>
      <c r="D31" s="174"/>
      <c r="E31"/>
    </row>
    <row r="32" spans="1:5">
      <c r="A32" t="s">
        <v>627</v>
      </c>
      <c r="B32" s="325">
        <v>2</v>
      </c>
      <c r="C32" s="326" t="s">
        <v>624</v>
      </c>
      <c r="D32" s="327"/>
      <c r="E32"/>
    </row>
    <row r="33" spans="1:5">
      <c r="A33" t="s">
        <v>628</v>
      </c>
      <c r="B33" s="325">
        <v>1</v>
      </c>
      <c r="C33" s="326" t="s">
        <v>624</v>
      </c>
      <c r="D33" s="327"/>
      <c r="E33"/>
    </row>
    <row r="34" spans="1:5">
      <c r="A34" t="s">
        <v>629</v>
      </c>
      <c r="B34" s="325">
        <v>1</v>
      </c>
      <c r="C34" s="326" t="s">
        <v>624</v>
      </c>
      <c r="D34" s="327"/>
      <c r="E34"/>
    </row>
    <row r="35" spans="1:5">
      <c r="A35" t="s">
        <v>630</v>
      </c>
      <c r="B35" s="15">
        <v>4</v>
      </c>
      <c r="C35" t="s">
        <v>624</v>
      </c>
      <c r="D35" s="102"/>
      <c r="E35"/>
    </row>
    <row r="36" spans="1:5">
      <c r="A36" t="s">
        <v>631</v>
      </c>
      <c r="B36" s="15">
        <v>1</v>
      </c>
      <c r="C36" t="s">
        <v>624</v>
      </c>
      <c r="D36" s="102"/>
      <c r="E36"/>
    </row>
    <row r="37" spans="1:5">
      <c r="A37" t="s">
        <v>632</v>
      </c>
      <c r="B37" s="15">
        <v>1</v>
      </c>
      <c r="C37" t="s">
        <v>624</v>
      </c>
      <c r="D37" s="102"/>
      <c r="E37"/>
    </row>
    <row r="38" spans="1:5">
      <c r="A38" t="s">
        <v>633</v>
      </c>
      <c r="B38" s="15">
        <v>1</v>
      </c>
      <c r="C38" t="s">
        <v>624</v>
      </c>
      <c r="D38" s="102"/>
      <c r="E38"/>
    </row>
    <row r="39" spans="1:5">
      <c r="A39" t="s">
        <v>634</v>
      </c>
      <c r="B39" s="15">
        <v>1</v>
      </c>
      <c r="C39" t="s">
        <v>624</v>
      </c>
      <c r="D39" s="102"/>
      <c r="E39"/>
    </row>
    <row r="40" spans="1:5">
      <c r="A40" t="s">
        <v>635</v>
      </c>
      <c r="B40" s="15">
        <v>1</v>
      </c>
      <c r="C40" t="s">
        <v>624</v>
      </c>
      <c r="D40" s="102"/>
      <c r="E40"/>
    </row>
    <row r="41" spans="1:5">
      <c r="A41" t="s">
        <v>636</v>
      </c>
      <c r="B41" s="15">
        <v>1</v>
      </c>
      <c r="C41" t="s">
        <v>624</v>
      </c>
      <c r="D41" s="102"/>
      <c r="E41"/>
    </row>
    <row r="42" spans="1:5">
      <c r="A42" t="s">
        <v>637</v>
      </c>
      <c r="B42" s="325">
        <v>1</v>
      </c>
      <c r="C42" s="326" t="s">
        <v>624</v>
      </c>
      <c r="D42" s="327"/>
      <c r="E42"/>
    </row>
    <row r="43" spans="1:5">
      <c r="A43" t="s">
        <v>638</v>
      </c>
      <c r="B43" s="325">
        <v>1</v>
      </c>
      <c r="C43" s="326" t="s">
        <v>624</v>
      </c>
      <c r="D43" s="327"/>
      <c r="E43"/>
    </row>
    <row r="44" spans="1:5">
      <c r="A44" t="s">
        <v>639</v>
      </c>
      <c r="B44" s="15">
        <v>2</v>
      </c>
      <c r="C44" t="s">
        <v>624</v>
      </c>
      <c r="D44" s="102"/>
      <c r="E44"/>
    </row>
    <row r="45" spans="1:5">
      <c r="A45" t="s">
        <v>640</v>
      </c>
      <c r="B45" s="15">
        <v>1</v>
      </c>
      <c r="C45" t="s">
        <v>624</v>
      </c>
      <c r="D45" s="102"/>
      <c r="E45"/>
    </row>
    <row r="46" spans="1:5">
      <c r="A46" t="s">
        <v>641</v>
      </c>
      <c r="B46" s="15">
        <v>1</v>
      </c>
      <c r="C46" t="s">
        <v>624</v>
      </c>
      <c r="D46" s="102"/>
      <c r="E46"/>
    </row>
    <row r="47" spans="1:5">
      <c r="A47" t="s">
        <v>642</v>
      </c>
      <c r="B47" s="15">
        <v>1</v>
      </c>
      <c r="C47" t="s">
        <v>624</v>
      </c>
      <c r="D47" s="102"/>
      <c r="E47"/>
    </row>
    <row r="48" spans="1:5">
      <c r="A48" t="s">
        <v>643</v>
      </c>
      <c r="B48" s="15">
        <v>1</v>
      </c>
      <c r="C48" t="s">
        <v>624</v>
      </c>
      <c r="D48" s="102"/>
      <c r="E48"/>
    </row>
    <row r="49" spans="1:5">
      <c r="A49" t="s">
        <v>644</v>
      </c>
      <c r="B49" s="15">
        <v>1</v>
      </c>
      <c r="C49" t="s">
        <v>624</v>
      </c>
      <c r="D49" s="102"/>
      <c r="E49"/>
    </row>
    <row r="50" spans="1:5">
      <c r="A50" t="s">
        <v>645</v>
      </c>
      <c r="B50" s="15">
        <v>1</v>
      </c>
      <c r="C50" t="s">
        <v>624</v>
      </c>
      <c r="D50" s="102"/>
      <c r="E50"/>
    </row>
    <row r="51" spans="1:5">
      <c r="A51" t="s">
        <v>646</v>
      </c>
      <c r="B51" s="15">
        <v>1</v>
      </c>
      <c r="C51" t="s">
        <v>647</v>
      </c>
      <c r="D51" s="102"/>
      <c r="E51"/>
    </row>
    <row r="52" spans="1:5">
      <c r="A52" t="s">
        <v>648</v>
      </c>
      <c r="B52" s="15">
        <v>1</v>
      </c>
      <c r="C52" t="s">
        <v>647</v>
      </c>
      <c r="D52" s="102"/>
      <c r="E52"/>
    </row>
    <row r="53" spans="1:5">
      <c r="A53" t="s">
        <v>649</v>
      </c>
      <c r="B53" s="15">
        <v>1</v>
      </c>
      <c r="C53" t="s">
        <v>647</v>
      </c>
      <c r="D53" s="102"/>
      <c r="E53"/>
    </row>
    <row r="54" spans="1:5">
      <c r="A54" t="s">
        <v>650</v>
      </c>
      <c r="B54" s="15">
        <v>1</v>
      </c>
      <c r="C54" t="s">
        <v>647</v>
      </c>
      <c r="D54" s="102"/>
      <c r="E54"/>
    </row>
    <row r="55" spans="1:5">
      <c r="A55" t="s">
        <v>651</v>
      </c>
      <c r="B55" s="15">
        <v>1</v>
      </c>
      <c r="C55" t="s">
        <v>647</v>
      </c>
      <c r="D55" s="102"/>
      <c r="E55"/>
    </row>
    <row r="56" spans="1:5">
      <c r="A56" t="s">
        <v>652</v>
      </c>
      <c r="B56" s="15">
        <v>1</v>
      </c>
      <c r="C56" t="s">
        <v>647</v>
      </c>
      <c r="D56" s="102"/>
      <c r="E56"/>
    </row>
    <row r="57" spans="1:5">
      <c r="A57" t="s">
        <v>653</v>
      </c>
      <c r="B57" s="15">
        <v>1</v>
      </c>
      <c r="C57" t="s">
        <v>654</v>
      </c>
      <c r="D57" s="102"/>
    </row>
    <row r="58" spans="1:5">
      <c r="A58" t="s">
        <v>655</v>
      </c>
      <c r="B58" s="15">
        <v>2</v>
      </c>
      <c r="C58" t="s">
        <v>654</v>
      </c>
      <c r="D58" s="102"/>
    </row>
    <row r="59" spans="1:5">
      <c r="A59" t="s">
        <v>656</v>
      </c>
      <c r="B59" s="15">
        <v>1</v>
      </c>
      <c r="C59" t="s">
        <v>654</v>
      </c>
      <c r="D59" s="102"/>
    </row>
    <row r="60" spans="1:5">
      <c r="A60" t="s">
        <v>657</v>
      </c>
      <c r="B60" s="15">
        <v>1</v>
      </c>
      <c r="C60" t="s">
        <v>654</v>
      </c>
      <c r="D60" s="102"/>
    </row>
    <row r="61" spans="1:5">
      <c r="A61" t="s">
        <v>658</v>
      </c>
      <c r="B61" s="15">
        <v>1</v>
      </c>
      <c r="C61" t="s">
        <v>654</v>
      </c>
      <c r="D61" s="102"/>
    </row>
    <row r="62" spans="1:5">
      <c r="A62" t="s">
        <v>659</v>
      </c>
      <c r="B62" s="15">
        <v>1</v>
      </c>
      <c r="C62" t="s">
        <v>654</v>
      </c>
      <c r="D62" s="102"/>
    </row>
    <row r="63" spans="1:5">
      <c r="A63" t="s">
        <v>660</v>
      </c>
      <c r="B63" s="15">
        <v>1</v>
      </c>
      <c r="C63" t="s">
        <v>654</v>
      </c>
      <c r="D63" s="102"/>
    </row>
    <row r="64" spans="1:5">
      <c r="A64" t="s">
        <v>661</v>
      </c>
      <c r="B64" s="15">
        <v>1</v>
      </c>
      <c r="C64" t="s">
        <v>654</v>
      </c>
      <c r="D64" s="102"/>
    </row>
    <row r="65" spans="1:4">
      <c r="A65" t="s">
        <v>662</v>
      </c>
      <c r="B65" s="15">
        <v>1</v>
      </c>
      <c r="C65" t="s">
        <v>654</v>
      </c>
      <c r="D65" s="102"/>
    </row>
    <row r="66" spans="1:4">
      <c r="A66" t="s">
        <v>663</v>
      </c>
      <c r="B66" s="15">
        <v>6</v>
      </c>
      <c r="C66" t="s">
        <v>624</v>
      </c>
      <c r="D66" s="102"/>
    </row>
    <row r="67" spans="1:4">
      <c r="A67" t="s">
        <v>664</v>
      </c>
      <c r="B67" s="15">
        <v>1</v>
      </c>
      <c r="C67" t="s">
        <v>654</v>
      </c>
      <c r="D67" s="102"/>
    </row>
    <row r="68" spans="1:4">
      <c r="A68" t="s">
        <v>284</v>
      </c>
      <c r="B68" s="15">
        <v>2</v>
      </c>
      <c r="C68" t="s">
        <v>665</v>
      </c>
      <c r="D68" s="101"/>
    </row>
    <row r="69" spans="1:4">
      <c r="A69" t="s">
        <v>666</v>
      </c>
      <c r="B69" s="15">
        <v>2</v>
      </c>
      <c r="C69" t="s">
        <v>624</v>
      </c>
      <c r="D69" s="102"/>
    </row>
    <row r="70" spans="1:4">
      <c r="A70" t="s">
        <v>667</v>
      </c>
      <c r="B70" s="15">
        <v>1</v>
      </c>
      <c r="C70" t="s">
        <v>624</v>
      </c>
      <c r="D70" s="102"/>
    </row>
  </sheetData>
  <hyperlinks>
    <hyperlink ref="D2" r:id="rId1" xr:uid="{BB18CFC0-A10E-48C7-AC09-D2C9AC5DA7B2}"/>
    <hyperlink ref="D3" r:id="rId2" xr:uid="{82A5F5A5-938E-4AA7-A69F-4B7059939C48}"/>
  </hyperlinks>
  <pageMargins left="0.7" right="0.7" top="0.75" bottom="0.75" header="0.3" footer="0.3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4C8B1-0EAA-41B1-91D2-5649DEA17318}">
  <sheetPr>
    <tabColor rgb="FF00B050"/>
  </sheetPr>
  <dimension ref="A1:O63"/>
  <sheetViews>
    <sheetView workbookViewId="0">
      <selection activeCell="K45" sqref="K45"/>
    </sheetView>
  </sheetViews>
  <sheetFormatPr defaultRowHeight="15"/>
  <cols>
    <col min="1" max="1" width="34.7109375" style="73" bestFit="1" customWidth="1"/>
    <col min="2" max="2" width="10.85546875" style="73" customWidth="1"/>
    <col min="3" max="3" width="18.28515625" style="73" customWidth="1"/>
    <col min="4" max="4" width="9.140625" style="73" customWidth="1"/>
    <col min="5" max="5" width="55.7109375" style="73" hidden="1" customWidth="1"/>
    <col min="6" max="7" width="9.140625" style="73" hidden="1" customWidth="1"/>
    <col min="8" max="8" width="9.28515625" style="73" bestFit="1" customWidth="1"/>
    <col min="9" max="10" width="9.140625" style="73"/>
    <col min="11" max="11" width="27.42578125" style="73" bestFit="1" customWidth="1"/>
    <col min="12" max="12" width="9" style="73" customWidth="1"/>
    <col min="13" max="13" width="17.140625" style="73" bestFit="1" customWidth="1"/>
    <col min="14" max="14" width="14" style="73" bestFit="1" customWidth="1"/>
    <col min="15" max="16384" width="9.140625" style="73"/>
  </cols>
  <sheetData>
    <row r="1" spans="1:15">
      <c r="A1" s="73" t="s">
        <v>66</v>
      </c>
      <c r="B1" s="73" t="s">
        <v>489</v>
      </c>
      <c r="C1" s="73" t="s">
        <v>2</v>
      </c>
      <c r="D1" s="328" t="s">
        <v>68</v>
      </c>
      <c r="E1" s="328" t="s">
        <v>69</v>
      </c>
      <c r="F1" s="73" t="s">
        <v>111</v>
      </c>
      <c r="K1"/>
      <c r="L1"/>
      <c r="M1"/>
      <c r="N1"/>
      <c r="O1"/>
    </row>
    <row r="2" spans="1:15">
      <c r="A2" t="s">
        <v>668</v>
      </c>
      <c r="B2">
        <v>0</v>
      </c>
      <c r="D2" s="109"/>
      <c r="K2"/>
      <c r="L2"/>
      <c r="M2"/>
      <c r="N2"/>
      <c r="O2"/>
    </row>
    <row r="3" spans="1:15">
      <c r="A3" t="s">
        <v>669</v>
      </c>
      <c r="B3">
        <v>3</v>
      </c>
      <c r="D3" s="329"/>
      <c r="E3" s="328"/>
      <c r="K3"/>
      <c r="L3"/>
      <c r="M3"/>
      <c r="N3"/>
      <c r="O3"/>
    </row>
    <row r="4" spans="1:15">
      <c r="A4" t="s">
        <v>670</v>
      </c>
      <c r="B4">
        <v>3</v>
      </c>
      <c r="D4" s="329"/>
      <c r="E4" s="328"/>
      <c r="K4"/>
      <c r="L4"/>
      <c r="M4"/>
      <c r="N4"/>
      <c r="O4"/>
    </row>
    <row r="5" spans="1:15">
      <c r="A5" t="s">
        <v>671</v>
      </c>
      <c r="B5" s="73">
        <v>1</v>
      </c>
      <c r="D5" s="329"/>
      <c r="E5" s="328"/>
      <c r="K5"/>
      <c r="L5"/>
      <c r="M5"/>
      <c r="N5"/>
      <c r="O5"/>
    </row>
    <row r="6" spans="1:15">
      <c r="A6" t="s">
        <v>672</v>
      </c>
      <c r="B6">
        <v>1</v>
      </c>
      <c r="D6" s="108"/>
      <c r="K6"/>
      <c r="L6"/>
      <c r="M6"/>
    </row>
    <row r="7" spans="1:15">
      <c r="A7" t="s">
        <v>673</v>
      </c>
      <c r="B7">
        <v>1</v>
      </c>
      <c r="D7" s="108"/>
      <c r="K7"/>
      <c r="L7"/>
      <c r="M7"/>
    </row>
    <row r="8" spans="1:15">
      <c r="A8" t="s">
        <v>674</v>
      </c>
      <c r="B8" s="73">
        <v>1</v>
      </c>
      <c r="D8" s="330"/>
      <c r="E8" s="328"/>
      <c r="K8"/>
      <c r="L8"/>
      <c r="M8"/>
    </row>
    <row r="9" spans="1:15">
      <c r="A9" t="s">
        <v>675</v>
      </c>
      <c r="B9" s="73">
        <v>1</v>
      </c>
      <c r="D9" s="330"/>
      <c r="E9" s="328"/>
      <c r="K9"/>
      <c r="L9"/>
      <c r="M9"/>
    </row>
    <row r="10" spans="1:15">
      <c r="A10" t="s">
        <v>676</v>
      </c>
      <c r="B10" s="73">
        <v>1</v>
      </c>
      <c r="D10" s="108"/>
      <c r="K10"/>
      <c r="L10"/>
      <c r="M10"/>
    </row>
    <row r="11" spans="1:15">
      <c r="A11" t="s">
        <v>677</v>
      </c>
      <c r="B11" s="73">
        <v>1</v>
      </c>
      <c r="D11" s="330"/>
      <c r="E11" s="328"/>
      <c r="K11"/>
      <c r="L11"/>
      <c r="M11"/>
    </row>
    <row r="12" spans="1:15">
      <c r="A12" t="s">
        <v>678</v>
      </c>
      <c r="B12" s="73">
        <v>2</v>
      </c>
      <c r="D12" s="330"/>
      <c r="E12" s="328"/>
      <c r="K12"/>
      <c r="L12"/>
      <c r="M12"/>
    </row>
    <row r="13" spans="1:15">
      <c r="A13" t="s">
        <v>679</v>
      </c>
      <c r="B13">
        <v>1</v>
      </c>
      <c r="D13" s="108"/>
      <c r="K13"/>
      <c r="L13"/>
      <c r="M13"/>
    </row>
    <row r="14" spans="1:15">
      <c r="A14" t="s">
        <v>680</v>
      </c>
      <c r="B14">
        <v>1</v>
      </c>
      <c r="D14" s="330"/>
      <c r="E14" s="328"/>
      <c r="K14"/>
      <c r="L14"/>
      <c r="M14"/>
    </row>
    <row r="15" spans="1:15">
      <c r="A15" t="s">
        <v>681</v>
      </c>
      <c r="B15">
        <v>2</v>
      </c>
      <c r="D15" s="108"/>
      <c r="K15"/>
      <c r="L15"/>
      <c r="M15"/>
    </row>
    <row r="16" spans="1:15">
      <c r="A16" s="73" t="s">
        <v>212</v>
      </c>
      <c r="B16" s="73">
        <v>1</v>
      </c>
      <c r="D16" s="109"/>
      <c r="K16"/>
      <c r="L16"/>
      <c r="M16"/>
    </row>
    <row r="17" spans="1:13">
      <c r="A17" s="73" t="s">
        <v>682</v>
      </c>
      <c r="B17" s="73">
        <v>1</v>
      </c>
      <c r="D17" s="105"/>
      <c r="K17"/>
      <c r="L17"/>
      <c r="M17"/>
    </row>
    <row r="18" spans="1:13">
      <c r="A18" s="73" t="s">
        <v>683</v>
      </c>
      <c r="B18" s="73">
        <v>1</v>
      </c>
      <c r="D18" s="109"/>
      <c r="K18"/>
      <c r="L18"/>
      <c r="M18"/>
    </row>
    <row r="19" spans="1:13">
      <c r="A19" s="73" t="s">
        <v>684</v>
      </c>
      <c r="B19" s="73">
        <v>1</v>
      </c>
      <c r="D19" s="109"/>
      <c r="K19"/>
      <c r="L19"/>
      <c r="M19"/>
    </row>
    <row r="20" spans="1:13">
      <c r="A20" s="73" t="s">
        <v>224</v>
      </c>
      <c r="B20" s="73">
        <v>1</v>
      </c>
      <c r="D20" s="329"/>
      <c r="E20" s="328"/>
      <c r="K20"/>
      <c r="L20"/>
      <c r="M20"/>
    </row>
    <row r="21" spans="1:13">
      <c r="A21" s="73" t="s">
        <v>685</v>
      </c>
      <c r="B21" s="73">
        <v>1</v>
      </c>
      <c r="D21" s="105"/>
      <c r="K21"/>
      <c r="L21"/>
      <c r="M21"/>
    </row>
    <row r="22" spans="1:13">
      <c r="A22" s="73" t="s">
        <v>686</v>
      </c>
      <c r="B22" s="73">
        <v>1</v>
      </c>
      <c r="D22" s="109"/>
      <c r="E22" s="8" t="s">
        <v>687</v>
      </c>
      <c r="K22"/>
      <c r="L22"/>
      <c r="M22"/>
    </row>
    <row r="23" spans="1:13">
      <c r="A23" t="s">
        <v>345</v>
      </c>
      <c r="B23">
        <v>10</v>
      </c>
      <c r="D23" s="109"/>
      <c r="K23"/>
      <c r="L23"/>
      <c r="M23"/>
    </row>
    <row r="24" spans="1:13">
      <c r="A24" t="s">
        <v>349</v>
      </c>
      <c r="B24">
        <v>1</v>
      </c>
      <c r="D24" s="109"/>
      <c r="K24"/>
      <c r="L24"/>
      <c r="M24"/>
    </row>
    <row r="25" spans="1:13">
      <c r="A25" t="s">
        <v>368</v>
      </c>
      <c r="B25">
        <v>1</v>
      </c>
      <c r="D25" s="329"/>
      <c r="E25" s="328"/>
      <c r="K25"/>
      <c r="L25"/>
      <c r="M25"/>
    </row>
    <row r="26" spans="1:13">
      <c r="A26" t="s">
        <v>615</v>
      </c>
      <c r="B26">
        <v>4</v>
      </c>
      <c r="D26" s="109"/>
      <c r="K26"/>
      <c r="L26"/>
      <c r="M26"/>
    </row>
    <row r="27" spans="1:13">
      <c r="A27" s="73" t="s">
        <v>688</v>
      </c>
      <c r="B27" s="73">
        <v>9</v>
      </c>
      <c r="D27" s="109"/>
      <c r="K27"/>
      <c r="L27"/>
      <c r="M27"/>
    </row>
    <row r="28" spans="1:13">
      <c r="A28" t="s">
        <v>372</v>
      </c>
      <c r="B28">
        <v>1</v>
      </c>
      <c r="D28" s="109"/>
      <c r="K28"/>
      <c r="L28"/>
      <c r="M28"/>
    </row>
    <row r="29" spans="1:13">
      <c r="A29" s="73" t="s">
        <v>375</v>
      </c>
      <c r="B29" s="73">
        <v>3</v>
      </c>
      <c r="D29" s="329"/>
      <c r="E29" s="328"/>
      <c r="K29"/>
      <c r="L29"/>
      <c r="M29"/>
    </row>
    <row r="30" spans="1:13">
      <c r="A30" t="s">
        <v>578</v>
      </c>
      <c r="B30">
        <v>2</v>
      </c>
      <c r="D30" s="109"/>
      <c r="K30"/>
      <c r="L30"/>
      <c r="M30"/>
    </row>
    <row r="31" spans="1:13">
      <c r="A31" t="s">
        <v>689</v>
      </c>
      <c r="B31">
        <v>2</v>
      </c>
      <c r="D31" s="109"/>
      <c r="K31"/>
      <c r="L31"/>
      <c r="M31"/>
    </row>
    <row r="32" spans="1:13">
      <c r="A32" t="s">
        <v>411</v>
      </c>
      <c r="B32">
        <v>6</v>
      </c>
      <c r="D32" s="109"/>
      <c r="K32"/>
      <c r="L32"/>
      <c r="M32"/>
    </row>
    <row r="33" spans="1:13">
      <c r="A33" s="75" t="s">
        <v>690</v>
      </c>
      <c r="B33" s="73">
        <v>1</v>
      </c>
      <c r="D33" s="329"/>
      <c r="E33" s="328"/>
      <c r="K33"/>
      <c r="L33"/>
      <c r="M33"/>
    </row>
    <row r="34" spans="1:13">
      <c r="A34" t="s">
        <v>691</v>
      </c>
      <c r="B34" s="73">
        <v>1</v>
      </c>
      <c r="D34" s="329"/>
      <c r="E34" s="328"/>
      <c r="F34" s="8" t="s">
        <v>692</v>
      </c>
      <c r="K34"/>
      <c r="L34"/>
      <c r="M34"/>
    </row>
    <row r="35" spans="1:13">
      <c r="A35" t="s">
        <v>693</v>
      </c>
      <c r="B35" s="73">
        <v>2</v>
      </c>
      <c r="D35" s="329"/>
      <c r="E35" s="328"/>
      <c r="K35"/>
      <c r="L35"/>
      <c r="M35"/>
    </row>
    <row r="36" spans="1:13">
      <c r="A36" t="s">
        <v>694</v>
      </c>
      <c r="B36">
        <v>1</v>
      </c>
      <c r="D36" s="105"/>
      <c r="K36"/>
      <c r="L36"/>
      <c r="M36"/>
    </row>
    <row r="37" spans="1:13">
      <c r="A37" t="s">
        <v>695</v>
      </c>
      <c r="B37">
        <v>2</v>
      </c>
      <c r="D37" s="105"/>
      <c r="K37"/>
      <c r="L37"/>
      <c r="M37"/>
    </row>
    <row r="38" spans="1:13">
      <c r="A38" t="s">
        <v>696</v>
      </c>
      <c r="B38">
        <v>1</v>
      </c>
      <c r="D38" s="105"/>
      <c r="K38"/>
      <c r="L38"/>
      <c r="M38"/>
    </row>
    <row r="39" spans="1:13">
      <c r="A39" t="s">
        <v>697</v>
      </c>
      <c r="B39">
        <v>4</v>
      </c>
      <c r="D39" s="105"/>
      <c r="K39"/>
      <c r="L39"/>
      <c r="M39"/>
    </row>
    <row r="40" spans="1:13">
      <c r="A40" t="s">
        <v>698</v>
      </c>
      <c r="B40" s="73">
        <v>1</v>
      </c>
      <c r="D40" s="330"/>
      <c r="E40" s="328"/>
      <c r="K40"/>
      <c r="L40"/>
      <c r="M40"/>
    </row>
    <row r="41" spans="1:13">
      <c r="A41" t="s">
        <v>699</v>
      </c>
      <c r="B41">
        <v>1</v>
      </c>
      <c r="D41" s="105"/>
      <c r="K41"/>
      <c r="L41"/>
      <c r="M41"/>
    </row>
    <row r="42" spans="1:13">
      <c r="A42" t="s">
        <v>700</v>
      </c>
      <c r="B42">
        <v>1</v>
      </c>
      <c r="D42" s="105"/>
      <c r="K42"/>
      <c r="L42"/>
      <c r="M42"/>
    </row>
    <row r="43" spans="1:13">
      <c r="A43" t="s">
        <v>701</v>
      </c>
      <c r="B43">
        <v>1</v>
      </c>
      <c r="D43" s="105"/>
      <c r="K43"/>
      <c r="L43"/>
      <c r="M43"/>
    </row>
    <row r="44" spans="1:13">
      <c r="A44" t="s">
        <v>702</v>
      </c>
      <c r="B44">
        <v>1</v>
      </c>
      <c r="D44" s="105"/>
      <c r="K44"/>
      <c r="L44"/>
    </row>
    <row r="45" spans="1:13">
      <c r="A45" t="s">
        <v>703</v>
      </c>
      <c r="B45">
        <v>1</v>
      </c>
      <c r="D45" s="105"/>
      <c r="K45"/>
      <c r="L45"/>
    </row>
    <row r="46" spans="1:13">
      <c r="A46" t="s">
        <v>704</v>
      </c>
      <c r="B46">
        <v>1</v>
      </c>
      <c r="D46" s="105"/>
      <c r="K46"/>
      <c r="L46"/>
    </row>
    <row r="47" spans="1:13">
      <c r="A47" t="s">
        <v>705</v>
      </c>
      <c r="B47">
        <v>1</v>
      </c>
      <c r="D47" s="105"/>
      <c r="K47"/>
      <c r="L47"/>
    </row>
    <row r="48" spans="1:13">
      <c r="A48" t="s">
        <v>706</v>
      </c>
      <c r="B48">
        <v>1</v>
      </c>
      <c r="D48" s="105"/>
      <c r="K48"/>
      <c r="L48"/>
    </row>
    <row r="49" spans="1:13">
      <c r="A49" s="137" t="s">
        <v>707</v>
      </c>
      <c r="B49" s="73">
        <v>1</v>
      </c>
      <c r="D49" s="105"/>
      <c r="K49"/>
      <c r="L49"/>
    </row>
    <row r="50" spans="1:13">
      <c r="A50" s="137" t="s">
        <v>708</v>
      </c>
      <c r="B50" s="73">
        <v>1</v>
      </c>
      <c r="D50" s="105"/>
      <c r="K50"/>
      <c r="L50"/>
    </row>
    <row r="51" spans="1:13">
      <c r="A51" s="137" t="s">
        <v>709</v>
      </c>
      <c r="B51" s="73">
        <v>1</v>
      </c>
      <c r="D51" s="105"/>
      <c r="K51"/>
      <c r="L51"/>
    </row>
    <row r="52" spans="1:13">
      <c r="K52"/>
      <c r="L52"/>
    </row>
    <row r="53" spans="1:13">
      <c r="K53"/>
      <c r="L53"/>
    </row>
    <row r="54" spans="1:13">
      <c r="K54"/>
      <c r="L54"/>
    </row>
    <row r="55" spans="1:13">
      <c r="C55" s="73" t="s">
        <v>710</v>
      </c>
      <c r="D55" s="107"/>
      <c r="E55" s="73" t="s">
        <v>711</v>
      </c>
      <c r="K55"/>
      <c r="L55"/>
    </row>
    <row r="56" spans="1:13" ht="15.75" customHeight="1">
      <c r="C56" s="144" t="s">
        <v>712</v>
      </c>
      <c r="D56" s="105"/>
      <c r="E56" s="73" t="s">
        <v>713</v>
      </c>
      <c r="K56"/>
      <c r="L56"/>
    </row>
    <row r="57" spans="1:13">
      <c r="C57" s="73" t="s">
        <v>714</v>
      </c>
      <c r="D57" s="109"/>
      <c r="E57" s="73" t="s">
        <v>715</v>
      </c>
      <c r="K57" t="s">
        <v>716</v>
      </c>
      <c r="L57">
        <v>1</v>
      </c>
      <c r="M57" s="73" t="s">
        <v>717</v>
      </c>
    </row>
    <row r="58" spans="1:13">
      <c r="K58"/>
      <c r="L58"/>
    </row>
    <row r="59" spans="1:13">
      <c r="K59"/>
      <c r="L59"/>
    </row>
    <row r="60" spans="1:13">
      <c r="K60"/>
      <c r="L60"/>
    </row>
    <row r="61" spans="1:13">
      <c r="K61"/>
      <c r="L61"/>
    </row>
    <row r="62" spans="1:13">
      <c r="K62"/>
      <c r="L62"/>
    </row>
    <row r="63" spans="1:13">
      <c r="K63"/>
      <c r="L63"/>
    </row>
  </sheetData>
  <sortState xmlns:xlrd2="http://schemas.microsoft.com/office/spreadsheetml/2017/richdata2" ref="K2:L63">
    <sortCondition ref="K2:K63"/>
  </sortState>
  <phoneticPr fontId="38" type="noConversion"/>
  <hyperlinks>
    <hyperlink ref="E22" r:id="rId1" xr:uid="{8331AF54-AFAF-4CA5-AEF7-38A6BB8F31A9}"/>
    <hyperlink ref="F34" r:id="rId2" xr:uid="{3C0D6F0A-7D82-4A87-83C6-3B0EF97C14B9}"/>
  </hyperlinks>
  <pageMargins left="0.7" right="0.7" top="0.75" bottom="0.75" header="0.3" footer="0.3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dimension ref="A1:E30"/>
  <sheetViews>
    <sheetView workbookViewId="0">
      <selection activeCell="E30" sqref="E30"/>
    </sheetView>
  </sheetViews>
  <sheetFormatPr defaultRowHeight="15"/>
  <cols>
    <col min="1" max="1" width="21" customWidth="1"/>
    <col min="2" max="2" width="36.5703125" bestFit="1" customWidth="1"/>
    <col min="3" max="3" width="15.140625" bestFit="1" customWidth="1"/>
    <col min="4" max="4" width="29" bestFit="1" customWidth="1"/>
    <col min="5" max="5" width="57.5703125" customWidth="1"/>
  </cols>
  <sheetData>
    <row r="1" spans="1:5">
      <c r="A1" s="180" t="s">
        <v>718</v>
      </c>
      <c r="B1" s="177"/>
      <c r="C1" s="175"/>
      <c r="D1" s="175"/>
      <c r="E1" s="177"/>
    </row>
    <row r="2" spans="1:5">
      <c r="A2" s="177"/>
      <c r="B2" s="177"/>
      <c r="C2" s="175"/>
      <c r="D2" s="175"/>
      <c r="E2" s="177"/>
    </row>
    <row r="3" spans="1:5">
      <c r="A3" s="177" t="s">
        <v>719</v>
      </c>
      <c r="B3" s="177"/>
      <c r="C3" s="175" t="s">
        <v>720</v>
      </c>
      <c r="D3" s="175" t="s">
        <v>721</v>
      </c>
      <c r="E3" s="177" t="s">
        <v>722</v>
      </c>
    </row>
    <row r="4" spans="1:5">
      <c r="A4" s="177">
        <v>1</v>
      </c>
      <c r="B4" s="177" t="s">
        <v>723</v>
      </c>
      <c r="C4" s="175" t="s">
        <v>724</v>
      </c>
      <c r="D4" s="175" t="s">
        <v>725</v>
      </c>
      <c r="E4" s="178" t="s">
        <v>726</v>
      </c>
    </row>
    <row r="5" spans="1:5">
      <c r="A5" s="177">
        <v>2</v>
      </c>
      <c r="B5" s="177" t="s">
        <v>727</v>
      </c>
      <c r="C5" s="175" t="s">
        <v>724</v>
      </c>
      <c r="D5" s="175" t="s">
        <v>728</v>
      </c>
      <c r="E5" s="177" t="s">
        <v>726</v>
      </c>
    </row>
    <row r="6" spans="1:5">
      <c r="A6" s="177">
        <v>3</v>
      </c>
      <c r="B6" s="177" t="s">
        <v>729</v>
      </c>
      <c r="C6" s="175" t="s">
        <v>724</v>
      </c>
      <c r="D6" s="175" t="s">
        <v>730</v>
      </c>
      <c r="E6" s="177" t="s">
        <v>726</v>
      </c>
    </row>
    <row r="7" spans="1:5">
      <c r="A7" s="177">
        <v>4</v>
      </c>
      <c r="B7" s="177" t="s">
        <v>731</v>
      </c>
      <c r="C7" s="175"/>
      <c r="D7" s="175"/>
      <c r="E7" s="177"/>
    </row>
    <row r="8" spans="1:5">
      <c r="A8" s="177"/>
      <c r="B8" s="177"/>
      <c r="C8" s="175"/>
      <c r="D8" s="175"/>
      <c r="E8" s="177"/>
    </row>
    <row r="9" spans="1:5">
      <c r="A9" s="177"/>
      <c r="B9" s="177"/>
      <c r="C9" s="175"/>
      <c r="D9" s="175"/>
      <c r="E9" s="177"/>
    </row>
    <row r="10" spans="1:5">
      <c r="A10" s="177" t="s">
        <v>732</v>
      </c>
      <c r="B10" s="177"/>
      <c r="C10" s="175"/>
      <c r="D10" s="175"/>
      <c r="E10" s="177"/>
    </row>
    <row r="11" spans="1:5">
      <c r="A11" s="177">
        <v>1</v>
      </c>
      <c r="B11" s="177"/>
      <c r="C11" s="175" t="s">
        <v>733</v>
      </c>
      <c r="D11" s="175" t="s">
        <v>734</v>
      </c>
      <c r="E11" s="177"/>
    </row>
    <row r="12" spans="1:5">
      <c r="A12" s="177">
        <v>2</v>
      </c>
      <c r="B12" s="177"/>
      <c r="C12" s="175" t="s">
        <v>733</v>
      </c>
      <c r="D12" s="175" t="s">
        <v>734</v>
      </c>
      <c r="E12" s="177"/>
    </row>
    <row r="13" spans="1:5">
      <c r="A13" s="177">
        <v>3</v>
      </c>
      <c r="B13" s="177"/>
      <c r="C13" s="175" t="s">
        <v>735</v>
      </c>
      <c r="D13" s="175" t="s">
        <v>736</v>
      </c>
      <c r="E13" s="177" t="s">
        <v>737</v>
      </c>
    </row>
    <row r="14" spans="1:5">
      <c r="A14" s="177">
        <v>4</v>
      </c>
      <c r="B14" s="177"/>
      <c r="C14" s="175" t="s">
        <v>735</v>
      </c>
      <c r="D14" s="175" t="s">
        <v>738</v>
      </c>
      <c r="E14" s="177" t="s">
        <v>737</v>
      </c>
    </row>
    <row r="15" spans="1:5">
      <c r="A15" s="177">
        <v>5</v>
      </c>
      <c r="B15" s="177"/>
      <c r="C15" s="175" t="s">
        <v>739</v>
      </c>
      <c r="D15" s="175" t="s">
        <v>740</v>
      </c>
      <c r="E15" s="177"/>
    </row>
    <row r="16" spans="1:5">
      <c r="A16" s="177">
        <v>6</v>
      </c>
      <c r="B16" s="177"/>
      <c r="C16" s="175" t="s">
        <v>739</v>
      </c>
      <c r="D16" s="175" t="s">
        <v>740</v>
      </c>
      <c r="E16" s="177"/>
    </row>
    <row r="17" spans="1:5">
      <c r="A17" s="177">
        <v>7</v>
      </c>
      <c r="B17" s="177"/>
      <c r="C17" s="175"/>
      <c r="D17" s="176" t="s">
        <v>741</v>
      </c>
      <c r="E17" s="177"/>
    </row>
    <row r="18" spans="1:5">
      <c r="A18" s="177">
        <v>8</v>
      </c>
      <c r="B18" s="177"/>
      <c r="C18" s="175"/>
      <c r="D18" s="176" t="s">
        <v>742</v>
      </c>
      <c r="E18" s="177"/>
    </row>
    <row r="19" spans="1:5">
      <c r="A19" s="177">
        <v>9</v>
      </c>
      <c r="B19" s="177"/>
      <c r="C19" s="175" t="s">
        <v>735</v>
      </c>
      <c r="D19" s="175" t="s">
        <v>743</v>
      </c>
      <c r="E19" s="177" t="s">
        <v>737</v>
      </c>
    </row>
    <row r="20" spans="1:5">
      <c r="A20" s="177">
        <v>10</v>
      </c>
      <c r="B20" s="177"/>
      <c r="C20" s="175" t="s">
        <v>735</v>
      </c>
      <c r="D20" s="175" t="s">
        <v>744</v>
      </c>
      <c r="E20" s="177" t="s">
        <v>737</v>
      </c>
    </row>
    <row r="21" spans="1:5">
      <c r="A21" s="177"/>
      <c r="B21" s="177"/>
      <c r="C21" s="175"/>
      <c r="D21" s="175"/>
      <c r="E21" s="177"/>
    </row>
    <row r="22" spans="1:5">
      <c r="A22" s="177" t="s">
        <v>719</v>
      </c>
      <c r="B22" s="177" t="s">
        <v>745</v>
      </c>
      <c r="C22" s="175" t="s">
        <v>720</v>
      </c>
      <c r="D22" s="175"/>
      <c r="E22" s="177"/>
    </row>
    <row r="23" spans="1:5">
      <c r="A23" s="177">
        <v>1</v>
      </c>
      <c r="B23" s="177" t="s">
        <v>723</v>
      </c>
      <c r="C23" s="175" t="s">
        <v>724</v>
      </c>
      <c r="D23" s="175" t="s">
        <v>746</v>
      </c>
      <c r="E23" s="177" t="s">
        <v>726</v>
      </c>
    </row>
    <row r="24" spans="1:5">
      <c r="A24" s="177">
        <v>2</v>
      </c>
      <c r="B24" s="177" t="s">
        <v>727</v>
      </c>
      <c r="C24" s="175" t="s">
        <v>724</v>
      </c>
      <c r="D24" s="175" t="s">
        <v>746</v>
      </c>
      <c r="E24" s="177" t="s">
        <v>726</v>
      </c>
    </row>
    <row r="25" spans="1:5">
      <c r="A25" s="177">
        <v>3</v>
      </c>
      <c r="B25" s="177" t="s">
        <v>729</v>
      </c>
      <c r="C25" s="175" t="s">
        <v>724</v>
      </c>
      <c r="D25" s="175" t="s">
        <v>746</v>
      </c>
      <c r="E25" s="177" t="s">
        <v>726</v>
      </c>
    </row>
    <row r="26" spans="1:5">
      <c r="A26" s="177">
        <v>4</v>
      </c>
      <c r="B26" s="177" t="s">
        <v>731</v>
      </c>
      <c r="C26" s="175"/>
      <c r="D26" s="175"/>
      <c r="E26" s="177"/>
    </row>
    <row r="27" spans="1:5">
      <c r="A27" s="177"/>
      <c r="B27" s="177"/>
      <c r="C27" s="175"/>
      <c r="D27" s="175"/>
      <c r="E27" s="177"/>
    </row>
    <row r="28" spans="1:5">
      <c r="A28" s="177"/>
      <c r="B28" s="177"/>
      <c r="C28" s="175"/>
      <c r="D28" s="175"/>
      <c r="E28" s="177"/>
    </row>
    <row r="29" spans="1:5">
      <c r="A29" s="177"/>
      <c r="B29" s="177"/>
      <c r="C29" s="175"/>
      <c r="D29" s="175"/>
      <c r="E29" s="177"/>
    </row>
    <row r="30" spans="1:5">
      <c r="A30" s="177" t="s">
        <v>747</v>
      </c>
      <c r="C30" s="175"/>
      <c r="D30" s="175"/>
      <c r="E30" s="177" t="s">
        <v>748</v>
      </c>
    </row>
  </sheetData>
  <hyperlinks>
    <hyperlink ref="E4" r:id="rId1" xr:uid="{1A90E6DD-D470-4289-98F4-EB75321AFF8A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7"/>
  <sheetViews>
    <sheetView workbookViewId="0">
      <selection activeCell="C18" sqref="C18"/>
    </sheetView>
  </sheetViews>
  <sheetFormatPr defaultRowHeight="15"/>
  <cols>
    <col min="1" max="1" width="83.140625" customWidth="1"/>
    <col min="2" max="2" width="11.42578125" customWidth="1"/>
    <col min="3" max="3" width="35.5703125" customWidth="1"/>
    <col min="4" max="4" width="70.85546875" customWidth="1"/>
  </cols>
  <sheetData>
    <row r="1" spans="1:4" ht="15.75">
      <c r="A1" s="145" t="s">
        <v>749</v>
      </c>
      <c r="B1" t="s">
        <v>750</v>
      </c>
      <c r="C1" t="s">
        <v>751</v>
      </c>
      <c r="D1" t="s">
        <v>752</v>
      </c>
    </row>
    <row r="2" spans="1:4" ht="20.25" customHeight="1">
      <c r="A2" s="96" t="s">
        <v>753</v>
      </c>
      <c r="B2" t="s">
        <v>754</v>
      </c>
      <c r="C2" s="96" t="s">
        <v>755</v>
      </c>
      <c r="D2" s="149" t="s">
        <v>756</v>
      </c>
    </row>
    <row r="3" spans="1:4">
      <c r="A3" t="s">
        <v>757</v>
      </c>
      <c r="B3" t="s">
        <v>758</v>
      </c>
      <c r="C3" s="148" t="s">
        <v>759</v>
      </c>
    </row>
    <row r="4" spans="1:4">
      <c r="A4" t="s">
        <v>760</v>
      </c>
      <c r="B4" t="s">
        <v>758</v>
      </c>
      <c r="C4" s="148" t="s">
        <v>759</v>
      </c>
    </row>
    <row r="5" spans="1:4">
      <c r="A5" t="s">
        <v>761</v>
      </c>
      <c r="B5" t="s">
        <v>762</v>
      </c>
      <c r="C5" s="172" t="s">
        <v>763</v>
      </c>
      <c r="D5" t="s">
        <v>764</v>
      </c>
    </row>
    <row r="6" spans="1:4">
      <c r="A6" t="s">
        <v>765</v>
      </c>
      <c r="B6" t="s">
        <v>766</v>
      </c>
      <c r="C6" s="96" t="s">
        <v>767</v>
      </c>
    </row>
    <row r="7" spans="1:4">
      <c r="A7" t="s">
        <v>768</v>
      </c>
      <c r="B7" t="s">
        <v>769</v>
      </c>
      <c r="C7" t="s">
        <v>770</v>
      </c>
    </row>
    <row r="8" spans="1:4" ht="14.25" customHeight="1">
      <c r="A8" t="s">
        <v>771</v>
      </c>
      <c r="B8" t="s">
        <v>766</v>
      </c>
      <c r="C8" s="96" t="s">
        <v>772</v>
      </c>
    </row>
    <row r="9" spans="1:4">
      <c r="A9" t="s">
        <v>773</v>
      </c>
    </row>
    <row r="10" spans="1:4">
      <c r="A10" s="147" t="s">
        <v>774</v>
      </c>
      <c r="B10" s="147" t="s">
        <v>758</v>
      </c>
      <c r="C10" s="147" t="s">
        <v>775</v>
      </c>
    </row>
    <row r="11" spans="1:4">
      <c r="A11" t="s">
        <v>776</v>
      </c>
      <c r="C11" s="147" t="s">
        <v>775</v>
      </c>
    </row>
    <row r="12" spans="1:4">
      <c r="A12" s="147" t="s">
        <v>777</v>
      </c>
      <c r="B12" s="147" t="s">
        <v>766</v>
      </c>
      <c r="C12" s="147" t="s">
        <v>778</v>
      </c>
    </row>
    <row r="13" spans="1:4">
      <c r="A13" t="s">
        <v>779</v>
      </c>
      <c r="B13" t="s">
        <v>762</v>
      </c>
    </row>
    <row r="14" spans="1:4">
      <c r="A14" s="147" t="s">
        <v>780</v>
      </c>
      <c r="B14" s="147" t="s">
        <v>762</v>
      </c>
      <c r="C14" s="147" t="s">
        <v>775</v>
      </c>
    </row>
    <row r="15" spans="1:4">
      <c r="A15" s="146" t="s">
        <v>781</v>
      </c>
      <c r="B15" t="s">
        <v>782</v>
      </c>
      <c r="C15" t="s">
        <v>783</v>
      </c>
    </row>
    <row r="16" spans="1:4">
      <c r="A16" t="s">
        <v>784</v>
      </c>
    </row>
    <row r="17" spans="1:2">
      <c r="A17" s="146" t="s">
        <v>785</v>
      </c>
      <c r="B17" t="s">
        <v>758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C0AA1-1ECF-488C-B33E-1E5C0E714E37}">
  <sheetPr>
    <tabColor rgb="FFFF0000"/>
  </sheetPr>
  <dimension ref="A1:F23"/>
  <sheetViews>
    <sheetView topLeftCell="F23" workbookViewId="0">
      <selection activeCell="F23" sqref="F23"/>
    </sheetView>
  </sheetViews>
  <sheetFormatPr defaultRowHeight="15"/>
  <cols>
    <col min="1" max="1" width="35.7109375" customWidth="1"/>
    <col min="3" max="3" width="23.28515625" customWidth="1"/>
    <col min="5" max="5" width="36.5703125" bestFit="1" customWidth="1"/>
  </cols>
  <sheetData>
    <row r="1" spans="1:6">
      <c r="A1" s="94" t="s">
        <v>66</v>
      </c>
      <c r="B1" s="94" t="s">
        <v>489</v>
      </c>
      <c r="C1" s="94" t="s">
        <v>2</v>
      </c>
      <c r="D1" s="94" t="s">
        <v>68</v>
      </c>
      <c r="E1" s="94" t="s">
        <v>69</v>
      </c>
      <c r="F1" s="94" t="s">
        <v>111</v>
      </c>
    </row>
    <row r="2" spans="1:6">
      <c r="A2" t="s">
        <v>786</v>
      </c>
    </row>
    <row r="3" spans="1:6">
      <c r="A3" t="s">
        <v>787</v>
      </c>
      <c r="E3" s="6" t="s">
        <v>788</v>
      </c>
    </row>
    <row r="4" spans="1:6">
      <c r="A4" t="s">
        <v>789</v>
      </c>
      <c r="E4" s="6" t="s">
        <v>788</v>
      </c>
    </row>
    <row r="5" spans="1:6">
      <c r="A5" t="s">
        <v>790</v>
      </c>
      <c r="E5" s="6" t="s">
        <v>788</v>
      </c>
    </row>
    <row r="6" spans="1:6">
      <c r="A6" t="s">
        <v>791</v>
      </c>
      <c r="E6" s="6" t="s">
        <v>788</v>
      </c>
    </row>
    <row r="7" spans="1:6">
      <c r="A7" t="s">
        <v>792</v>
      </c>
      <c r="E7" s="6" t="s">
        <v>788</v>
      </c>
    </row>
    <row r="8" spans="1:6">
      <c r="A8" t="s">
        <v>789</v>
      </c>
      <c r="E8" s="6" t="s">
        <v>788</v>
      </c>
    </row>
    <row r="9" spans="1:6">
      <c r="A9" t="s">
        <v>793</v>
      </c>
      <c r="E9" s="6" t="s">
        <v>788</v>
      </c>
    </row>
    <row r="10" spans="1:6">
      <c r="A10" t="s">
        <v>794</v>
      </c>
      <c r="E10" s="6" t="s">
        <v>788</v>
      </c>
    </row>
    <row r="11" spans="1:6">
      <c r="A11" t="s">
        <v>795</v>
      </c>
      <c r="E11" s="6" t="s">
        <v>788</v>
      </c>
    </row>
    <row r="12" spans="1:6">
      <c r="A12" t="s">
        <v>796</v>
      </c>
      <c r="E12" s="6" t="s">
        <v>788</v>
      </c>
    </row>
    <row r="13" spans="1:6">
      <c r="A13" t="s">
        <v>797</v>
      </c>
    </row>
    <row r="14" spans="1:6">
      <c r="A14" t="s">
        <v>798</v>
      </c>
    </row>
    <row r="15" spans="1:6">
      <c r="A15" t="s">
        <v>799</v>
      </c>
      <c r="B15">
        <v>1</v>
      </c>
    </row>
    <row r="16" spans="1:6">
      <c r="A16" t="s">
        <v>800</v>
      </c>
      <c r="B16">
        <v>1</v>
      </c>
    </row>
    <row r="17" spans="1:5">
      <c r="A17" t="s">
        <v>801</v>
      </c>
      <c r="B17">
        <v>1</v>
      </c>
    </row>
    <row r="18" spans="1:5">
      <c r="A18" t="s">
        <v>802</v>
      </c>
    </row>
    <row r="19" spans="1:5">
      <c r="A19" t="s">
        <v>803</v>
      </c>
      <c r="D19" s="104"/>
    </row>
    <row r="20" spans="1:5">
      <c r="A20" t="s">
        <v>804</v>
      </c>
      <c r="E20" s="6" t="s">
        <v>805</v>
      </c>
    </row>
    <row r="23" spans="1:5" ht="45">
      <c r="E23" s="106" t="s">
        <v>806</v>
      </c>
    </row>
  </sheetData>
  <hyperlinks>
    <hyperlink ref="E20" r:id="rId1" xr:uid="{7A88AE81-B2AB-499F-B250-29DBA69BCE29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39EC-5553-41D5-8638-04D8E8A926F1}">
  <sheetPr>
    <tabColor rgb="FFFFC000"/>
  </sheetPr>
  <dimension ref="A1:I20"/>
  <sheetViews>
    <sheetView topLeftCell="A16" workbookViewId="0">
      <selection activeCell="C20" sqref="C20"/>
    </sheetView>
  </sheetViews>
  <sheetFormatPr defaultRowHeight="15"/>
  <cols>
    <col min="1" max="1" width="26.7109375" style="74" bestFit="1" customWidth="1"/>
    <col min="2" max="2" width="10.5703125" style="76" customWidth="1"/>
    <col min="3" max="3" width="45.28515625" style="74" bestFit="1" customWidth="1"/>
    <col min="4" max="4" width="35.28515625" style="74" bestFit="1" customWidth="1"/>
    <col min="5" max="9" width="9.140625" style="74"/>
    <col min="10" max="10" width="33.5703125" style="74" customWidth="1"/>
    <col min="11" max="16384" width="9.140625" style="74"/>
  </cols>
  <sheetData>
    <row r="1" spans="1:9">
      <c r="A1" s="74" t="s">
        <v>66</v>
      </c>
      <c r="B1" s="76" t="s">
        <v>489</v>
      </c>
      <c r="C1" s="74" t="s">
        <v>2</v>
      </c>
      <c r="D1" s="74" t="s">
        <v>68</v>
      </c>
    </row>
    <row r="2" spans="1:9">
      <c r="A2" s="81" t="s">
        <v>807</v>
      </c>
      <c r="B2" s="76">
        <v>3</v>
      </c>
      <c r="C2" s="81" t="s">
        <v>808</v>
      </c>
      <c r="D2" s="83" t="s">
        <v>290</v>
      </c>
    </row>
    <row r="3" spans="1:9">
      <c r="A3" s="81" t="s">
        <v>809</v>
      </c>
      <c r="B3" s="76">
        <v>3</v>
      </c>
      <c r="C3" s="74" t="s">
        <v>810</v>
      </c>
      <c r="D3" s="84" t="s">
        <v>290</v>
      </c>
    </row>
    <row r="4" spans="1:9">
      <c r="A4" s="331" t="s">
        <v>811</v>
      </c>
      <c r="B4" s="76">
        <v>2</v>
      </c>
      <c r="D4" s="83"/>
    </row>
    <row r="5" spans="1:9">
      <c r="A5" s="86" t="s">
        <v>812</v>
      </c>
      <c r="B5" s="87">
        <v>1</v>
      </c>
      <c r="C5" s="86"/>
      <c r="D5" s="83" t="s">
        <v>813</v>
      </c>
      <c r="E5" s="86"/>
      <c r="F5" s="86"/>
      <c r="G5" s="86"/>
      <c r="H5" s="86"/>
      <c r="I5" s="86"/>
    </row>
    <row r="6" spans="1:9">
      <c r="A6" s="74" t="s">
        <v>468</v>
      </c>
      <c r="B6" s="76">
        <v>4</v>
      </c>
      <c r="D6" s="83"/>
    </row>
    <row r="7" spans="1:9">
      <c r="A7" s="74" t="s">
        <v>347</v>
      </c>
      <c r="B7" s="76">
        <v>6</v>
      </c>
      <c r="D7" s="83"/>
    </row>
    <row r="8" spans="1:9">
      <c r="A8" s="74" t="s">
        <v>349</v>
      </c>
      <c r="B8" s="76">
        <v>2</v>
      </c>
      <c r="D8" s="83"/>
    </row>
    <row r="9" spans="1:9">
      <c r="A9" s="74" t="s">
        <v>450</v>
      </c>
      <c r="B9" s="76">
        <v>4</v>
      </c>
      <c r="D9" s="83"/>
    </row>
    <row r="10" spans="1:9">
      <c r="A10" s="74" t="s">
        <v>429</v>
      </c>
      <c r="B10" s="76">
        <v>4</v>
      </c>
      <c r="D10" s="83"/>
    </row>
    <row r="11" spans="1:9">
      <c r="A11" s="74" t="s">
        <v>384</v>
      </c>
      <c r="B11" s="76">
        <v>4</v>
      </c>
      <c r="D11" s="83"/>
    </row>
    <row r="12" spans="1:9">
      <c r="A12" s="74" t="s">
        <v>814</v>
      </c>
      <c r="B12" s="76">
        <v>1</v>
      </c>
      <c r="D12" s="77"/>
    </row>
    <row r="13" spans="1:9">
      <c r="A13" s="74" t="s">
        <v>815</v>
      </c>
      <c r="B13" s="76">
        <v>1</v>
      </c>
      <c r="D13" s="77"/>
    </row>
    <row r="14" spans="1:9">
      <c r="A14" s="81" t="s">
        <v>301</v>
      </c>
      <c r="B14" s="76">
        <v>1</v>
      </c>
      <c r="C14" s="81" t="s">
        <v>302</v>
      </c>
      <c r="D14" s="83" t="s">
        <v>816</v>
      </c>
    </row>
    <row r="15" spans="1:9">
      <c r="A15" s="81" t="s">
        <v>303</v>
      </c>
      <c r="B15" s="76">
        <v>1</v>
      </c>
      <c r="C15" s="81" t="s">
        <v>304</v>
      </c>
      <c r="D15" s="83" t="s">
        <v>816</v>
      </c>
    </row>
    <row r="16" spans="1:9">
      <c r="A16" s="74" t="s">
        <v>305</v>
      </c>
      <c r="B16" s="76">
        <v>1</v>
      </c>
      <c r="D16" s="84" t="s">
        <v>817</v>
      </c>
    </row>
    <row r="17" spans="1:4">
      <c r="A17" s="74" t="s">
        <v>818</v>
      </c>
      <c r="B17" s="76">
        <v>2</v>
      </c>
      <c r="D17" s="77"/>
    </row>
    <row r="18" spans="1:4">
      <c r="A18" s="81" t="s">
        <v>306</v>
      </c>
      <c r="B18" s="76">
        <v>1</v>
      </c>
      <c r="C18" s="74" t="s">
        <v>819</v>
      </c>
      <c r="D18" s="84" t="s">
        <v>820</v>
      </c>
    </row>
    <row r="20" spans="1:4">
      <c r="D20" s="85"/>
    </row>
  </sheetData>
  <hyperlinks>
    <hyperlink ref="D18" r:id="rId1" xr:uid="{CAF37EE7-0991-42BE-978A-B7298A896877}"/>
    <hyperlink ref="D3" r:id="rId2" xr:uid="{F6F7D950-C5DD-4682-8842-5BC71F859A56}"/>
    <hyperlink ref="D16" r:id="rId3" xr:uid="{9766E4D5-D5B9-47FD-BA61-A8AB989B7E54}"/>
  </hyperlinks>
  <pageMargins left="0.7" right="0.7" top="0.75" bottom="0.75" header="0.3" footer="0.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2025-12-23T21:59:48Z</dcterms:modified>
  <cp:category/>
  <cp:contentStatus/>
</cp:coreProperties>
</file>