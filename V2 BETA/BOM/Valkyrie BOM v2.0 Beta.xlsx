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837cd5b4a1a02ac/Document Library/GitHub/Project-Valkyrie/V2 BETA/BOM/"/>
    </mc:Choice>
  </mc:AlternateContent>
  <xr:revisionPtr revIDLastSave="10603" documentId="8_{63A4C33B-DB7D-4B96-8F5C-2848B14821C5}" xr6:coauthVersionLast="47" xr6:coauthVersionMax="47" xr10:uidLastSave="{84A283F8-9406-4771-A52F-DF119C3DB885}"/>
  <bookViews>
    <workbookView xWindow="28680" yWindow="-45" windowWidth="29040" windowHeight="16440" activeTab="5" xr2:uid="{00000000-000D-0000-FFFF-FFFF00000000}"/>
  </bookViews>
  <sheets>
    <sheet name="Full BOM List" sheetId="43" r:id="rId1"/>
    <sheet name="V2 Frame BOM" sheetId="28" r:id="rId2"/>
    <sheet name="V2 AB Gantry BOM" sheetId="20" r:id="rId3"/>
    <sheet name="V2 Toolhead BOM" sheetId="36" r:id="rId4"/>
    <sheet name="V2 Z System BOM" sheetId="38" r:id="rId5"/>
    <sheet name="V2 Enclosure BOM" sheetId="39" r:id="rId6"/>
    <sheet name="V2 Drybox BOM" sheetId="40" r:id="rId7"/>
    <sheet name="V2 Liquid Cooling BOM" sheetId="41" r:id="rId8"/>
    <sheet name="V2 Electronics BOM" sheetId="42" r:id="rId9"/>
    <sheet name="Chamber connections" sheetId="35" r:id="rId10"/>
    <sheet name="To Do" sheetId="34" r:id="rId11"/>
    <sheet name="MISC" sheetId="30" r:id="rId12"/>
  </sheets>
  <definedNames>
    <definedName name="_xlnm._FilterDatabase" localSheetId="0" hidden="1">'Full BOM List'!$A$1:$L$101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8" roundtripDataSignature="AMtx7mjXg2aXlIlZtHiGIVqqlSvDo2t44g=="/>
    </ext>
  </extLst>
</workbook>
</file>

<file path=xl/calcChain.xml><?xml version="1.0" encoding="utf-8"?>
<calcChain xmlns="http://schemas.openxmlformats.org/spreadsheetml/2006/main">
  <c r="I70" i="39" l="1"/>
  <c r="I71" i="39"/>
  <c r="I72" i="39"/>
  <c r="I9" i="39"/>
  <c r="I24" i="39"/>
  <c r="G24" i="42"/>
  <c r="G17" i="42"/>
  <c r="G15" i="42"/>
  <c r="G16" i="42"/>
  <c r="G14" i="42"/>
  <c r="G14" i="36"/>
  <c r="G44" i="36"/>
  <c r="G45" i="36"/>
  <c r="G100" i="43"/>
  <c r="G99" i="43"/>
  <c r="G98" i="43"/>
  <c r="G97" i="43"/>
  <c r="G96" i="43"/>
  <c r="G95" i="43"/>
  <c r="G94" i="43"/>
  <c r="G93" i="43"/>
  <c r="G92" i="43"/>
  <c r="G91" i="43"/>
  <c r="G90" i="43"/>
  <c r="G89" i="43"/>
  <c r="G88" i="43"/>
  <c r="G87" i="43"/>
  <c r="G86" i="43"/>
  <c r="G85" i="43"/>
  <c r="G84" i="43"/>
  <c r="G83" i="43"/>
  <c r="G82" i="43"/>
  <c r="G81" i="43"/>
  <c r="G80" i="43"/>
  <c r="G79" i="43"/>
  <c r="G78" i="43"/>
  <c r="G77" i="43"/>
  <c r="G76" i="43"/>
  <c r="G75" i="43"/>
  <c r="G74" i="43"/>
  <c r="G73" i="43"/>
  <c r="G72" i="43"/>
  <c r="G71" i="43"/>
  <c r="G70" i="43"/>
  <c r="G69" i="43"/>
  <c r="G68" i="43"/>
  <c r="G67" i="43"/>
  <c r="G66" i="43"/>
  <c r="G65" i="43"/>
  <c r="G64" i="43"/>
  <c r="G63" i="43"/>
  <c r="G62" i="43"/>
  <c r="G61" i="43"/>
  <c r="G60" i="43"/>
  <c r="G59" i="43"/>
  <c r="G58" i="43"/>
  <c r="G57" i="43"/>
  <c r="G56" i="43"/>
  <c r="G55" i="43"/>
  <c r="G54" i="43"/>
  <c r="G53" i="43"/>
  <c r="G52" i="43"/>
  <c r="G51" i="43"/>
  <c r="G50" i="43"/>
  <c r="G49" i="43"/>
  <c r="G48" i="43"/>
  <c r="G47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G33" i="43"/>
  <c r="G34" i="43"/>
  <c r="G32" i="43"/>
  <c r="G31" i="43"/>
  <c r="G30" i="43"/>
  <c r="G29" i="43"/>
  <c r="G27" i="43"/>
  <c r="G28" i="43"/>
  <c r="G26" i="43"/>
  <c r="G25" i="43"/>
  <c r="G24" i="43"/>
  <c r="G23" i="43"/>
  <c r="G22" i="43"/>
  <c r="G21" i="43"/>
  <c r="G20" i="43"/>
  <c r="G18" i="43"/>
  <c r="G17" i="43"/>
  <c r="G16" i="43"/>
  <c r="G15" i="43"/>
  <c r="G14" i="43"/>
  <c r="G13" i="43"/>
  <c r="G12" i="43"/>
  <c r="G19" i="43"/>
  <c r="G11" i="43"/>
  <c r="G10" i="43"/>
  <c r="G9" i="43"/>
  <c r="G8" i="43"/>
  <c r="G7" i="43"/>
  <c r="G6" i="43"/>
  <c r="G5" i="43"/>
  <c r="G4" i="43"/>
  <c r="G3" i="43"/>
  <c r="G2" i="43"/>
  <c r="I6" i="39"/>
  <c r="I7" i="39"/>
  <c r="I8" i="39"/>
  <c r="I3" i="39"/>
  <c r="I5" i="39"/>
  <c r="I10" i="39"/>
  <c r="I11" i="39"/>
  <c r="I12" i="39"/>
  <c r="I13" i="39"/>
  <c r="I15" i="39"/>
  <c r="I16" i="39"/>
  <c r="I14" i="39"/>
  <c r="I21" i="39"/>
  <c r="I17" i="39"/>
  <c r="I18" i="39"/>
  <c r="I19" i="39"/>
  <c r="I20" i="39"/>
  <c r="I22" i="39"/>
  <c r="I23" i="39"/>
  <c r="I25" i="39"/>
  <c r="I26" i="39"/>
  <c r="I27" i="39"/>
  <c r="I28" i="39"/>
  <c r="I29" i="39"/>
  <c r="I30" i="39"/>
  <c r="I2" i="39"/>
  <c r="I4" i="39"/>
  <c r="I31" i="39"/>
  <c r="I32" i="39"/>
  <c r="I33" i="39"/>
  <c r="I34" i="39"/>
  <c r="I35" i="39"/>
  <c r="I36" i="39"/>
  <c r="I37" i="39"/>
  <c r="I38" i="39"/>
  <c r="I39" i="39"/>
  <c r="I40" i="39"/>
  <c r="I41" i="39"/>
  <c r="I49" i="39"/>
  <c r="I50" i="39"/>
  <c r="I42" i="39"/>
  <c r="I43" i="39"/>
  <c r="I44" i="39"/>
  <c r="I45" i="39"/>
  <c r="I46" i="39"/>
  <c r="I47" i="39"/>
  <c r="I48" i="39"/>
  <c r="I51" i="39"/>
  <c r="I52" i="39"/>
  <c r="I53" i="39"/>
  <c r="I54" i="39"/>
  <c r="I55" i="39"/>
  <c r="I56" i="39"/>
  <c r="I57" i="39"/>
  <c r="I58" i="39"/>
  <c r="I59" i="39"/>
  <c r="I60" i="39"/>
  <c r="I61" i="39"/>
  <c r="I62" i="39"/>
  <c r="I63" i="39"/>
  <c r="I64" i="39"/>
  <c r="I65" i="39"/>
  <c r="I66" i="39"/>
  <c r="I67" i="39"/>
  <c r="I68" i="39"/>
  <c r="I69" i="39"/>
  <c r="I73" i="39"/>
  <c r="I74" i="39"/>
  <c r="G25" i="42"/>
  <c r="G20" i="42"/>
  <c r="G21" i="42"/>
  <c r="G26" i="42"/>
  <c r="G4" i="42"/>
  <c r="G3" i="42"/>
  <c r="G2" i="42"/>
  <c r="G27" i="42" s="1"/>
  <c r="G4" i="41"/>
  <c r="G5" i="41"/>
  <c r="G7" i="41"/>
  <c r="G6" i="41"/>
  <c r="G8" i="41"/>
  <c r="G9" i="41"/>
  <c r="G2" i="41"/>
  <c r="G3" i="41"/>
  <c r="G51" i="40"/>
  <c r="G29" i="38"/>
  <c r="G30" i="38"/>
  <c r="G11" i="38"/>
  <c r="G46" i="38" s="1"/>
  <c r="G48" i="36"/>
  <c r="G47" i="36"/>
  <c r="G46" i="36"/>
  <c r="G43" i="36"/>
  <c r="G42" i="36"/>
  <c r="E42" i="36"/>
  <c r="G41" i="36"/>
  <c r="G40" i="36"/>
  <c r="G39" i="36"/>
  <c r="E7" i="20"/>
  <c r="G4" i="36"/>
  <c r="G3" i="36"/>
  <c r="G2" i="36"/>
  <c r="E26" i="20"/>
  <c r="E25" i="20"/>
  <c r="E9" i="20"/>
  <c r="E8" i="20"/>
  <c r="E6" i="20"/>
  <c r="E5" i="20"/>
  <c r="E2" i="20"/>
  <c r="E24" i="20"/>
  <c r="E4" i="20"/>
  <c r="E3" i="20"/>
  <c r="G2" i="20"/>
  <c r="G3" i="20"/>
  <c r="G4" i="20"/>
  <c r="G5" i="20"/>
  <c r="G6" i="20"/>
  <c r="G9" i="20"/>
  <c r="G8" i="20"/>
  <c r="G24" i="20"/>
  <c r="G25" i="20"/>
  <c r="G26" i="20"/>
  <c r="G7" i="20"/>
  <c r="I75" i="39" l="1"/>
  <c r="G25" i="36"/>
  <c r="G49" i="36"/>
  <c r="G50" i="36" s="1"/>
  <c r="G101" i="43"/>
  <c r="G19" i="41"/>
  <c r="G40" i="20"/>
  <c r="H2" i="28"/>
  <c r="H3" i="28"/>
  <c r="H4" i="28"/>
  <c r="H5" i="28"/>
  <c r="H6" i="28"/>
  <c r="H7" i="28"/>
  <c r="H8" i="28"/>
  <c r="H9" i="28"/>
  <c r="H20" i="28" l="1"/>
</calcChain>
</file>

<file path=xl/sharedStrings.xml><?xml version="1.0" encoding="utf-8"?>
<sst xmlns="http://schemas.openxmlformats.org/spreadsheetml/2006/main" count="1408" uniqueCount="677">
  <si>
    <t>Part Type</t>
  </si>
  <si>
    <t>Description</t>
  </si>
  <si>
    <t>Cut length</t>
  </si>
  <si>
    <t>Quantity Required</t>
  </si>
  <si>
    <t>Pack Order Qty</t>
  </si>
  <si>
    <t>Pack Price $USD</t>
  </si>
  <si>
    <t>*Cost Price $USD</t>
  </si>
  <si>
    <t>Qty in a Pack</t>
  </si>
  <si>
    <t>Order Link</t>
  </si>
  <si>
    <t>Supplier</t>
  </si>
  <si>
    <t>DIN</t>
  </si>
  <si>
    <t>ISO</t>
  </si>
  <si>
    <t>Bearings</t>
  </si>
  <si>
    <t>08x16x5 Bearing 688ZZ</t>
  </si>
  <si>
    <t>688ZZ - 10PCS</t>
  </si>
  <si>
    <t xml:space="preserve">
APE</t>
  </si>
  <si>
    <t>05x16x5 Bearing 625ZZ</t>
  </si>
  <si>
    <t>625ZZ - 10PCS</t>
  </si>
  <si>
    <t>APE</t>
  </si>
  <si>
    <t>16x400 DBX Draw Slides</t>
  </si>
  <si>
    <t>C: Buffer 16in - 40cm</t>
  </si>
  <si>
    <t>Naierdi</t>
  </si>
  <si>
    <t xml:space="preserve">Bearings </t>
  </si>
  <si>
    <t>06x17x6 Bearing F606ZZ</t>
  </si>
  <si>
    <t>F606ZZ - 10PCS</t>
  </si>
  <si>
    <t>04.5mm Bearing Ball</t>
  </si>
  <si>
    <t>OD: 4.5mm G100 - N: 10PCS</t>
  </si>
  <si>
    <t xml:space="preserve">
Gosenballs </t>
  </si>
  <si>
    <t>MGN 12H 350 Linear Rail</t>
  </si>
  <si>
    <t>C: L350 - MGN12H - PL None</t>
  </si>
  <si>
    <t>CNA Mechanical </t>
  </si>
  <si>
    <t>MGN 12H 400 Linear Rail</t>
  </si>
  <si>
    <t>C: L400 - MGN12H - PL Light</t>
  </si>
  <si>
    <t>MGN 9H 400 Linear Rail</t>
  </si>
  <si>
    <t>C: L400 - MGN9H - PL Medium</t>
  </si>
  <si>
    <t>M4x10mm Ball Bearing tapped</t>
  </si>
  <si>
    <t>M4x10 Ball Bearing - 20PCS</t>
  </si>
  <si>
    <t>Mellow</t>
  </si>
  <si>
    <t>Collar</t>
  </si>
  <si>
    <t>05x10 D5 Shaft Collar DIN 705</t>
  </si>
  <si>
    <t>ID: 5x10x6xM3</t>
  </si>
  <si>
    <t>Hui Xing Hardware</t>
  </si>
  <si>
    <t>Electrical</t>
  </si>
  <si>
    <t>Load Cell 5kg</t>
  </si>
  <si>
    <t>Adafruit Industries LLC 4541</t>
  </si>
  <si>
    <t xml:space="preserve">Digikey </t>
  </si>
  <si>
    <t xml:space="preserve">Load cell amplifier </t>
  </si>
  <si>
    <t>SparkFun Electronics 13879</t>
  </si>
  <si>
    <t>ESP32 + Expansion Board</t>
  </si>
  <si>
    <t>ESP32 + Expansion Board Combo</t>
  </si>
  <si>
    <t xml:space="preserve">EZ-Electro </t>
  </si>
  <si>
    <t>Heater Pad - 300x300 750w</t>
  </si>
  <si>
    <t>300x300 750W - 120V/220V - NO GLUE!</t>
  </si>
  <si>
    <t>Keenovo</t>
  </si>
  <si>
    <t>Heater - Cartridge Heater 24v 70W</t>
  </si>
  <si>
    <t>C: 1PC 24V 70W</t>
  </si>
  <si>
    <t>KINGROON</t>
  </si>
  <si>
    <t>GX20 flange mount &amp; Plug 10pin</t>
  </si>
  <si>
    <t>Color: 10Pin</t>
  </si>
  <si>
    <t>MannHwa </t>
  </si>
  <si>
    <t>GX20 flange mount &amp; Plug 6pin</t>
  </si>
  <si>
    <t>Color: 6Pin</t>
  </si>
  <si>
    <t>Temp Sensor PT 1000</t>
  </si>
  <si>
    <t>HT PT1000 Thermistor</t>
  </si>
  <si>
    <t>Mellow 3D</t>
  </si>
  <si>
    <t>Fan - CPAP Blower Robo</t>
  </si>
  <si>
    <t>FAN - STYTJ02YM</t>
  </si>
  <si>
    <t>MIMI Robot Vacuum Store</t>
  </si>
  <si>
    <t>Nema 17 40mm Z motor</t>
  </si>
  <si>
    <t>C: 17HS16 2004S1</t>
  </si>
  <si>
    <t>STEPPERONLINE</t>
  </si>
  <si>
    <t>Nema 17 48 S55 AB motor</t>
  </si>
  <si>
    <t>C: 17HS19-2504S</t>
  </si>
  <si>
    <t>Heater - PTC 24V 300W dbx</t>
  </si>
  <si>
    <t>Color: 24V 300W</t>
  </si>
  <si>
    <t>Tony Tang Store</t>
  </si>
  <si>
    <t xml:space="preserve">DHT 22 temp/humid sensor </t>
  </si>
  <si>
    <t>C: 1PC DHT22 AM2302</t>
  </si>
  <si>
    <t>Wxinko ES</t>
  </si>
  <si>
    <t>GT</t>
  </si>
  <si>
    <t>GT1.5 Timing Belt AB EPDM 9mm</t>
  </si>
  <si>
    <t>W: 9mm-EPDM L: 5M</t>
  </si>
  <si>
    <t>POWGE</t>
  </si>
  <si>
    <t>GT1.5 Timing Pulley 26T 11mm</t>
  </si>
  <si>
    <t>BD: 5mm-Pulley BW: 10mm T: 26T</t>
  </si>
  <si>
    <t>GT2 Gearset 20T(5mm)-80T(5mm) - W: 6mm-200</t>
  </si>
  <si>
    <t>BD: 20T(5mm)-80T(5mm) - W: 6mm-200</t>
  </si>
  <si>
    <t>GT2 Pulley 20T 11mm</t>
  </si>
  <si>
    <t>BD: 5mm BW: 10mm N: 10PCS</t>
  </si>
  <si>
    <t>GT2 Timing Belt Z EPDM 9mm</t>
  </si>
  <si>
    <t>W: red 9mm-EPDM L: 5M</t>
  </si>
  <si>
    <t>Magnet</t>
  </si>
  <si>
    <t>Magnet 20mm 10kg</t>
  </si>
  <si>
    <t>Color: 6PCS S: A20</t>
  </si>
  <si>
    <t xml:space="preserve">
SZ-Ming Store</t>
  </si>
  <si>
    <t>Magnet 06x05 SamCo HT</t>
  </si>
  <si>
    <t>Color: 6x5mm (10Pcs)</t>
  </si>
  <si>
    <t>Superb HW Store</t>
  </si>
  <si>
    <t>Magnet Keeper 20x3</t>
  </si>
  <si>
    <t>Size: 5pcs M4</t>
  </si>
  <si>
    <t>TINGOO HS</t>
  </si>
  <si>
    <t>Melt zone</t>
  </si>
  <si>
    <t>Extruder - BIQU H2 V2X</t>
  </si>
  <si>
    <t>BTT H2 V2X Extruder</t>
  </si>
  <si>
    <t>Big Tree Tech</t>
  </si>
  <si>
    <t>CPAP Part Fan Tube 125C+</t>
  </si>
  <si>
    <t>PFA HT CPAP TUBE</t>
  </si>
  <si>
    <t>YouQin5-oz133 Store</t>
  </si>
  <si>
    <t>Nut</t>
  </si>
  <si>
    <t>M3 Hammer Nut</t>
  </si>
  <si>
    <t>Color: 20-M3</t>
  </si>
  <si>
    <t>BULK-MAN</t>
  </si>
  <si>
    <t>M5 Hammer Nut</t>
  </si>
  <si>
    <t>Color: 20-M5</t>
  </si>
  <si>
    <t>M3 Nut DIN 934</t>
  </si>
  <si>
    <t>S: 25pcs M3</t>
  </si>
  <si>
    <t>M3 Nut Locknut DIN 985</t>
  </si>
  <si>
    <t>S: 10pcs M3</t>
  </si>
  <si>
    <t>M4 Nut DIN 934</t>
  </si>
  <si>
    <t>S: 25pcs M4</t>
  </si>
  <si>
    <t>M4 Nut Locknut</t>
  </si>
  <si>
    <t>S: 10pcs M4</t>
  </si>
  <si>
    <t>M5 Nut DIN 934</t>
  </si>
  <si>
    <t>S: 25pcs M5</t>
  </si>
  <si>
    <t>M5 Nut Locknut</t>
  </si>
  <si>
    <t>S: 10pcs M5</t>
  </si>
  <si>
    <t>Plastic</t>
  </si>
  <si>
    <t>300x300x3mm - PC Sheet</t>
  </si>
  <si>
    <t>S: 300x300x3mm2</t>
  </si>
  <si>
    <t>Shop110</t>
  </si>
  <si>
    <t>Plate</t>
  </si>
  <si>
    <t>350x350x8 Cast AL 5083 - Buildplate</t>
  </si>
  <si>
    <t>Source locally or ask MELLOW</t>
  </si>
  <si>
    <t>TBD</t>
  </si>
  <si>
    <t>Plumbing</t>
  </si>
  <si>
    <t>LC - Extruder radiator 30x30x9.5</t>
  </si>
  <si>
    <t>Color: 30x30</t>
  </si>
  <si>
    <t xml:space="preserve">
Cynzo</t>
  </si>
  <si>
    <t>LC - 04mm ID Barb 1/4"</t>
  </si>
  <si>
    <t>S: 4mm Barb - TS: 1/4"</t>
  </si>
  <si>
    <t xml:space="preserve">
EES Handle Store</t>
  </si>
  <si>
    <t>LC - 06mm ID Barb 1/4"</t>
  </si>
  <si>
    <t>S: 6mm Barb - TS: 1/4"</t>
  </si>
  <si>
    <t>LC - Tubing 4x6 mm IDxOD  5M</t>
  </si>
  <si>
    <t>C: 4x6mm - L: 5M</t>
  </si>
  <si>
    <t>ANHI Store</t>
  </si>
  <si>
    <t>LC - Tubing 6x8mm IDxOD   5M</t>
  </si>
  <si>
    <t>C: 6x8mm - L: 3M</t>
  </si>
  <si>
    <t>LC - Flowmeter</t>
  </si>
  <si>
    <t>Flow Liquid Monitoring LSJ-ZNBJ</t>
  </si>
  <si>
    <t>FREEZEMOD</t>
  </si>
  <si>
    <t>LC - Fan - 120mm</t>
  </si>
  <si>
    <t>P16 RGB Silent Fan 120mm</t>
  </si>
  <si>
    <t>PADO OS</t>
  </si>
  <si>
    <t>LC - Pump</t>
  </si>
  <si>
    <t>C: 65mm-Black</t>
  </si>
  <si>
    <t>SysCooling</t>
  </si>
  <si>
    <t>LC - Radiator 120mm</t>
  </si>
  <si>
    <t>AS120-T 120mm radiator 22mm</t>
  </si>
  <si>
    <t>M5-6 OD Elbow Fitting</t>
  </si>
  <si>
    <t>1 x 5 PCS PL6-M5</t>
  </si>
  <si>
    <t>C: WX-KPC4-M5</t>
  </si>
  <si>
    <t>ZGUA Store</t>
  </si>
  <si>
    <t>Profile</t>
  </si>
  <si>
    <t>15x15x1 Aluminum Tube L: 230mm</t>
  </si>
  <si>
    <t>L: 500mm - S: 15x15x1mm</t>
  </si>
  <si>
    <t xml:space="preserve">	18th Gwningen Store</t>
  </si>
  <si>
    <t>20x20x1 Aluminum Tube L: 410mm</t>
  </si>
  <si>
    <t>L: 500mm - S: 20x20x1mm</t>
  </si>
  <si>
    <t>2020 Joining Plate 90 Deg</t>
  </si>
  <si>
    <t>Color: 2020 (4pcs)</t>
  </si>
  <si>
    <t>2028 L-Bracket</t>
  </si>
  <si>
    <t>Color: 10PCS 2028 Silver</t>
  </si>
  <si>
    <t>HTCC Store</t>
  </si>
  <si>
    <t>Profile 2020</t>
  </si>
  <si>
    <t>X Profile Top Rear</t>
  </si>
  <si>
    <t>Color: L 420mm - 2020</t>
  </si>
  <si>
    <t>HighQ Store</t>
  </si>
  <si>
    <t>Z Center Rear</t>
  </si>
  <si>
    <t>Color: L 368mm - 2020</t>
  </si>
  <si>
    <t>Z Center Rear Top</t>
  </si>
  <si>
    <t>Color: L 172mm - 2020</t>
  </si>
  <si>
    <t>Profile 2040</t>
  </si>
  <si>
    <t>X Length Profile</t>
  </si>
  <si>
    <t>Color: L 420mm - 2040</t>
  </si>
  <si>
    <t>Y Length Profile</t>
  </si>
  <si>
    <t>Color: L 480mm - 2040</t>
  </si>
  <si>
    <t>Z Height Profile</t>
  </si>
  <si>
    <t>Color: L 750mm - 2040</t>
  </si>
  <si>
    <t>Screw</t>
  </si>
  <si>
    <t>M3x03 Set Screw DIN 913</t>
  </si>
  <si>
    <t>S: 50pcs M3 - L: 3mm</t>
  </si>
  <si>
    <t>M3x08 BH ISO 7380</t>
  </si>
  <si>
    <t>S: 25pcs M3 - L: 8mm</t>
  </si>
  <si>
    <t>M3x08 FH DIN 7991</t>
  </si>
  <si>
    <t>M3x08 SH DIN 912 ISO 4762</t>
  </si>
  <si>
    <t>S: 10pcs M3 - L: 8mm</t>
  </si>
  <si>
    <t>M3x10 SH DIN 912 ISO 4762</t>
  </si>
  <si>
    <t>S: 10pcs M3 - L: 10mm</t>
  </si>
  <si>
    <t>M3x12 SH DIN 912 ISO 4762</t>
  </si>
  <si>
    <t>S: 10pcs M3 - L: 12mm</t>
  </si>
  <si>
    <t>M3x20 SH Din 912</t>
  </si>
  <si>
    <t>S: 10pcs M3 - L: 20mm</t>
  </si>
  <si>
    <t>M4x14 SH DIN 912 ISO 4762</t>
  </si>
  <si>
    <t>S: 10pcs M3 - L: 14mm</t>
  </si>
  <si>
    <t>M4x16 D5 Shoulder Screw</t>
  </si>
  <si>
    <t>S: D5-M4 L: 16</t>
  </si>
  <si>
    <t>M4x20 FH DIN 7991</t>
  </si>
  <si>
    <t>S: 10pcs M4 - L: 20mm</t>
  </si>
  <si>
    <t>M4x25 FH DIN 7991</t>
  </si>
  <si>
    <t>S: 10pcs M4 - L: 25mm</t>
  </si>
  <si>
    <t>M4x35 HEX ISO 4017 DIN 933</t>
  </si>
  <si>
    <t>S: 10PCS M4 - L: 35mm</t>
  </si>
  <si>
    <t>M4x50 FH DIN 7991</t>
  </si>
  <si>
    <t>S: 10pcs M4 - L: 50mm</t>
  </si>
  <si>
    <t>M4x55 D5 Shoulder Screw</t>
  </si>
  <si>
    <t>S: 5PCS 5-M4 - L: 55mm</t>
  </si>
  <si>
    <t>M5x10 BH ISO 7380</t>
  </si>
  <si>
    <t>S: 10pcs M5 - L: 10mm</t>
  </si>
  <si>
    <t>M5x16 BH ISO 7380</t>
  </si>
  <si>
    <t>S: 10pcs M5 - L: 16mm</t>
  </si>
  <si>
    <t>M5x20 BH ISO 7380</t>
  </si>
  <si>
    <t>S: 10pcs M5 - L: 20mm</t>
  </si>
  <si>
    <t>M5x20 HEX ISO 4017 DIN 933</t>
  </si>
  <si>
    <t>S: 10Pcs M5 - L: 20mm</t>
  </si>
  <si>
    <t>M5x30 BH ISO 7380</t>
  </si>
  <si>
    <t>S: 10pcs M5 - L: 30mm</t>
  </si>
  <si>
    <t>M5x30 HEX ISO 4017 DIN 933</t>
  </si>
  <si>
    <t>S: 10Pcs M5 - L: 30mm</t>
  </si>
  <si>
    <t>M5x40 HEX ISO 4017 DIN 933</t>
  </si>
  <si>
    <t>S: 10Pcs M5 - L: 40mm</t>
  </si>
  <si>
    <t>M5x55 HEX ISO 4017 DIN 933</t>
  </si>
  <si>
    <t>S: 10Pcs M5 - L: 55mm</t>
  </si>
  <si>
    <t>M6x10 BH ISO 7380</t>
  </si>
  <si>
    <t>S: 10pcs M6 - L: 10mm</t>
  </si>
  <si>
    <t>Shaft</t>
  </si>
  <si>
    <t>05x40 Bearing Shaft</t>
  </si>
  <si>
    <t>S: 5x40 - 20PCS</t>
  </si>
  <si>
    <t>HE Material Store</t>
  </si>
  <si>
    <t>05x50 Bearing Shaft</t>
  </si>
  <si>
    <t>S: 5x50 - 20PCS</t>
  </si>
  <si>
    <t>06x25 Bearing Shaft</t>
  </si>
  <si>
    <t>6x25 - 20PCS</t>
  </si>
  <si>
    <t>06x40 Bearing Shaft</t>
  </si>
  <si>
    <t>6x40 - 20PCS</t>
  </si>
  <si>
    <t>03x25 Bearing shaft</t>
  </si>
  <si>
    <t>D: 10PCS M3 - L: 25mm</t>
  </si>
  <si>
    <t>08x400  Stainless Steel Rod - Door Link</t>
  </si>
  <si>
    <t>L: 400 D: 8mm</t>
  </si>
  <si>
    <t>YUNSHUO</t>
  </si>
  <si>
    <t>Shim</t>
  </si>
  <si>
    <t>M5x08x1 Precision Shim</t>
  </si>
  <si>
    <t>M5x8x1mm - 50PCS</t>
  </si>
  <si>
    <t>M6x12x1 Precision Shim</t>
  </si>
  <si>
    <t>ID: M6x12x50PCS OD: 1mm</t>
  </si>
  <si>
    <t>M8x14x1 Precision Shim</t>
  </si>
  <si>
    <t>ID: M8x14x50PCS OD: 1mm</t>
  </si>
  <si>
    <t>Spring</t>
  </si>
  <si>
    <t xml:space="preserve">07x10 Spring 0.4 WD </t>
  </si>
  <si>
    <t>L: 10mm(10pcs) - WD: 0.4 - OD: 7mm</t>
  </si>
  <si>
    <t>AZ-hardware Store</t>
  </si>
  <si>
    <t>Washer</t>
  </si>
  <si>
    <t>M3 Washer DIN 125</t>
  </si>
  <si>
    <t>ID: M3 50pcs</t>
  </si>
  <si>
    <t>M4 Washer DIN 125</t>
  </si>
  <si>
    <t>ID: M4 50pcs</t>
  </si>
  <si>
    <t>M5 Washer DIN 125</t>
  </si>
  <si>
    <t>ID: M5 50pcs</t>
  </si>
  <si>
    <t>Price exl Taxes</t>
  </si>
  <si>
    <t>*shipping cost may vary</t>
  </si>
  <si>
    <t>Part name</t>
  </si>
  <si>
    <t>BOM Quantity</t>
  </si>
  <si>
    <t>Pack Quantity</t>
  </si>
  <si>
    <t>Part Link</t>
  </si>
  <si>
    <t>Unit Price</t>
  </si>
  <si>
    <t>Line Price</t>
  </si>
  <si>
    <t>2020 T-Slot Profile</t>
  </si>
  <si>
    <t>X Top Rear</t>
  </si>
  <si>
    <t>2040 T-Slot Profile</t>
  </si>
  <si>
    <t>2820 L-Bracket</t>
  </si>
  <si>
    <t>Corner Bracket</t>
  </si>
  <si>
    <t>Joining Plate 90 Deg</t>
  </si>
  <si>
    <t>Joining plate 90</t>
  </si>
  <si>
    <t>M5 Nut Hammer Nut</t>
  </si>
  <si>
    <t>See HW List</t>
  </si>
  <si>
    <t>M5 WASHER DIN 125</t>
  </si>
  <si>
    <t>V2 Center Z Support Bracket_1x</t>
  </si>
  <si>
    <t>Print</t>
  </si>
  <si>
    <t>V2 DoorStop_4x</t>
  </si>
  <si>
    <t>Print/Buy</t>
  </si>
  <si>
    <t>V2 Leg Base_4x</t>
  </si>
  <si>
    <t>V2 Leg Nut_4x</t>
  </si>
  <si>
    <t>Sum Frame Parts - Excl. HW</t>
  </si>
  <si>
    <t>I appreciate any support of the development:</t>
  </si>
  <si>
    <t>Buy Me a Coffee</t>
  </si>
  <si>
    <t>By Patreon</t>
  </si>
  <si>
    <t>By PayPal</t>
  </si>
  <si>
    <t>Development Team</t>
  </si>
  <si>
    <t>Roy Berntsen - NO</t>
  </si>
  <si>
    <t>Lead Engineering Designer</t>
  </si>
  <si>
    <t>Mark Bridgewater - NZ</t>
  </si>
  <si>
    <t>Co Designer/Consultant</t>
  </si>
  <si>
    <t>Chris Lombardi - US</t>
  </si>
  <si>
    <t>Technical Consultant</t>
  </si>
  <si>
    <t>Pack Order Quantity</t>
  </si>
  <si>
    <t>06x12x1 Precision Shim</t>
  </si>
  <si>
    <t>20x20x1 X Axis AL Tube 410</t>
  </si>
  <si>
    <t>GT1.5 Pulley 26T 11mm</t>
  </si>
  <si>
    <t>GT1.5 Timing Belt AB</t>
  </si>
  <si>
    <t>M3 Nut Hammer Nut</t>
  </si>
  <si>
    <t>M3 Nut Lock Nut DIN 985</t>
  </si>
  <si>
    <t>M3 Washer  DIN 125 ISO 7089</t>
  </si>
  <si>
    <t>M3x16 BH ISO 7380</t>
  </si>
  <si>
    <t>M5 LOCK NUT</t>
  </si>
  <si>
    <t>M5 Nut DIN</t>
  </si>
  <si>
    <t>MGN12H 400</t>
  </si>
  <si>
    <t>MGN9H 400</t>
  </si>
  <si>
    <t>Nema 17 48 S55</t>
  </si>
  <si>
    <t>V2 AB Brace_1x</t>
  </si>
  <si>
    <t>V2 AB Idler Spacer_4x</t>
  </si>
  <si>
    <t>V2 Brace Bearing Buddy_2x</t>
  </si>
  <si>
    <t>V2 Idler Bracket Front A_1X</t>
  </si>
  <si>
    <t>V2 Idler Bracket Front B_1X</t>
  </si>
  <si>
    <t>V2 Idler Bracket Rear AB_2X</t>
  </si>
  <si>
    <t>V2 Idler Tension Tower_A_1x</t>
  </si>
  <si>
    <t>V2 Idler Tension Tower_B_1x</t>
  </si>
  <si>
    <t>V2 Motor Bracket AB</t>
  </si>
  <si>
    <t>V2 Tension Fork Smooth_2x</t>
  </si>
  <si>
    <t>V2 Toolhead_1x</t>
  </si>
  <si>
    <t>See Toolhead BOM</t>
  </si>
  <si>
    <t>V2 Y Carrier A_1x</t>
  </si>
  <si>
    <t>V2 Y Carrier B_1x</t>
  </si>
  <si>
    <t>Sum AB Parts - Excl. HW</t>
  </si>
  <si>
    <t>Extruder radiator 30x30x9.5</t>
  </si>
  <si>
    <t xml:space="preserve">Fan 24V  - CPAP  cooler 4020 </t>
  </si>
  <si>
    <t xml:space="preserve">CPAP  bracket and fan mount </t>
  </si>
  <si>
    <t>to be designed</t>
  </si>
  <si>
    <t>CPAP Tube HT</t>
  </si>
  <si>
    <t xml:space="preserve">M3 Nut DIN 934 </t>
  </si>
  <si>
    <t>M3 Washer DIN 125 ISO 7089</t>
  </si>
  <si>
    <t>M3x03  Set Screw  DIN 913</t>
  </si>
  <si>
    <t>M3x10 SH DIN 912</t>
  </si>
  <si>
    <t>M3x12 SH DIN 912</t>
  </si>
  <si>
    <t xml:space="preserve">M3x20 HEX DIN 933 </t>
  </si>
  <si>
    <t>M3x25 Bearing shaft</t>
  </si>
  <si>
    <t xml:space="preserve">Ø7x10 Spring 0.4 WD </t>
  </si>
  <si>
    <t>V2 Extruder cable buddy_1x</t>
  </si>
  <si>
    <t>V2 FlintZone Probe_1x</t>
  </si>
  <si>
    <t>V2 FlintZone_1x</t>
  </si>
  <si>
    <t>V2 Part Fan CPAP Chimney_1x</t>
  </si>
  <si>
    <t>V2 Part Fan Duct_1x</t>
  </si>
  <si>
    <t>V2 Toolhead Cover_1x</t>
  </si>
  <si>
    <t>V2 Valkyrie Tool Plate _1x</t>
  </si>
  <si>
    <t>Sum Toolhead Parts - Excl. HW</t>
  </si>
  <si>
    <t>MOTHEND HOTEND BOM</t>
  </si>
  <si>
    <t>Heater Block Copper NF-Crazy</t>
  </si>
  <si>
    <t>NF-Crazy Heater Block</t>
  </si>
  <si>
    <t>Heater Cartridge</t>
  </si>
  <si>
    <t>Color: 1PC 24V 70W</t>
  </si>
  <si>
    <t>M5-6OD Elbow Fitting</t>
  </si>
  <si>
    <t>Color: WX-KPC4-M5</t>
  </si>
  <si>
    <t>Mothend Ball plug Ø4.5</t>
  </si>
  <si>
    <t>Mothend V2</t>
  </si>
  <si>
    <t>PCBWay</t>
  </si>
  <si>
    <t>NF crazy Screw Kit</t>
  </si>
  <si>
    <t>Color: SET6</t>
  </si>
  <si>
    <t>NF crazy Tubes Kit</t>
  </si>
  <si>
    <t>Color: SET2</t>
  </si>
  <si>
    <t>Nozzle V6 Hardened 0.6</t>
  </si>
  <si>
    <t>Size: 0.6 1PC 1.75mm</t>
  </si>
  <si>
    <t>PT 1000 - 1.3M</t>
  </si>
  <si>
    <t>PT1000 Thermistor</t>
  </si>
  <si>
    <t>V6 Bimetal Heatbreak</t>
  </si>
  <si>
    <t>Color: 1PC smooth</t>
  </si>
  <si>
    <t>Sum Mothend Parts - Excl. HW</t>
  </si>
  <si>
    <t>Toolhead Total - Excl. HW</t>
  </si>
  <si>
    <t>Do we need to add the rest of the cooling system into this BOM</t>
  </si>
  <si>
    <t>05x16x05 625-2ZZ Bearing</t>
  </si>
  <si>
    <t xml:space="preserve">GT2 EPDM 10mm +135℃ </t>
  </si>
  <si>
    <t>GT2 Pulley 20T 7mm</t>
  </si>
  <si>
    <t>GT2 Pulley 80T 7mm</t>
  </si>
  <si>
    <t>GT2 Z Belt Gear  box  ABC   200mm</t>
  </si>
  <si>
    <t>300x300 750W-120V/220V-NO GLUE!</t>
  </si>
  <si>
    <t>M3 Nut Lock Nut</t>
  </si>
  <si>
    <t>M3 Washer DIN 433 ISO 7092</t>
  </si>
  <si>
    <t>M3x20 SH DIN 912 ISO 4762</t>
  </si>
  <si>
    <t>M4 D5 L55 Shoulder Screw</t>
  </si>
  <si>
    <t>M4 LOCK NUT</t>
  </si>
  <si>
    <t>M4 Ø10 Ball tapped</t>
  </si>
  <si>
    <t>M5x20 HEX DIN 933 ISO 4017</t>
  </si>
  <si>
    <t>M5x7x1 Precision Shim</t>
  </si>
  <si>
    <t>MGN12H 350 Linear Rail</t>
  </si>
  <si>
    <t>Nema 17 40mm</t>
  </si>
  <si>
    <t>V2 Gearbox Cover A_1x</t>
  </si>
  <si>
    <t>V2 Gearbox Cover B_1x</t>
  </si>
  <si>
    <t>V2 Gearbox Cover C_1x</t>
  </si>
  <si>
    <t>V2 Z AB Belt Clamp_2x</t>
  </si>
  <si>
    <t>V2 Z C Belt Clamp_1x</t>
  </si>
  <si>
    <t>V2 Z Carrier Front A_1x</t>
  </si>
  <si>
    <t>V2 Z Carrier Front B_1x</t>
  </si>
  <si>
    <t>V2 Z Carrier Rear_1x</t>
  </si>
  <si>
    <t>V2 Z Gearbox  Bracket A_1x</t>
  </si>
  <si>
    <t>V2 Z Gearbox  Bracket B_1x</t>
  </si>
  <si>
    <t>V2 Z Gearbox  Bracket C_1x</t>
  </si>
  <si>
    <t>V2 Z Idler Pulley Fork_3x</t>
  </si>
  <si>
    <t>V2 Z Idler Tower A_1x</t>
  </si>
  <si>
    <t>V2 Z Idler Tower B_1x</t>
  </si>
  <si>
    <t>V2 Z Idler Tower C_1x</t>
  </si>
  <si>
    <t>Sum Z System Parts - Excl. HW</t>
  </si>
  <si>
    <t>08x400 Doorlink Steel Rod</t>
  </si>
  <si>
    <t>HW</t>
  </si>
  <si>
    <t>15x15 Aluminum Tube  230mm</t>
  </si>
  <si>
    <t>Polycarbonate 3mm</t>
  </si>
  <si>
    <t>M3x12 CS DIN965</t>
  </si>
  <si>
    <t>M4 NUT</t>
  </si>
  <si>
    <t>M4x12 FH CS DIN 7991 ISO 10642</t>
  </si>
  <si>
    <t>M4x20 FH CS DIN 7991 ISO 10642</t>
  </si>
  <si>
    <t>M4x50 CS DIN 7991 ISO 10642</t>
  </si>
  <si>
    <t>M5x40 HEX DIN 931</t>
  </si>
  <si>
    <t>M5x55 HEX DIN 931 ISO 4014</t>
  </si>
  <si>
    <t>V2 AB Motor Pocket Cover_1x</t>
  </si>
  <si>
    <t>Printed</t>
  </si>
  <si>
    <t>V2 Base Plate_1x</t>
  </si>
  <si>
    <t>MDF Base Plate  12 mm</t>
  </si>
  <si>
    <t>Source Locally</t>
  </si>
  <si>
    <t>V2 Cable Gland Insert_2x</t>
  </si>
  <si>
    <t>V2 Cable Gland Nut_1x</t>
  </si>
  <si>
    <t>V2 Cable Gland Tube_1x</t>
  </si>
  <si>
    <t>V2 Door Arm Hand  AB_4x</t>
  </si>
  <si>
    <t>V2 Door Arm Lower Elbow AB_2x</t>
  </si>
  <si>
    <t>V2 Door Arm Upper Elbow A_1x</t>
  </si>
  <si>
    <t>V2 Door Arm Upper Elbow B_1x</t>
  </si>
  <si>
    <t>V2 Door Handle A_1x</t>
  </si>
  <si>
    <t>V2 Door Handle B_1x</t>
  </si>
  <si>
    <t>V2 Door Magnet Bracket Lower_2x</t>
  </si>
  <si>
    <t>V2 Doorhinge Side Bracket A_1x</t>
  </si>
  <si>
    <t>V2 Doorhinge Side Bracket B_1x</t>
  </si>
  <si>
    <t>V2 Doorhinge Upper Bracket A_1x</t>
  </si>
  <si>
    <t>V2 Doorhinge Upper Bracket B_1x</t>
  </si>
  <si>
    <t>V2 GX20 Bracket_1x</t>
  </si>
  <si>
    <t>V2 GX20 Cover_1x</t>
  </si>
  <si>
    <t>V2 Insulation Base</t>
  </si>
  <si>
    <t>PIR 30mm</t>
  </si>
  <si>
    <t>V2 Insulation Door</t>
  </si>
  <si>
    <t>V2 Insulation Rear</t>
  </si>
  <si>
    <t>V2 Insulation Side A</t>
  </si>
  <si>
    <t>V2 Insulation Side B</t>
  </si>
  <si>
    <t>V2 Insulation Top</t>
  </si>
  <si>
    <t>V2 Panel Door Front</t>
  </si>
  <si>
    <t>ACM</t>
  </si>
  <si>
    <t>V2 Panel Door Side</t>
  </si>
  <si>
    <t>V2 Panel Door Top</t>
  </si>
  <si>
    <t>V2 Panel Rear Lower</t>
  </si>
  <si>
    <t>V2 Panel Rear Upper</t>
  </si>
  <si>
    <t>V2 Panel Side A Lower</t>
  </si>
  <si>
    <t>V2 Panel Side A Upper</t>
  </si>
  <si>
    <t>V2 Panel Side B Lower</t>
  </si>
  <si>
    <t>V2 Panel Side B Upper</t>
  </si>
  <si>
    <t>V2 Panel Spacer_6x</t>
  </si>
  <si>
    <t>V2 Panel Top</t>
  </si>
  <si>
    <t>V2 Window Frame Inner_2x</t>
  </si>
  <si>
    <t>V2 Window Frame Outer_1x</t>
  </si>
  <si>
    <t>Bearing 625ZZ 5-16-5</t>
  </si>
  <si>
    <t>dbx bottom _1x 9mm MDF/Ply</t>
  </si>
  <si>
    <t>MDF/PLYWOOD</t>
  </si>
  <si>
    <t>Buy</t>
  </si>
  <si>
    <t>DBX Drawer Slides 11435A14</t>
  </si>
  <si>
    <t>dbx front_1x 9mm MDF/Ply</t>
  </si>
  <si>
    <t>dbx insulation bottom_1x</t>
  </si>
  <si>
    <t>dbx insulation front_1x</t>
  </si>
  <si>
    <t>dbx insulation Lid 1x</t>
  </si>
  <si>
    <t>dbx insulation rear_1x</t>
  </si>
  <si>
    <t>dbx insulation side_2x</t>
  </si>
  <si>
    <t>dbx lid_1x 9mm MDF/Ply</t>
  </si>
  <si>
    <t>dbx rear_1x 9mm MDF/Ply</t>
  </si>
  <si>
    <t>dbx side_2x 9mm MDF/Ply</t>
  </si>
  <si>
    <t>DHT 22 temp/humid sensor BME280?</t>
  </si>
  <si>
    <t xml:space="preserve">ESP32  Expansion Board </t>
  </si>
  <si>
    <t>ESP32 DEV board</t>
  </si>
  <si>
    <t>Load cell amplifier Holder</t>
  </si>
  <si>
    <t>Load cell amplifier HX711</t>
  </si>
  <si>
    <t>M4 WASHER  DIN 125 iso 7089</t>
  </si>
  <si>
    <t>M4.2 x25 Pan Hd DIN 7981</t>
  </si>
  <si>
    <t>M4x35 HEX DIN 933 ISO 4017</t>
  </si>
  <si>
    <t xml:space="preserve">MR85 ZZ Bearing  5x8x2,5 </t>
  </si>
  <si>
    <t>PTC 300W Heater (400W?) +24v fan</t>
  </si>
  <si>
    <t>V2 Carousel Bearing Plate_1x</t>
  </si>
  <si>
    <t>V2 dbx Aligning Spacer_2x</t>
  </si>
  <si>
    <t>V2 dbx draw handle_1x</t>
  </si>
  <si>
    <t>V2 desiccant Buddy_1x</t>
  </si>
  <si>
    <t>V2 desiccant container_1x</t>
  </si>
  <si>
    <t>V2 desiccant Knob_1x</t>
  </si>
  <si>
    <t>V2 desiccant Lid_1x</t>
  </si>
  <si>
    <t>V2 Drybox Draw Brackets_4x</t>
  </si>
  <si>
    <t xml:space="preserve">V2 Drybox Draw Front </t>
  </si>
  <si>
    <t>V2 Esp 32 dev board Holder_1x</t>
  </si>
  <si>
    <t>V2 Inner ring under_1x</t>
  </si>
  <si>
    <t>V2 Loadcell Spacer_1x</t>
  </si>
  <si>
    <t>V2 Outer Ring_1x</t>
  </si>
  <si>
    <t>V2 PTC Heater bracket_1x</t>
  </si>
  <si>
    <t>V2 Spool adapter_1x</t>
  </si>
  <si>
    <t>V2 unspool_ring_1x</t>
  </si>
  <si>
    <t>Sum Drybox Parts - Excl. HW</t>
  </si>
  <si>
    <t>LC - 1/4" Barb - 4mm</t>
  </si>
  <si>
    <t>Barb for 4mm ID tube</t>
  </si>
  <si>
    <t>Size: 4mm Barb - TS: 1/4"</t>
  </si>
  <si>
    <t>LC - 1/4" Barb - 6mm</t>
  </si>
  <si>
    <t>Barb for 6mm ID tube</t>
  </si>
  <si>
    <t>Size: 6mm Barb - TS: 1/4"</t>
  </si>
  <si>
    <t>Color: Black</t>
  </si>
  <si>
    <t>P67D DC 12V LC pump</t>
  </si>
  <si>
    <t>LC - Tubing 4x6mm IDxOD</t>
  </si>
  <si>
    <t>Color: 4x6 5 meter</t>
  </si>
  <si>
    <t>Color: 4X6mm - L: 5M</t>
  </si>
  <si>
    <t>LC - Tubing 6x8mm IDxOD</t>
  </si>
  <si>
    <t>Color: 6x8 5 meter</t>
  </si>
  <si>
    <t>Color: 6x8mm - L: 3M</t>
  </si>
  <si>
    <t>M3 Washer  DIN 125 iso 7089</t>
  </si>
  <si>
    <t>V2 Pump Bracket A_1x</t>
  </si>
  <si>
    <t>V2 pump bracket B_1x</t>
  </si>
  <si>
    <t>V2 Radiator Bracket_2x</t>
  </si>
  <si>
    <t>Sum LC Parts - Excl. HW</t>
  </si>
  <si>
    <t xml:space="preserve">update </t>
  </si>
  <si>
    <t>12V DC  35W meanwell</t>
  </si>
  <si>
    <t>Output Voltage: LRS-35-12</t>
  </si>
  <si>
    <t>24V DC 350W meanwell</t>
  </si>
  <si>
    <t>Output Voltage: LRS-350-24</t>
  </si>
  <si>
    <t xml:space="preserve">tepperonline </t>
  </si>
  <si>
    <t>https://www.aliexpress.com/item/1005005439330497.html?</t>
  </si>
  <si>
    <t>24v led strip 5M</t>
  </si>
  <si>
    <t>Color: DC 24V - L: 5M</t>
  </si>
  <si>
    <t xml:space="preserve">Aluminium sheet  for SSR etc </t>
  </si>
  <si>
    <t>cable Black</t>
  </si>
  <si>
    <t>AWG 28</t>
  </si>
  <si>
    <t>https://www.aliexpress.com/item/1005001980629942.html?</t>
  </si>
  <si>
    <t xml:space="preserve">Skycable store </t>
  </si>
  <si>
    <t xml:space="preserve">cable red </t>
  </si>
  <si>
    <t>cable White</t>
  </si>
  <si>
    <t>cable black</t>
  </si>
  <si>
    <t>AWG 22</t>
  </si>
  <si>
    <t>cable blue</t>
  </si>
  <si>
    <t>cable green</t>
  </si>
  <si>
    <t>cable white</t>
  </si>
  <si>
    <t>AWG 20</t>
  </si>
  <si>
    <t xml:space="preserve">PET Braid sleeve </t>
  </si>
  <si>
    <t>https://www.aliexpress.com/item/1005007376443518.html?</t>
  </si>
  <si>
    <t>2:1 Heat Shrink Tube </t>
  </si>
  <si>
    <t>3mm</t>
  </si>
  <si>
    <t>https://www.aliexpress.com/item/1005004178876207.html?</t>
  </si>
  <si>
    <t>4mm</t>
  </si>
  <si>
    <t>8mm</t>
  </si>
  <si>
    <t>control Board Octopus/duet 6hc</t>
  </si>
  <si>
    <t>Color: Duet 3 6HC</t>
  </si>
  <si>
    <t xml:space="preserve">control board printed parts </t>
  </si>
  <si>
    <t xml:space="preserve">printed </t>
  </si>
  <si>
    <t>Heater PTC 800W Chamber</t>
  </si>
  <si>
    <t>Color: EU</t>
  </si>
  <si>
    <t xml:space="preserve">IEC extension lead </t>
  </si>
  <si>
    <t>https://www.aliexpress.com/item/1005007983330782.html?</t>
  </si>
  <si>
    <t xml:space="preserve">eed to find in one of our current suppliers </t>
  </si>
  <si>
    <t>Power IEC + switch AC 15A </t>
  </si>
  <si>
    <t>https://www.digikey.co.nz/en/products/detail/te-connectivity-corcom-filters/1-1609112-2/2292077</t>
  </si>
  <si>
    <t>Digikey</t>
  </si>
  <si>
    <t>Fuse holder  15A</t>
  </si>
  <si>
    <t>https://www.digikey.co.nz/en/products/detail/optifuse/PMA-DB-04-Q1S/13146953</t>
  </si>
  <si>
    <t>10A Fuse</t>
  </si>
  <si>
    <t>https://www.digikey.co.nz/en/products/detail/schurter-inc/8020-5078/6588337</t>
  </si>
  <si>
    <t>Solid State Relay</t>
  </si>
  <si>
    <t>DC5-24V Solid State Relay</t>
  </si>
  <si>
    <t>terminal block kit  UK2.5</t>
  </si>
  <si>
    <t>Din Rail Terminal Block</t>
  </si>
  <si>
    <t>Sum Electronic Parts - Excl. HW</t>
  </si>
  <si>
    <t>Connections for the heated chamber and Bed</t>
  </si>
  <si>
    <t>4Pin</t>
  </si>
  <si>
    <t>Wire Size Type</t>
  </si>
  <si>
    <t xml:space="preserve">Device </t>
  </si>
  <si>
    <t>Link</t>
  </si>
  <si>
    <t>Live 230 AC</t>
  </si>
  <si>
    <t>0.75 150C  rated</t>
  </si>
  <si>
    <t xml:space="preserve">Heated Bed </t>
  </si>
  <si>
    <t>https://www.aliexpress.com/item/4001156204533.html</t>
  </si>
  <si>
    <t xml:space="preserve">Neutral </t>
  </si>
  <si>
    <t>Heated Bead</t>
  </si>
  <si>
    <t>Earth</t>
  </si>
  <si>
    <t>Earth on Bed</t>
  </si>
  <si>
    <t>N/C</t>
  </si>
  <si>
    <t>10 Pin</t>
  </si>
  <si>
    <t>use supplied</t>
  </si>
  <si>
    <t xml:space="preserve">Thermistor Heated Bed </t>
  </si>
  <si>
    <t>20 awg</t>
  </si>
  <si>
    <t>Anvil probe</t>
  </si>
  <si>
    <t>https://www.aliexpress.com/item/1005008286646195.html</t>
  </si>
  <si>
    <t xml:space="preserve">Anvil probe </t>
  </si>
  <si>
    <t>used supplied</t>
  </si>
  <si>
    <t xml:space="preserve">Chamber  Thermistor </t>
  </si>
  <si>
    <t>chamber heater fan if required +</t>
  </si>
  <si>
    <t>chamber heater fan if required -</t>
  </si>
  <si>
    <t xml:space="preserve">LEDS Chamber + </t>
  </si>
  <si>
    <t>LEDS Chamber  -</t>
  </si>
  <si>
    <t xml:space="preserve">Wire </t>
  </si>
  <si>
    <t xml:space="preserve">Chamber Heater </t>
  </si>
  <si>
    <t>connectors</t>
  </si>
  <si>
    <t>https://www.aliexpress.com/item/32953795713.html</t>
  </si>
  <si>
    <t xml:space="preserve">Things still to do </t>
  </si>
  <si>
    <t xml:space="preserve">owner </t>
  </si>
  <si>
    <t>status</t>
  </si>
  <si>
    <t xml:space="preserve">options </t>
  </si>
  <si>
    <t xml:space="preserve">Find HT magnets for door  ( might have to make a holder for SMCO's instead of pot magnets) </t>
  </si>
  <si>
    <t>mark/Roy</t>
  </si>
  <si>
    <t>going to use Nynodinum for now</t>
  </si>
  <si>
    <t>20mm neodynium POT magnet in the oven at 115C for 2 hours it seems ok,</t>
  </si>
  <si>
    <t xml:space="preserve">Finish Fitstone Docking Station </t>
  </si>
  <si>
    <t>Roy</t>
  </si>
  <si>
    <t xml:space="preserve">in Design </t>
  </si>
  <si>
    <t xml:space="preserve">Finish Brushing Station </t>
  </si>
  <si>
    <t xml:space="preserve">Test new  CPAP fan  </t>
  </si>
  <si>
    <t>Mark</t>
  </si>
  <si>
    <t>tested</t>
  </si>
  <si>
    <t>will need external fan 4020  to keep PCB cool</t>
  </si>
  <si>
    <t xml:space="preserve">Cpap  duct  redesign </t>
  </si>
  <si>
    <t xml:space="preserve">Roy </t>
  </si>
  <si>
    <t>needs printing /testing / In progress</t>
  </si>
  <si>
    <t xml:space="preserve">magnet layout on heated bed  </t>
  </si>
  <si>
    <t xml:space="preserve">mark </t>
  </si>
  <si>
    <t>completed</t>
  </si>
  <si>
    <t xml:space="preserve">Test new Chamber  Heater &amp; Fan </t>
  </si>
  <si>
    <t xml:space="preserve">ordered awaiting parts </t>
  </si>
  <si>
    <t>Mark to Find  HT Fan for chamber heater  or use external motor  as per Roys previous design.</t>
  </si>
  <si>
    <t>New  Flintstone probe  BOM to be updated.</t>
  </si>
  <si>
    <t>Hotend BOM to be completed in Tool head.</t>
  </si>
  <si>
    <t xml:space="preserve">Dry Box BOM  to be finalised. </t>
  </si>
  <si>
    <t xml:space="preserve">completed </t>
  </si>
  <si>
    <t xml:space="preserve">Electrical BOM  to be completed </t>
  </si>
  <si>
    <t xml:space="preserve">ESP32  buddy </t>
  </si>
  <si>
    <t xml:space="preserve">Load cell amplifier buddy </t>
  </si>
  <si>
    <t>mark</t>
  </si>
  <si>
    <t xml:space="preserve">finally  finish the Hardware BOM  when all above done </t>
  </si>
  <si>
    <r>
      <rPr>
        <sz val="11"/>
        <color rgb="FF000000"/>
        <rFont val="Calibri"/>
      </rPr>
      <t>update  Git Hub  pre release  B</t>
    </r>
    <r>
      <rPr>
        <b/>
        <sz val="11"/>
        <color rgb="FF000000"/>
        <rFont val="Calibri"/>
      </rPr>
      <t xml:space="preserve">OM </t>
    </r>
  </si>
  <si>
    <t>Quantity M</t>
  </si>
  <si>
    <t>Column1</t>
  </si>
  <si>
    <t>Column2</t>
  </si>
  <si>
    <t>HT cable  Red  0.xmm</t>
  </si>
  <si>
    <t>HT cable  Black  0.xmm</t>
  </si>
  <si>
    <t>HT cable  Green  0.xmm</t>
  </si>
  <si>
    <t>HT cable  Blue  0.xmm</t>
  </si>
  <si>
    <t>HT cable  white 0.xmm</t>
  </si>
  <si>
    <t xml:space="preserve">EPDM foam </t>
  </si>
  <si>
    <t>Door seal / Dry Box</t>
  </si>
  <si>
    <t>Heat Shrink Tubing  ?mm</t>
  </si>
  <si>
    <t xml:space="preserve">Tools required </t>
  </si>
  <si>
    <t xml:space="preserve">Square </t>
  </si>
  <si>
    <t>Allen keys</t>
  </si>
  <si>
    <t xml:space="preserve">steel Rule or  Equiverlant </t>
  </si>
  <si>
    <t xml:space="preserve">G or F clamp </t>
  </si>
  <si>
    <t>Spanner  AF</t>
  </si>
  <si>
    <t xml:space="preserve">Drill and drill bits </t>
  </si>
  <si>
    <t xml:space="preserve">solder iron and solder </t>
  </si>
  <si>
    <t xml:space="preserve">crimp tool for  control board connection </t>
  </si>
  <si>
    <t xml:space="preserve">05x16x5 Bearing 625ZZ </t>
  </si>
  <si>
    <t xml:space="preserve">08x16x5 Bearing 688ZZ </t>
  </si>
  <si>
    <t xml:space="preserve">M3 Washer DIN 125 </t>
  </si>
  <si>
    <t xml:space="preserve">M3x05 Set Screw DIN 913 </t>
  </si>
  <si>
    <t xml:space="preserve">M4x16 D5 Shoulder Screw </t>
  </si>
  <si>
    <t>M4 NUT DIN 934</t>
  </si>
  <si>
    <t>M4 WASHER DIN 125</t>
  </si>
  <si>
    <t>M5 Lock Nut</t>
  </si>
  <si>
    <t>05x07x1 Precision Shim</t>
  </si>
  <si>
    <t>08x12x1 Precision Shim</t>
  </si>
  <si>
    <t>V2 Front Door Bracket A_1x</t>
  </si>
  <si>
    <t>V2 Front Door Bracket B_1x</t>
  </si>
  <si>
    <t>V2 PTFE Gland Nut</t>
  </si>
  <si>
    <t>V2 PTFE Gland washer</t>
  </si>
  <si>
    <t>Buffer - Mellow LLL Plus Filament Buffer</t>
  </si>
  <si>
    <t>Color: LLL Plus Buffer</t>
  </si>
  <si>
    <t>300x300x3mm - PC Window Sheet</t>
  </si>
  <si>
    <t>Electronics</t>
  </si>
  <si>
    <t>V2 PTFE 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</si>
</sst>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_);[Red]\(&quot;$&quot;#,##0.00\)"/>
    <numFmt numFmtId="165" formatCode="_-[$$-409]* #,##0.00_ ;_-[$$-409]* \-#,##0.00\ ;_-[$$-409]* &quot;-&quot;??_ ;_-@_ "/>
    <numFmt numFmtId="166" formatCode="_-[$$-409]* #,##0_ ;_-[$$-409]* \-#,##0\ ;_-[$$-409]* &quot;-&quot;_ ;_-@_ "/>
    <numFmt numFmtId="167" formatCode="[$$-409]#,##0"/>
    <numFmt numFmtId="168" formatCode="&quot;$&quot;#,##0.00"/>
    <numFmt numFmtId="169" formatCode="_-[$$-409]* #,##0_ ;_-[$$-409]* \-#,##0.00\ ;_-[$$-409]* &quot;-&quot;??_ ;_-@_ "/>
  </numFmts>
  <fonts count="41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2"/>
      <color theme="1"/>
      <name val="Calibri"/>
      <family val="2"/>
    </font>
    <font>
      <sz val="11"/>
      <color rgb="FF222222"/>
      <name val="Calibri"/>
      <family val="2"/>
      <scheme val="minor"/>
    </font>
    <font>
      <sz val="11"/>
      <name val="Calibri"/>
      <family val="2"/>
    </font>
    <font>
      <b/>
      <sz val="12"/>
      <color rgb="FF0070C0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  <font>
      <sz val="11"/>
      <color rgb="FF0070C0"/>
      <name val="Calibri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</font>
    <font>
      <b/>
      <sz val="11"/>
      <color rgb="FF000000"/>
      <name val="Calibri"/>
    </font>
    <font>
      <sz val="11"/>
      <color theme="1"/>
      <name val="Calibri"/>
      <scheme val="major"/>
    </font>
    <font>
      <i/>
      <sz val="11"/>
      <color rgb="FF95B3D7"/>
      <name val="Calibri"/>
      <family val="2"/>
    </font>
    <font>
      <u/>
      <sz val="11"/>
      <color rgb="FF00B050"/>
      <name val="Calibri"/>
      <family val="2"/>
    </font>
    <font>
      <u/>
      <sz val="11"/>
      <color rgb="FF00B0F0"/>
      <name val="Calibri"/>
      <family val="2"/>
    </font>
    <font>
      <b/>
      <sz val="11"/>
      <color rgb="FF00B0F0"/>
      <name val="Calibri"/>
      <family val="2"/>
      <scheme val="minor"/>
    </font>
    <font>
      <b/>
      <u/>
      <sz val="11"/>
      <color rgb="FF00B0F0"/>
      <name val="Calibri"/>
      <family val="2"/>
    </font>
    <font>
      <sz val="11"/>
      <color rgb="FF191919"/>
      <name val="Calibri"/>
      <family val="2"/>
      <scheme val="minor"/>
    </font>
    <font>
      <b/>
      <u/>
      <sz val="11"/>
      <name val="Calibri"/>
      <family val="2"/>
    </font>
    <font>
      <sz val="11"/>
      <name val="Calibri"/>
      <family val="2"/>
      <scheme val="minor"/>
    </font>
    <font>
      <sz val="14"/>
      <color theme="1"/>
      <name val="Aptos Black"/>
      <family val="2"/>
    </font>
    <font>
      <b/>
      <sz val="14"/>
      <color theme="1"/>
      <name val="Aptos Black"/>
      <family val="2"/>
    </font>
    <font>
      <sz val="8"/>
      <name val="Calibri"/>
      <family val="2"/>
    </font>
    <font>
      <b/>
      <sz val="11"/>
      <color rgb="FF00B0F0"/>
      <name val="Calibri"/>
      <family val="2"/>
    </font>
    <font>
      <sz val="11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theme="0" tint="-0.14999847407452621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1">
    <xf numFmtId="0" fontId="0" fillId="0" borderId="0"/>
    <xf numFmtId="0" fontId="13" fillId="0" borderId="0" applyNumberFormat="0" applyFill="0" applyBorder="0" applyAlignment="0" applyProtection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4" fillId="0" borderId="0"/>
  </cellStyleXfs>
  <cellXfs count="181">
    <xf numFmtId="0" fontId="0" fillId="0" borderId="0" xfId="0"/>
    <xf numFmtId="0" fontId="12" fillId="0" borderId="0" xfId="0" applyFont="1"/>
    <xf numFmtId="0" fontId="0" fillId="0" borderId="5" xfId="0" applyBorder="1"/>
    <xf numFmtId="0" fontId="0" fillId="0" borderId="2" xfId="0" applyBorder="1"/>
    <xf numFmtId="0" fontId="10" fillId="0" borderId="0" xfId="2"/>
    <xf numFmtId="0" fontId="6" fillId="0" borderId="0" xfId="7"/>
    <xf numFmtId="0" fontId="0" fillId="0" borderId="0" xfId="7" applyFont="1"/>
    <xf numFmtId="0" fontId="20" fillId="0" borderId="12" xfId="5" applyFont="1" applyBorder="1"/>
    <xf numFmtId="0" fontId="0" fillId="2" borderId="0" xfId="5" applyFont="1" applyFill="1"/>
    <xf numFmtId="0" fontId="0" fillId="0" borderId="0" xfId="0" applyAlignment="1">
      <alignment wrapText="1"/>
    </xf>
    <xf numFmtId="0" fontId="25" fillId="0" borderId="0" xfId="0" applyFont="1"/>
    <xf numFmtId="0" fontId="22" fillId="0" borderId="0" xfId="0" applyFont="1"/>
    <xf numFmtId="0" fontId="0" fillId="3" borderId="0" xfId="0" applyFill="1"/>
    <xf numFmtId="0" fontId="0" fillId="5" borderId="0" xfId="0" applyFill="1"/>
    <xf numFmtId="0" fontId="27" fillId="0" borderId="0" xfId="0" applyFont="1" applyAlignment="1">
      <alignment wrapText="1"/>
    </xf>
    <xf numFmtId="0" fontId="0" fillId="3" borderId="0" xfId="0" applyFill="1" applyAlignment="1">
      <alignment wrapText="1"/>
    </xf>
    <xf numFmtId="0" fontId="24" fillId="0" borderId="0" xfId="0" applyFont="1"/>
    <xf numFmtId="0" fontId="28" fillId="0" borderId="0" xfId="0" applyFont="1"/>
    <xf numFmtId="0" fontId="24" fillId="0" borderId="0" xfId="0" applyFont="1" applyAlignment="1">
      <alignment wrapText="1"/>
    </xf>
    <xf numFmtId="0" fontId="13" fillId="0" borderId="0" xfId="1" applyAlignment="1">
      <alignment wrapText="1"/>
    </xf>
    <xf numFmtId="49" fontId="10" fillId="0" borderId="0" xfId="2" applyNumberFormat="1" applyAlignment="1">
      <alignment wrapText="1"/>
    </xf>
    <xf numFmtId="0" fontId="3" fillId="0" borderId="0" xfId="8" applyFont="1"/>
    <xf numFmtId="0" fontId="3" fillId="0" borderId="0" xfId="8" applyFont="1" applyAlignment="1">
      <alignment horizontal="left"/>
    </xf>
    <xf numFmtId="0" fontId="12" fillId="0" borderId="0" xfId="0" applyFont="1" applyAlignment="1">
      <alignment horizontal="left"/>
    </xf>
    <xf numFmtId="0" fontId="20" fillId="0" borderId="0" xfId="8" applyFont="1"/>
    <xf numFmtId="0" fontId="11" fillId="0" borderId="0" xfId="0" applyFont="1"/>
    <xf numFmtId="0" fontId="29" fillId="0" borderId="0" xfId="1" applyFont="1" applyBorder="1"/>
    <xf numFmtId="0" fontId="0" fillId="0" borderId="0" xfId="0" applyAlignment="1">
      <alignment vertical="top"/>
    </xf>
    <xf numFmtId="0" fontId="12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32" fillId="0" borderId="0" xfId="1" applyFont="1" applyBorder="1" applyAlignment="1">
      <alignment vertical="top"/>
    </xf>
    <xf numFmtId="0" fontId="32" fillId="0" borderId="0" xfId="1" applyFont="1" applyFill="1" applyBorder="1" applyAlignment="1">
      <alignment vertical="top"/>
    </xf>
    <xf numFmtId="1" fontId="10" fillId="0" borderId="0" xfId="2" applyNumberFormat="1"/>
    <xf numFmtId="0" fontId="32" fillId="0" borderId="0" xfId="1" applyFont="1" applyBorder="1"/>
    <xf numFmtId="168" fontId="0" fillId="0" borderId="0" xfId="0" applyNumberFormat="1" applyAlignment="1">
      <alignment vertical="top"/>
    </xf>
    <xf numFmtId="0" fontId="0" fillId="0" borderId="0" xfId="0" applyAlignment="1">
      <alignment horizontal="center" vertical="top"/>
    </xf>
    <xf numFmtId="1" fontId="16" fillId="0" borderId="0" xfId="1" applyNumberFormat="1" applyFont="1" applyFill="1" applyBorder="1" applyAlignment="1">
      <alignment horizontal="left" vertical="top"/>
    </xf>
    <xf numFmtId="1" fontId="24" fillId="0" borderId="0" xfId="1" applyNumberFormat="1" applyFont="1" applyFill="1" applyBorder="1" applyAlignment="1">
      <alignment horizontal="left" vertical="top"/>
    </xf>
    <xf numFmtId="0" fontId="16" fillId="0" borderId="0" xfId="1" applyFont="1" applyBorder="1"/>
    <xf numFmtId="0" fontId="35" fillId="0" borderId="0" xfId="2" applyFont="1"/>
    <xf numFmtId="0" fontId="10" fillId="0" borderId="2" xfId="2" applyBorder="1"/>
    <xf numFmtId="0" fontId="10" fillId="0" borderId="3" xfId="2" applyBorder="1"/>
    <xf numFmtId="0" fontId="12" fillId="0" borderId="4" xfId="0" applyFont="1" applyBorder="1" applyAlignment="1">
      <alignment vertical="top"/>
    </xf>
    <xf numFmtId="1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0" fontId="0" fillId="0" borderId="5" xfId="0" applyBorder="1" applyAlignment="1">
      <alignment vertical="top"/>
    </xf>
    <xf numFmtId="49" fontId="15" fillId="0" borderId="0" xfId="0" applyNumberFormat="1" applyFont="1" applyAlignment="1">
      <alignment vertical="top"/>
    </xf>
    <xf numFmtId="1" fontId="0" fillId="0" borderId="5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0" xfId="7" applyFont="1" applyAlignment="1">
      <alignment vertical="top"/>
    </xf>
    <xf numFmtId="0" fontId="6" fillId="0" borderId="0" xfId="7" applyAlignment="1">
      <alignment vertical="top"/>
    </xf>
    <xf numFmtId="0" fontId="18" fillId="0" borderId="0" xfId="0" applyFont="1" applyAlignment="1">
      <alignment vertical="top"/>
    </xf>
    <xf numFmtId="0" fontId="5" fillId="0" borderId="0" xfId="9" applyAlignment="1">
      <alignment vertical="top"/>
    </xf>
    <xf numFmtId="49" fontId="23" fillId="0" borderId="0" xfId="0" applyNumberFormat="1" applyFont="1" applyAlignment="1">
      <alignment vertical="top"/>
    </xf>
    <xf numFmtId="0" fontId="10" fillId="0" borderId="0" xfId="2" applyAlignment="1">
      <alignment vertical="top"/>
    </xf>
    <xf numFmtId="0" fontId="7" fillId="0" borderId="0" xfId="5" applyAlignment="1">
      <alignment vertical="top"/>
    </xf>
    <xf numFmtId="49" fontId="33" fillId="0" borderId="0" xfId="0" applyNumberFormat="1" applyFont="1" applyAlignment="1">
      <alignment vertical="top"/>
    </xf>
    <xf numFmtId="0" fontId="21" fillId="0" borderId="4" xfId="0" applyFont="1" applyBorder="1" applyAlignment="1">
      <alignment vertical="top"/>
    </xf>
    <xf numFmtId="0" fontId="23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22" fillId="0" borderId="4" xfId="0" applyFont="1" applyBorder="1" applyAlignment="1">
      <alignment vertical="top"/>
    </xf>
    <xf numFmtId="0" fontId="23" fillId="0" borderId="0" xfId="7" applyFont="1" applyAlignment="1">
      <alignment vertical="top"/>
    </xf>
    <xf numFmtId="0" fontId="22" fillId="0" borderId="0" xfId="0" applyFont="1" applyAlignment="1">
      <alignment vertical="top"/>
    </xf>
    <xf numFmtId="3" fontId="22" fillId="0" borderId="0" xfId="0" applyNumberFormat="1" applyFont="1" applyAlignment="1">
      <alignment vertical="top"/>
    </xf>
    <xf numFmtId="166" fontId="22" fillId="0" borderId="0" xfId="0" applyNumberFormat="1" applyFont="1" applyAlignment="1">
      <alignment vertical="top"/>
    </xf>
    <xf numFmtId="49" fontId="33" fillId="0" borderId="0" xfId="0" applyNumberFormat="1" applyFont="1"/>
    <xf numFmtId="0" fontId="22" fillId="0" borderId="5" xfId="0" applyFont="1" applyBorder="1" applyAlignment="1">
      <alignment vertical="top"/>
    </xf>
    <xf numFmtId="0" fontId="0" fillId="0" borderId="0" xfId="6" applyFont="1" applyAlignment="1">
      <alignment vertical="top"/>
    </xf>
    <xf numFmtId="0" fontId="6" fillId="0" borderId="0" xfId="6" applyAlignment="1">
      <alignment vertical="top"/>
    </xf>
    <xf numFmtId="0" fontId="12" fillId="0" borderId="0" xfId="6" applyFont="1" applyAlignment="1">
      <alignment vertical="top"/>
    </xf>
    <xf numFmtId="0" fontId="22" fillId="0" borderId="0" xfId="7" applyFont="1" applyAlignment="1">
      <alignment vertical="top"/>
    </xf>
    <xf numFmtId="0" fontId="8" fillId="0" borderId="0" xfId="4" applyAlignment="1">
      <alignment vertical="top"/>
    </xf>
    <xf numFmtId="0" fontId="6" fillId="0" borderId="0" xfId="8" applyAlignment="1">
      <alignment vertical="top"/>
    </xf>
    <xf numFmtId="0" fontId="19" fillId="0" borderId="4" xfId="0" applyFont="1" applyBorder="1" applyAlignment="1">
      <alignment vertical="top"/>
    </xf>
    <xf numFmtId="0" fontId="16" fillId="0" borderId="0" xfId="0" applyFont="1" applyAlignment="1">
      <alignment vertical="top"/>
    </xf>
    <xf numFmtId="49" fontId="35" fillId="0" borderId="0" xfId="0" applyNumberFormat="1" applyFont="1" applyAlignment="1">
      <alignment vertical="top"/>
    </xf>
    <xf numFmtId="49" fontId="23" fillId="0" borderId="0" xfId="0" applyNumberFormat="1" applyFont="1"/>
    <xf numFmtId="0" fontId="17" fillId="0" borderId="6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7" fillId="0" borderId="7" xfId="0" applyFont="1" applyBorder="1" applyAlignment="1">
      <alignment vertical="top"/>
    </xf>
    <xf numFmtId="168" fontId="17" fillId="0" borderId="7" xfId="0" applyNumberFormat="1" applyFont="1" applyBorder="1" applyAlignment="1">
      <alignment vertical="top"/>
    </xf>
    <xf numFmtId="169" fontId="17" fillId="0" borderId="7" xfId="0" applyNumberFormat="1" applyFont="1" applyBorder="1" applyAlignment="1">
      <alignment vertical="top"/>
    </xf>
    <xf numFmtId="0" fontId="0" fillId="0" borderId="7" xfId="0" applyBorder="1" applyAlignment="1">
      <alignment horizontal="center" vertical="top"/>
    </xf>
    <xf numFmtId="165" fontId="17" fillId="0" borderId="7" xfId="0" applyNumberFormat="1" applyFont="1" applyBorder="1" applyAlignment="1">
      <alignment vertical="top"/>
    </xf>
    <xf numFmtId="165" fontId="17" fillId="0" borderId="8" xfId="0" applyNumberFormat="1" applyFont="1" applyBorder="1" applyAlignment="1">
      <alignment vertical="top"/>
    </xf>
    <xf numFmtId="0" fontId="32" fillId="0" borderId="5" xfId="1" applyFont="1" applyFill="1" applyBorder="1" applyAlignment="1">
      <alignment vertical="top"/>
    </xf>
    <xf numFmtId="0" fontId="32" fillId="0" borderId="5" xfId="1" applyFont="1" applyBorder="1"/>
    <xf numFmtId="0" fontId="34" fillId="0" borderId="5" xfId="1" applyFont="1" applyBorder="1"/>
    <xf numFmtId="0" fontId="32" fillId="0" borderId="5" xfId="1" applyFont="1" applyFill="1" applyBorder="1"/>
    <xf numFmtId="0" fontId="30" fillId="0" borderId="5" xfId="1" applyFont="1" applyFill="1" applyBorder="1" applyAlignment="1">
      <alignment vertical="top"/>
    </xf>
    <xf numFmtId="0" fontId="17" fillId="0" borderId="8" xfId="0" applyFont="1" applyBorder="1" applyAlignment="1">
      <alignment horizontal="left" vertical="top"/>
    </xf>
    <xf numFmtId="0" fontId="0" fillId="0" borderId="4" xfId="0" applyBorder="1"/>
    <xf numFmtId="0" fontId="20" fillId="0" borderId="0" xfId="2" applyFont="1"/>
    <xf numFmtId="0" fontId="31" fillId="0" borderId="0" xfId="2" applyFont="1"/>
    <xf numFmtId="0" fontId="20" fillId="2" borderId="9" xfId="2" applyFont="1" applyFill="1" applyBorder="1"/>
    <xf numFmtId="0" fontId="31" fillId="2" borderId="10" xfId="2" applyFont="1" applyFill="1" applyBorder="1"/>
    <xf numFmtId="166" fontId="12" fillId="2" borderId="11" xfId="0" applyNumberFormat="1" applyFont="1" applyFill="1" applyBorder="1" applyAlignment="1">
      <alignment vertical="top"/>
    </xf>
    <xf numFmtId="0" fontId="12" fillId="0" borderId="0" xfId="7" applyFont="1"/>
    <xf numFmtId="0" fontId="20" fillId="2" borderId="10" xfId="2" applyFont="1" applyFill="1" applyBorder="1"/>
    <xf numFmtId="49" fontId="10" fillId="0" borderId="1" xfId="2" applyNumberFormat="1" applyBorder="1" applyAlignment="1">
      <alignment wrapText="1"/>
    </xf>
    <xf numFmtId="0" fontId="12" fillId="0" borderId="4" xfId="0" applyFont="1" applyBorder="1"/>
    <xf numFmtId="166" fontId="0" fillId="0" borderId="5" xfId="0" applyNumberFormat="1" applyBorder="1" applyAlignment="1">
      <alignment vertical="top"/>
    </xf>
    <xf numFmtId="0" fontId="20" fillId="6" borderId="9" xfId="2" applyFont="1" applyFill="1" applyBorder="1"/>
    <xf numFmtId="0" fontId="31" fillId="6" borderId="10" xfId="2" applyFont="1" applyFill="1" applyBorder="1"/>
    <xf numFmtId="166" fontId="12" fillId="7" borderId="11" xfId="0" applyNumberFormat="1" applyFont="1" applyFill="1" applyBorder="1" applyAlignment="1">
      <alignment vertical="top"/>
    </xf>
    <xf numFmtId="0" fontId="36" fillId="0" borderId="1" xfId="2" applyFont="1" applyBorder="1"/>
    <xf numFmtId="0" fontId="37" fillId="0" borderId="2" xfId="2" applyFont="1" applyBorder="1" applyAlignment="1">
      <alignment horizontal="center"/>
    </xf>
    <xf numFmtId="49" fontId="10" fillId="0" borderId="4" xfId="2" applyNumberFormat="1" applyBorder="1" applyAlignment="1">
      <alignment wrapText="1"/>
    </xf>
    <xf numFmtId="0" fontId="6" fillId="0" borderId="4" xfId="7" applyBorder="1"/>
    <xf numFmtId="166" fontId="10" fillId="0" borderId="0" xfId="2" applyNumberFormat="1" applyAlignment="1">
      <alignment vertical="top"/>
    </xf>
    <xf numFmtId="0" fontId="10" fillId="0" borderId="4" xfId="2" applyBorder="1"/>
    <xf numFmtId="166" fontId="10" fillId="0" borderId="5" xfId="2" applyNumberFormat="1" applyBorder="1" applyAlignment="1">
      <alignment vertical="top"/>
    </xf>
    <xf numFmtId="0" fontId="16" fillId="0" borderId="5" xfId="1" applyFont="1" applyBorder="1"/>
    <xf numFmtId="0" fontId="10" fillId="0" borderId="10" xfId="2" applyBorder="1"/>
    <xf numFmtId="166" fontId="10" fillId="0" borderId="11" xfId="2" applyNumberFormat="1" applyBorder="1"/>
    <xf numFmtId="0" fontId="0" fillId="0" borderId="0" xfId="9" applyFont="1" applyAlignment="1">
      <alignment vertical="top"/>
    </xf>
    <xf numFmtId="0" fontId="13" fillId="0" borderId="0" xfId="1"/>
    <xf numFmtId="0" fontId="12" fillId="0" borderId="4" xfId="7" applyFont="1" applyBorder="1"/>
    <xf numFmtId="0" fontId="32" fillId="0" borderId="0" xfId="1" applyFont="1"/>
    <xf numFmtId="0" fontId="0" fillId="0" borderId="4" xfId="7" applyFont="1" applyBorder="1"/>
    <xf numFmtId="0" fontId="10" fillId="5" borderId="0" xfId="2" applyFill="1"/>
    <xf numFmtId="1" fontId="10" fillId="5" borderId="0" xfId="2" applyNumberFormat="1" applyFill="1"/>
    <xf numFmtId="0" fontId="39" fillId="5" borderId="0" xfId="2" applyFont="1" applyFill="1"/>
    <xf numFmtId="166" fontId="10" fillId="5" borderId="0" xfId="2" applyNumberFormat="1" applyFill="1" applyAlignment="1">
      <alignment vertical="top"/>
    </xf>
    <xf numFmtId="0" fontId="10" fillId="0" borderId="0" xfId="2" applyAlignment="1">
      <alignment wrapText="1"/>
    </xf>
    <xf numFmtId="0" fontId="0" fillId="2" borderId="0" xfId="0" applyFill="1"/>
    <xf numFmtId="0" fontId="2" fillId="5" borderId="0" xfId="2" applyFont="1" applyFill="1"/>
    <xf numFmtId="0" fontId="13" fillId="0" borderId="0" xfId="1" applyFill="1" applyBorder="1" applyAlignment="1">
      <alignment vertical="top"/>
    </xf>
    <xf numFmtId="0" fontId="13" fillId="0" borderId="0" xfId="1" applyBorder="1"/>
    <xf numFmtId="0" fontId="13" fillId="0" borderId="0" xfId="1" applyFill="1"/>
    <xf numFmtId="0" fontId="40" fillId="0" borderId="0" xfId="0" applyFont="1"/>
    <xf numFmtId="164" fontId="10" fillId="0" borderId="0" xfId="2" applyNumberFormat="1"/>
    <xf numFmtId="49" fontId="2" fillId="0" borderId="1" xfId="2" applyNumberFormat="1" applyFont="1" applyBorder="1" applyAlignment="1">
      <alignment wrapText="1"/>
    </xf>
    <xf numFmtId="49" fontId="2" fillId="0" borderId="2" xfId="2" applyNumberFormat="1" applyFont="1" applyBorder="1" applyAlignment="1">
      <alignment wrapText="1"/>
    </xf>
    <xf numFmtId="0" fontId="2" fillId="0" borderId="3" xfId="2" applyFont="1" applyBorder="1"/>
    <xf numFmtId="49" fontId="2" fillId="0" borderId="0" xfId="0" applyNumberFormat="1" applyFont="1" applyAlignment="1">
      <alignment vertical="top"/>
    </xf>
    <xf numFmtId="0" fontId="2" fillId="0" borderId="0" xfId="7" applyFont="1" applyAlignment="1">
      <alignment vertical="top"/>
    </xf>
    <xf numFmtId="0" fontId="2" fillId="0" borderId="0" xfId="9" applyFont="1" applyAlignment="1">
      <alignment vertical="top"/>
    </xf>
    <xf numFmtId="0" fontId="2" fillId="0" borderId="0" xfId="2" applyFont="1" applyAlignment="1">
      <alignment vertical="top"/>
    </xf>
    <xf numFmtId="0" fontId="2" fillId="0" borderId="0" xfId="5" applyFont="1" applyAlignment="1">
      <alignment vertical="top"/>
    </xf>
    <xf numFmtId="49" fontId="2" fillId="0" borderId="0" xfId="0" applyNumberFormat="1" applyFont="1"/>
    <xf numFmtId="0" fontId="2" fillId="0" borderId="0" xfId="6" applyFont="1" applyAlignment="1">
      <alignment vertical="top"/>
    </xf>
    <xf numFmtId="0" fontId="2" fillId="0" borderId="0" xfId="4" applyFont="1" applyAlignment="1">
      <alignment vertical="top"/>
    </xf>
    <xf numFmtId="0" fontId="2" fillId="0" borderId="0" xfId="2" applyFont="1"/>
    <xf numFmtId="49" fontId="2" fillId="0" borderId="3" xfId="2" applyNumberFormat="1" applyFont="1" applyBorder="1" applyAlignment="1">
      <alignment wrapText="1"/>
    </xf>
    <xf numFmtId="0" fontId="2" fillId="0" borderId="0" xfId="8" applyFont="1" applyAlignment="1">
      <alignment horizontal="left"/>
    </xf>
    <xf numFmtId="0" fontId="2" fillId="0" borderId="0" xfId="8" applyFont="1" applyAlignment="1">
      <alignment horizontal="right"/>
    </xf>
    <xf numFmtId="0" fontId="2" fillId="0" borderId="0" xfId="8" applyFont="1"/>
    <xf numFmtId="1" fontId="2" fillId="6" borderId="10" xfId="2" applyNumberFormat="1" applyFont="1" applyFill="1" applyBorder="1"/>
    <xf numFmtId="167" fontId="2" fillId="6" borderId="10" xfId="2" applyNumberFormat="1" applyFont="1" applyFill="1" applyBorder="1"/>
    <xf numFmtId="1" fontId="2" fillId="0" borderId="0" xfId="2" applyNumberFormat="1" applyFont="1"/>
    <xf numFmtId="167" fontId="2" fillId="0" borderId="0" xfId="2" applyNumberFormat="1" applyFont="1"/>
    <xf numFmtId="49" fontId="2" fillId="0" borderId="0" xfId="2" applyNumberFormat="1" applyFont="1" applyAlignment="1">
      <alignment wrapText="1"/>
    </xf>
    <xf numFmtId="1" fontId="2" fillId="2" borderId="10" xfId="2" applyNumberFormat="1" applyFont="1" applyFill="1" applyBorder="1"/>
    <xf numFmtId="0" fontId="2" fillId="0" borderId="0" xfId="7" applyFont="1"/>
    <xf numFmtId="49" fontId="2" fillId="0" borderId="5" xfId="2" applyNumberFormat="1" applyFont="1" applyBorder="1" applyAlignment="1">
      <alignment wrapText="1"/>
    </xf>
    <xf numFmtId="0" fontId="2" fillId="0" borderId="9" xfId="2" applyFont="1" applyBorder="1"/>
    <xf numFmtId="0" fontId="2" fillId="0" borderId="4" xfId="2" applyFont="1" applyBorder="1"/>
    <xf numFmtId="0" fontId="2" fillId="0" borderId="4" xfId="6" applyFont="1" applyBorder="1" applyAlignment="1">
      <alignment vertical="top"/>
    </xf>
    <xf numFmtId="0" fontId="2" fillId="0" borderId="4" xfId="9" applyFont="1" applyBorder="1" applyAlignment="1">
      <alignment vertical="top"/>
    </xf>
    <xf numFmtId="0" fontId="2" fillId="2" borderId="0" xfId="5" applyFont="1" applyFill="1"/>
    <xf numFmtId="0" fontId="2" fillId="4" borderId="0" xfId="5" applyFont="1" applyFill="1"/>
    <xf numFmtId="0" fontId="2" fillId="0" borderId="0" xfId="2" applyFont="1" applyBorder="1"/>
    <xf numFmtId="1" fontId="10" fillId="0" borderId="0" xfId="2" applyNumberFormat="1" applyBorder="1"/>
    <xf numFmtId="0" fontId="0" fillId="0" borderId="0" xfId="0" applyBorder="1"/>
    <xf numFmtId="166" fontId="0" fillId="0" borderId="0" xfId="0" applyNumberFormat="1" applyBorder="1" applyAlignment="1">
      <alignment vertical="top"/>
    </xf>
    <xf numFmtId="0" fontId="10" fillId="0" borderId="0" xfId="2" applyBorder="1"/>
    <xf numFmtId="166" fontId="10" fillId="0" borderId="0" xfId="2" applyNumberFormat="1" applyBorder="1" applyAlignment="1">
      <alignment vertical="top"/>
    </xf>
    <xf numFmtId="0" fontId="1" fillId="0" borderId="0" xfId="2" applyFont="1" applyBorder="1"/>
    <xf numFmtId="0" fontId="12" fillId="0" borderId="0" xfId="0" applyFont="1" applyBorder="1"/>
    <xf numFmtId="1" fontId="2" fillId="0" borderId="0" xfId="2" applyNumberFormat="1" applyFont="1" applyBorder="1"/>
    <xf numFmtId="0" fontId="20" fillId="2" borderId="6" xfId="2" applyFont="1" applyFill="1" applyBorder="1"/>
    <xf numFmtId="0" fontId="20" fillId="2" borderId="7" xfId="2" applyFont="1" applyFill="1" applyBorder="1"/>
    <xf numFmtId="1" fontId="2" fillId="2" borderId="7" xfId="2" applyNumberFormat="1" applyFont="1" applyFill="1" applyBorder="1"/>
    <xf numFmtId="0" fontId="31" fillId="2" borderId="7" xfId="2" applyFont="1" applyFill="1" applyBorder="1"/>
    <xf numFmtId="166" fontId="12" fillId="2" borderId="8" xfId="0" applyNumberFormat="1" applyFont="1" applyFill="1" applyBorder="1" applyAlignment="1">
      <alignment vertical="top"/>
    </xf>
    <xf numFmtId="49" fontId="10" fillId="0" borderId="0" xfId="2" applyNumberFormat="1" applyBorder="1" applyAlignment="1">
      <alignment wrapText="1"/>
    </xf>
    <xf numFmtId="49" fontId="2" fillId="0" borderId="0" xfId="2" applyNumberFormat="1" applyFont="1" applyBorder="1" applyAlignment="1">
      <alignment wrapText="1"/>
    </xf>
    <xf numFmtId="0" fontId="12" fillId="0" borderId="0" xfId="0" applyFont="1" applyBorder="1" applyAlignment="1">
      <alignment vertical="top"/>
    </xf>
    <xf numFmtId="0" fontId="2" fillId="0" borderId="0" xfId="9" applyFont="1" applyBorder="1" applyAlignment="1">
      <alignment vertical="top"/>
    </xf>
  </cellXfs>
  <cellStyles count="11">
    <cellStyle name="Hyperlink" xfId="1" builtinId="8"/>
    <cellStyle name="Normal" xfId="0" builtinId="0"/>
    <cellStyle name="Normal 10" xfId="10" xr:uid="{CF8359E4-5FF1-4D32-B3AA-B6BC6191B6C0}"/>
    <cellStyle name="Normal 2" xfId="2" xr:uid="{1DC3D77C-7AFF-4F90-B2B7-3E13075D82B8}"/>
    <cellStyle name="Normal 3" xfId="3" xr:uid="{F3AE2A3A-6C07-4199-9658-1CFC5CDAAF07}"/>
    <cellStyle name="Normal 4" xfId="4" xr:uid="{84FFD53C-FD2B-42EA-87CA-AFD206ABEB12}"/>
    <cellStyle name="Normal 5" xfId="5" xr:uid="{0A8D205A-C2DA-4517-9B41-5FB46052F1B9}"/>
    <cellStyle name="Normal 6" xfId="6" xr:uid="{267FDCE9-DF9D-48AF-AA74-50193FB104B5}"/>
    <cellStyle name="Normal 7" xfId="7" xr:uid="{E067CCC3-37E1-4AF4-8448-FC5769A3ADF1}"/>
    <cellStyle name="Normal 8" xfId="8" xr:uid="{081623DE-E46D-4C5A-9B4A-C0DC2A05C210}"/>
    <cellStyle name="Normal 9" xfId="9" xr:uid="{40B67649-AC0A-4FC1-B41E-42AB5C2B58C9}"/>
  </cellStyles>
  <dxfs count="137">
    <dxf>
      <numFmt numFmtId="166" formatCode="_-[$$-409]* #,##0_ ;_-[$$-409]* \-#,##0\ ;_-[$$-409]* &quot;-&quot;_ ;_-@_ "/>
      <alignment horizontal="general" vertical="top" textRotation="0" wrapText="0" indent="0" justifyLastLine="0" shrinkToFit="0" readingOrder="0"/>
    </dxf>
    <dxf>
      <numFmt numFmtId="166" formatCode="_-[$$-409]* #,##0_ ;_-[$$-409]* \-#,##0\ ;_-[$$-409]* &quot;-&quot;_ ;_-@_ "/>
      <alignment horizontal="general" vertical="top" textRotation="0" wrapText="0" indent="0" justifyLastLine="0" shrinkToFit="0" readingOrder="0"/>
    </dxf>
    <dxf>
      <font>
        <b/>
        <strike val="0"/>
        <outline val="0"/>
        <shadow val="0"/>
        <vertAlign val="baseline"/>
        <sz val="11"/>
        <color rgb="FF00B0F0"/>
        <name val="Calibri"/>
        <family val="2"/>
      </font>
    </dxf>
    <dxf>
      <numFmt numFmtId="1" formatCode="0"/>
    </dxf>
    <dxf>
      <numFmt numFmtId="1" formatCode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0B0F0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6" formatCode="_-[$$-409]* #,##0_ ;_-[$$-409]* \-#,##0\ ;_-[$$-409]* &quot;-&quot;_ ;_-@_ 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numFmt numFmtId="166" formatCode="_-[$$-409]* #,##0_ ;_-[$$-409]* \-#,##0\ ;_-[$$-409]* &quot;-&quot;_ ;_-@_ 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vertAlign val="baseline"/>
        <sz val="11"/>
        <color rgb="FF00B0F0"/>
        <name val="Calibri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0B0F0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6" formatCode="_-[$$-409]* #,##0_ ;_-[$$-409]* \-#,##0\ ;_-[$$-409]* &quot;-&quot;_ ;_-@_ 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numFmt numFmtId="166" formatCode="_-[$$-409]* #,##0_ ;_-[$$-409]* \-#,##0\ ;_-[$$-409]* &quot;-&quot;_ ;_-@_ 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vertAlign val="baseline"/>
        <sz val="11"/>
        <color rgb="FF00B0F0"/>
        <name val="Calibri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0B0F0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6" formatCode="_-[$$-409]* #,##0_ ;_-[$$-409]* \-#,##0\ ;_-[$$-409]* &quot;-&quot;_ ;_-@_ 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numFmt numFmtId="166" formatCode="_-[$$-409]* #,##0_ ;_-[$$-409]* \-#,##0\ ;_-[$$-409]* &quot;-&quot;_ ;_-@_ 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vertAlign val="baseline"/>
        <sz val="11"/>
        <color rgb="FF00B0F0"/>
        <name val="Calibri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0B0F0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0" formatCode="@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0B0F0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6" formatCode="_-[$$-409]* #,##0_ ;_-[$$-409]* \-#,##0\ ;_-[$$-409]* &quot;-&quot;_ ;_-@_ 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numFmt numFmtId="166" formatCode="_-[$$-409]* #,##0_ ;_-[$$-409]* \-#,##0\ ;_-[$$-409]* &quot;-&quot;_ ;_-@_ 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vertAlign val="baseline"/>
        <sz val="11"/>
        <color rgb="FF00B0F0"/>
        <name val="Calibri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166" formatCode="_-[$$-409]* #,##0_ ;_-[$$-409]* \-#,##0\ ;_-[$$-409]* &quot;-&quot;_ ;_-@_ 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numFmt numFmtId="166" formatCode="_-[$$-409]* #,##0_ ;_-[$$-409]* \-#,##0\ ;_-[$$-409]* &quot;-&quot;_ ;_-@_ 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vertAlign val="baseline"/>
        <sz val="11"/>
        <color rgb="FF00B0F0"/>
        <name val="Calibri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0B0F0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6" formatCode="_-[$$-409]* #,##0_ ;_-[$$-409]* \-#,##0\ ;_-[$$-409]* &quot;-&quot;_ ;_-@_ 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numFmt numFmtId="166" formatCode="_-[$$-409]* #,##0_ ;_-[$$-409]* \-#,##0\ ;_-[$$-409]* &quot;-&quot;_ ;_-@_ 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vertAlign val="baseline"/>
        <sz val="11"/>
        <color rgb="FF00B0F0"/>
        <name val="Calibri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0B0F0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6" formatCode="_-[$$-409]* #,##0_ ;_-[$$-409]* \-#,##0\ ;_-[$$-409]* &quot;-&quot;_ ;_-@_ 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numFmt numFmtId="166" formatCode="_-[$$-409]* #,##0_ ;_-[$$-409]* \-#,##0\ ;_-[$$-409]* &quot;-&quot;_ ;_-@_ 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vertAlign val="baseline"/>
        <sz val="11"/>
        <color rgb="FF00B0F0"/>
        <name val="Calibri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</font>
      <numFmt numFmtId="166" formatCode="_-[$$-409]* #,##0_ ;_-[$$-409]* \-#,##0\ ;_-[$$-409]* &quot;-&quot;_ ;_-@_ 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</font>
      <numFmt numFmtId="166" formatCode="_-[$$-409]* #,##0_ ;_-[$$-409]* \-#,##0\ ;_-[$$-409]* &quot;-&quot;_ ;_-@_ 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strike val="0"/>
        <outline val="0"/>
        <shadow val="0"/>
        <u/>
        <vertAlign val="baseline"/>
        <sz val="11"/>
        <color rgb="FF00B0F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Calibri"/>
        <family val="2"/>
      </font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</font>
      <numFmt numFmtId="30" formatCode="@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/>
        <u/>
        <sz val="12"/>
        <color rgb="FF0000FF"/>
        <family val="2"/>
      </font>
      <numFmt numFmtId="1" formatCode="0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vertAlign val="baseline"/>
        <sz val="11"/>
        <color auto="1"/>
        <name val="Calibri"/>
      </font>
      <numFmt numFmtId="1" formatCode="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numFmt numFmtId="166" formatCode="_-[$$-409]* #,##0_ ;_-[$$-409]* \-#,##0\ ;_-[$$-409]* &quot;-&quot;_ ;_-@_ 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_-[$$-409]* #,##0_ ;_-[$$-409]* \-#,##0\ ;_-[$$-409]* &quot;-&quot;_ ;_-@_ 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numFmt numFmtId="3" formatCode="#,##0"/>
      <alignment horizontal="general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top style="medium">
          <color rgb="FF000000"/>
        </top>
        <bottom style="medium">
          <color rgb="FF000000"/>
        </bottom>
      </border>
    </dxf>
    <dxf>
      <numFmt numFmtId="30" formatCode="@"/>
      <fill>
        <patternFill patternType="none">
          <fgColor rgb="FF000000"/>
          <bgColor auto="1"/>
        </patternFill>
      </fill>
      <alignment horizontal="general" vertical="top" textRotation="0" wrapText="0" indent="0" justifyLastLine="0" shrinkToFit="0" readingOrder="0"/>
    </dxf>
    <dxf>
      <border>
        <bottom style="medium">
          <color rgb="FF000000"/>
        </bottom>
      </border>
    </dxf>
  </dxfs>
  <tableStyles count="0" defaultTableStyle="TableStyleMedium2" defaultPivotStyle="PivotStyleLight16"/>
  <colors>
    <mruColors>
      <color rgb="FFDDB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21</xdr:row>
      <xdr:rowOff>19050</xdr:rowOff>
    </xdr:from>
    <xdr:to>
      <xdr:col>4</xdr:col>
      <xdr:colOff>571500</xdr:colOff>
      <xdr:row>27</xdr:row>
      <xdr:rowOff>19050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BE82F0-1C9D-4B14-8E9B-173C3D627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8575" y="4229100"/>
          <a:ext cx="1143000" cy="1143000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21</xdr:row>
      <xdr:rowOff>0</xdr:rowOff>
    </xdr:from>
    <xdr:to>
      <xdr:col>5</xdr:col>
      <xdr:colOff>1472151</xdr:colOff>
      <xdr:row>26</xdr:row>
      <xdr:rowOff>180975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BFA915-2BF7-46FA-83D9-33CBDF288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275" y="4210050"/>
          <a:ext cx="1262601" cy="1133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476250</xdr:colOff>
      <xdr:row>41</xdr:row>
      <xdr:rowOff>0</xdr:rowOff>
    </xdr:from>
    <xdr:to>
      <xdr:col>4</xdr:col>
      <xdr:colOff>1619250</xdr:colOff>
      <xdr:row>47</xdr:row>
      <xdr:rowOff>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AA3C3B-B3C0-460D-A0CA-CD263D1E0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8020050"/>
          <a:ext cx="1143000" cy="1143000"/>
        </a:xfrm>
        <a:prstGeom prst="rect">
          <a:avLst/>
        </a:prstGeom>
      </xdr:spPr>
    </xdr:pic>
    <xdr:clientData/>
  </xdr:twoCellAnchor>
  <xdr:twoCellAnchor editAs="oneCell">
    <xdr:from>
      <xdr:col>4</xdr:col>
      <xdr:colOff>1933575</xdr:colOff>
      <xdr:row>40</xdr:row>
      <xdr:rowOff>180975</xdr:rowOff>
    </xdr:from>
    <xdr:to>
      <xdr:col>6</xdr:col>
      <xdr:colOff>510126</xdr:colOff>
      <xdr:row>46</xdr:row>
      <xdr:rowOff>171450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F4CF2A-79ED-48F1-B1A2-3403520BD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4125" y="8010525"/>
          <a:ext cx="1262601" cy="1133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219075</xdr:colOff>
      <xdr:row>25</xdr:row>
      <xdr:rowOff>171450</xdr:rowOff>
    </xdr:from>
    <xdr:to>
      <xdr:col>3</xdr:col>
      <xdr:colOff>571500</xdr:colOff>
      <xdr:row>31</xdr:row>
      <xdr:rowOff>171450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EA6AB6-1C25-46C2-AB85-1C429AD04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4572000"/>
          <a:ext cx="1143000" cy="11430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26</xdr:row>
      <xdr:rowOff>0</xdr:rowOff>
    </xdr:from>
    <xdr:to>
      <xdr:col>4</xdr:col>
      <xdr:colOff>1262601</xdr:colOff>
      <xdr:row>31</xdr:row>
      <xdr:rowOff>180975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46E837-396B-4EA7-A73A-F0A99D668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4591050"/>
          <a:ext cx="1262601" cy="1133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476250</xdr:colOff>
      <xdr:row>47</xdr:row>
      <xdr:rowOff>0</xdr:rowOff>
    </xdr:from>
    <xdr:to>
      <xdr:col>4</xdr:col>
      <xdr:colOff>1619250</xdr:colOff>
      <xdr:row>53</xdr:row>
      <xdr:rowOff>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40CFFC-FAC1-4C37-AF31-A8F13A91B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8020050"/>
          <a:ext cx="1143000" cy="1143000"/>
        </a:xfrm>
        <a:prstGeom prst="rect">
          <a:avLst/>
        </a:prstGeom>
      </xdr:spPr>
    </xdr:pic>
    <xdr:clientData/>
  </xdr:twoCellAnchor>
  <xdr:twoCellAnchor editAs="oneCell">
    <xdr:from>
      <xdr:col>4</xdr:col>
      <xdr:colOff>1933575</xdr:colOff>
      <xdr:row>46</xdr:row>
      <xdr:rowOff>180975</xdr:rowOff>
    </xdr:from>
    <xdr:to>
      <xdr:col>6</xdr:col>
      <xdr:colOff>157701</xdr:colOff>
      <xdr:row>52</xdr:row>
      <xdr:rowOff>171450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A2087E-EE85-4158-84D7-5D5772D99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4125" y="8010525"/>
          <a:ext cx="1262601" cy="1133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200025</xdr:colOff>
      <xdr:row>76</xdr:row>
      <xdr:rowOff>0</xdr:rowOff>
    </xdr:from>
    <xdr:to>
      <xdr:col>5</xdr:col>
      <xdr:colOff>552450</xdr:colOff>
      <xdr:row>82</xdr:row>
      <xdr:rowOff>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0B9A01-64CA-4B8E-8353-C88F4FB87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13735050"/>
          <a:ext cx="1143000" cy="1143000"/>
        </a:xfrm>
        <a:prstGeom prst="rect">
          <a:avLst/>
        </a:prstGeom>
      </xdr:spPr>
    </xdr:pic>
    <xdr:clientData/>
  </xdr:twoCellAnchor>
  <xdr:twoCellAnchor editAs="oneCell">
    <xdr:from>
      <xdr:col>6</xdr:col>
      <xdr:colOff>295275</xdr:colOff>
      <xdr:row>76</xdr:row>
      <xdr:rowOff>9525</xdr:rowOff>
    </xdr:from>
    <xdr:to>
      <xdr:col>7</xdr:col>
      <xdr:colOff>148176</xdr:colOff>
      <xdr:row>82</xdr:row>
      <xdr:rowOff>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21393C-A2FA-474B-AD11-3A562EE1D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13744575"/>
          <a:ext cx="1262601" cy="1133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200025</xdr:colOff>
      <xdr:row>52</xdr:row>
      <xdr:rowOff>9525</xdr:rowOff>
    </xdr:from>
    <xdr:to>
      <xdr:col>3</xdr:col>
      <xdr:colOff>552450</xdr:colOff>
      <xdr:row>58</xdr:row>
      <xdr:rowOff>9525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D91243-7713-4D69-B940-D1D26C00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9575" y="10506075"/>
          <a:ext cx="1143000" cy="1143000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52</xdr:row>
      <xdr:rowOff>0</xdr:rowOff>
    </xdr:from>
    <xdr:to>
      <xdr:col>5</xdr:col>
      <xdr:colOff>519651</xdr:colOff>
      <xdr:row>57</xdr:row>
      <xdr:rowOff>180975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C9079C-6EAA-459A-8E3A-671BA1FDF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0" y="10496550"/>
          <a:ext cx="1262601" cy="1133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200025</xdr:colOff>
      <xdr:row>20</xdr:row>
      <xdr:rowOff>9525</xdr:rowOff>
    </xdr:from>
    <xdr:to>
      <xdr:col>3</xdr:col>
      <xdr:colOff>552450</xdr:colOff>
      <xdr:row>26</xdr:row>
      <xdr:rowOff>9525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F99501-C4E7-45E5-8B7A-A1E580D3C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9575" y="10125075"/>
          <a:ext cx="1143000" cy="1143000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20</xdr:row>
      <xdr:rowOff>0</xdr:rowOff>
    </xdr:from>
    <xdr:to>
      <xdr:col>4</xdr:col>
      <xdr:colOff>1519776</xdr:colOff>
      <xdr:row>25</xdr:row>
      <xdr:rowOff>180975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3519A5-51EA-4F5A-9C21-91BCC5599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0" y="10115550"/>
          <a:ext cx="1262601" cy="1133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200025</xdr:colOff>
      <xdr:row>28</xdr:row>
      <xdr:rowOff>9525</xdr:rowOff>
    </xdr:from>
    <xdr:to>
      <xdr:col>3</xdr:col>
      <xdr:colOff>552450</xdr:colOff>
      <xdr:row>34</xdr:row>
      <xdr:rowOff>9525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CE6E9F-117D-4FA1-9833-6D127B8A4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4029075"/>
          <a:ext cx="1143000" cy="1143000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28</xdr:row>
      <xdr:rowOff>0</xdr:rowOff>
    </xdr:from>
    <xdr:to>
      <xdr:col>4</xdr:col>
      <xdr:colOff>1519776</xdr:colOff>
      <xdr:row>33</xdr:row>
      <xdr:rowOff>180975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3945AB-8B2D-405C-8476-BEA502049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75" y="4019550"/>
          <a:ext cx="1262601" cy="11334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DE5977A-0070-4907-B3F1-83B3E9D3EAF9}" name="Table1321" displayName="Table1321" ref="A1:L100" totalsRowShown="0" dataDxfId="135" headerRowBorderDxfId="136" tableBorderDxfId="134" headerRowCellStyle="Normal 2">
  <autoFilter ref="A1:L100" xr:uid="{00000000-000C-0000-FFFF-FFFF00000000}"/>
  <sortState xmlns:xlrd2="http://schemas.microsoft.com/office/spreadsheetml/2017/richdata2" ref="A2:L100">
    <sortCondition ref="A1:A100"/>
  </sortState>
  <tableColumns count="12">
    <tableColumn id="3" xr3:uid="{E596F2F7-CDFF-486E-86F5-053FDD2A2A5C}" name="Part Type" dataDxfId="133"/>
    <tableColumn id="4" xr3:uid="{21BB2F02-45DC-4E39-9123-FC046A8DFC11}" name="Description" dataDxfId="132"/>
    <tableColumn id="1" xr3:uid="{277C1F1F-DAAE-4C91-9EDC-C8D501677DE9}" name="Cut length" dataDxfId="131" dataCellStyle="Normal 7"/>
    <tableColumn id="7" xr3:uid="{47852F97-FC81-4943-BFF5-71D7E867A237}" name="Quantity Required" dataDxfId="130"/>
    <tableColumn id="5" xr3:uid="{5C2A44A8-DE4F-4B5A-930C-443716E7E898}" name="Pack Order Qty" dataDxfId="129"/>
    <tableColumn id="8" xr3:uid="{07FAA242-B582-4790-9720-A5DC124D6B2D}" name="Pack Price $USD" dataDxfId="128"/>
    <tableColumn id="10" xr3:uid="{B3F33643-2531-4917-B84D-BE4983A99A8C}" name="*Cost Price $USD" dataDxfId="127">
      <calculatedColumnFormula>E2*F2</calculatedColumnFormula>
    </tableColumn>
    <tableColumn id="11" xr3:uid="{A7F10A10-A127-43E0-B65C-9F538B8DD15E}" name="Qty in a Pack" dataDxfId="126"/>
    <tableColumn id="2" xr3:uid="{2B3304EF-95F3-4EA3-9A24-E520BCF247B0}" name="Order Link" dataDxfId="125" dataCellStyle="Hyperlink"/>
    <tableColumn id="12" xr3:uid="{53A14610-D497-4DD1-8CFF-F20E191D3317}" name="Supplier" dataDxfId="124"/>
    <tableColumn id="13" xr3:uid="{DE4564AA-6825-49A5-B67A-A550AFECDCA7}" name="DIN" dataDxfId="123"/>
    <tableColumn id="14" xr3:uid="{63E8BC06-DC55-407C-B167-F3CA5B6EBA86}" name="ISO" dataDxfId="12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FCF4A79-156B-41FF-A555-9328C94776F1}" name="Table112" displayName="Table112" ref="A1:H19" totalsRowShown="0" headerRowDxfId="121" dataDxfId="120" tableBorderDxfId="119" headerRowCellStyle="Normal 2">
  <autoFilter ref="A1:H19" xr:uid="{9FCF4A79-156B-41FF-A555-9328C94776F1}"/>
  <sortState xmlns:xlrd2="http://schemas.microsoft.com/office/spreadsheetml/2017/richdata2" ref="A2:F19">
    <sortCondition ref="A1:A19"/>
  </sortState>
  <tableColumns count="8">
    <tableColumn id="1" xr3:uid="{12342F44-8220-45C2-AC30-328741D516AB}" name="Part name" dataDxfId="118"/>
    <tableColumn id="3" xr3:uid="{2385B826-F8C8-4362-89A6-95A38D685D6B}" name="Description" dataDxfId="117"/>
    <tableColumn id="4" xr3:uid="{0FBBE615-D864-4E30-B741-3BE35C30458E}" name="Cut length" dataDxfId="116" dataCellStyle="Normal 8"/>
    <tableColumn id="2" xr3:uid="{59176566-F320-409F-9AA9-17486015A49A}" name="BOM Quantity" dataDxfId="115"/>
    <tableColumn id="5" xr3:uid="{02F92F38-2A3F-4D3F-A7DB-3861ECEB76D6}" name="Pack Quantity" dataDxfId="114" dataCellStyle="Normal 8"/>
    <tableColumn id="6" xr3:uid="{CCC7B1CB-77FB-4FB8-8D31-F5E969E2025F}" name="Part Link" dataDxfId="113"/>
    <tableColumn id="7" xr3:uid="{CBBE6613-1EF7-48DE-A683-679DDF7C6E08}" name="Unit Price" dataDxfId="112"/>
    <tableColumn id="8" xr3:uid="{0F4742D5-CDC2-4577-9AC4-D4B3F863EB74}" name="Line Price" dataDxfId="111">
      <calculatedColumnFormula>Table112[[#This Row],[Unit Price]]*Table112[[#This Row],[Pack Quantity]]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AD2131D-41B2-42EA-A67B-FBB781AD12E7}" name="Table9" displayName="Table9" ref="A1:G39" totalsRowShown="0" headerRowDxfId="110" tableBorderDxfId="109" headerRowCellStyle="Normal 2" dataCellStyle="Normal 2">
  <autoFilter ref="A1:G39" xr:uid="{BAD2131D-41B2-42EA-A67B-FBB781AD12E7}"/>
  <sortState xmlns:xlrd2="http://schemas.microsoft.com/office/spreadsheetml/2017/richdata2" ref="A2:G39">
    <sortCondition ref="A1:A39"/>
  </sortState>
  <tableColumns count="7">
    <tableColumn id="1" xr3:uid="{C5533925-B810-4F05-9221-5D5DC08A3846}" name="Part name" totalsRowDxfId="108" dataCellStyle="Normal 2" totalsRowCellStyle="Normal 2"/>
    <tableColumn id="7" xr3:uid="{13C33B91-92BB-4F0B-8B89-D7D5416E5479}" name="Description" totalsRowDxfId="107" dataCellStyle="Normal 2" totalsRowCellStyle="Normal 2"/>
    <tableColumn id="2" xr3:uid="{684CEE11-8A68-45FD-871F-FFCFA808FEBD}" name="BOM Quantity" dataDxfId="106" totalsRowDxfId="105" dataCellStyle="Normal 2" totalsRowCellStyle="Normal 8"/>
    <tableColumn id="3" xr3:uid="{AF8F5093-3E95-494A-AA81-FE8086D1C62A}" name="Pack Order Quantity" dataDxfId="104" totalsRowDxfId="103" dataCellStyle="Normal 2" totalsRowCellStyle="Normal 8"/>
    <tableColumn id="4" xr3:uid="{E9FF35DD-5C19-4CD6-B2A5-9BA584311B2C}" name="Order Link" dataDxfId="102" totalsRowDxfId="101" dataCellStyle="Normal 2" totalsRowCellStyle="Normal 8"/>
    <tableColumn id="5" xr3:uid="{DD62AE93-D1EA-406B-BE34-498513F89240}" name="Unit Price" dataDxfId="100" totalsRowDxfId="99" dataCellStyle="Normal 2" totalsRowCellStyle="Normal 8"/>
    <tableColumn id="6" xr3:uid="{413E5EC7-3A68-44D0-97E2-BD69DF60ABF5}" name="Line Price" dataDxfId="98" totalsRowDxfId="97" dataCellStyle="Normal 2">
      <calculatedColumnFormula>Table9[[#This Row],[Unit Price]]*Table9[[#This Row],[Pack Order Quantity]]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D081A3B-5ADC-4D38-A88B-EBE88E8EC051}" name="Table916" displayName="Table916" ref="A1:G24" totalsRowShown="0" headerRowDxfId="96" tableBorderDxfId="95" headerRowCellStyle="Normal 2" dataCellStyle="Normal 2">
  <autoFilter ref="A1:G24" xr:uid="{BAD2131D-41B2-42EA-A67B-FBB781AD12E7}"/>
  <sortState xmlns:xlrd2="http://schemas.microsoft.com/office/spreadsheetml/2017/richdata2" ref="A2:G24">
    <sortCondition ref="A1:A24"/>
  </sortState>
  <tableColumns count="7">
    <tableColumn id="1" xr3:uid="{0F292740-142C-4538-B6E0-04426284E315}" name="Part name" totalsRowDxfId="94" dataCellStyle="Normal 2" totalsRowCellStyle="Normal 2"/>
    <tableColumn id="7" xr3:uid="{150C9F57-34E9-40EB-9D7E-4F2F4DC1A13F}" name="Description" totalsRowDxfId="93" totalsRowCellStyle="Normal 2"/>
    <tableColumn id="2" xr3:uid="{A7D6434D-4498-49EB-9D73-D244744029D3}" name="BOM Quantity" dataDxfId="92" totalsRowDxfId="91" dataCellStyle="Normal 2" totalsRowCellStyle="Normal 8"/>
    <tableColumn id="3" xr3:uid="{AB72A4A9-0DCC-4355-BE56-E0ED87619BF9}" name="Pack Order Quantity" dataDxfId="90" totalsRowDxfId="89" dataCellStyle="Normal 2" totalsRowCellStyle="Normal 8"/>
    <tableColumn id="4" xr3:uid="{FF1A4F3C-3F6C-446F-8B08-526D78BC282C}" name="Order Link" dataDxfId="88" totalsRowDxfId="87" dataCellStyle="Normal 2" totalsRowCellStyle="Normal 8"/>
    <tableColumn id="5" xr3:uid="{9D8B4CF4-325B-408F-A2AE-AE2B34D02850}" name="Unit Price" dataDxfId="86" totalsRowDxfId="85" dataCellStyle="Normal 2" totalsRowCellStyle="Normal 8"/>
    <tableColumn id="6" xr3:uid="{CFBCAD5B-56E7-4A04-AF29-45144EFD1BB4}" name="Line Price" dataDxfId="84" totalsRowDxfId="83" dataCellStyle="Normal 2">
      <calculatedColumnFormula>Table916[[#This Row],[Unit Price]]*Table916[[#This Row],[Pack Order Quantity]]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A456747-D398-4471-8B86-AB700DA339AD}" name="Table91629" displayName="Table91629" ref="A38:G48" totalsRowShown="0" headerRowDxfId="82" tableBorderDxfId="81" headerRowCellStyle="Normal 2" dataCellStyle="Normal 2">
  <autoFilter ref="A38:G48" xr:uid="{DA456747-D398-4471-8B86-AB700DA339AD}"/>
  <sortState xmlns:xlrd2="http://schemas.microsoft.com/office/spreadsheetml/2017/richdata2" ref="A39:G48">
    <sortCondition ref="A38:A48"/>
  </sortState>
  <tableColumns count="7">
    <tableColumn id="1" xr3:uid="{B397B237-34CC-4F05-A03A-172D9B10CC01}" name="Part name" totalsRowDxfId="80" dataCellStyle="Normal 2" totalsRowCellStyle="Normal 2"/>
    <tableColumn id="7" xr3:uid="{A1AF3E5A-9878-43E6-8325-6EA13891B687}" name="Description" totalsRowDxfId="79" totalsRowCellStyle="Normal 2"/>
    <tableColumn id="2" xr3:uid="{1585E650-1008-4DC9-8D1C-8F6E78001D58}" name="BOM Quantity" dataDxfId="78" totalsRowDxfId="77" dataCellStyle="Normal 2" totalsRowCellStyle="Normal 8"/>
    <tableColumn id="3" xr3:uid="{ADE9D739-BE2E-40A8-B630-52455BDE475A}" name="Pack Order Quantity" dataDxfId="76" totalsRowDxfId="75" dataCellStyle="Normal 2" totalsRowCellStyle="Normal 8"/>
    <tableColumn id="4" xr3:uid="{296D17A3-F08B-44E2-A086-F0504EDD4E0F}" name="Order Link" dataDxfId="74" totalsRowDxfId="73" dataCellStyle="Normal 2" totalsRowCellStyle="Normal 8"/>
    <tableColumn id="5" xr3:uid="{9DCFD757-9179-4EE0-8B7F-47B9D0D8616E}" name="Unit Price" dataDxfId="72" totalsRowDxfId="71" dataCellStyle="Normal 2" totalsRowCellStyle="Normal 8"/>
    <tableColumn id="6" xr3:uid="{6F539997-F510-4553-96A3-965996AEE04A}" name="Line Price" dataDxfId="70" dataCellStyle="Normal 2">
      <calculatedColumnFormula>Table91629[[#This Row],[Unit Price]]*Table91629[[#This Row],[Pack Order Quantity]]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A485C34-0DBE-4411-B49C-86BFD99B3F62}" name="Table913" displayName="Table913" ref="A1:G45" totalsRowShown="0" headerRowDxfId="69" tableBorderDxfId="68" headerRowCellStyle="Normal 2" dataCellStyle="Normal 2">
  <autoFilter ref="A1:G45" xr:uid="{BAD2131D-41B2-42EA-A67B-FBB781AD12E7}"/>
  <sortState xmlns:xlrd2="http://schemas.microsoft.com/office/spreadsheetml/2017/richdata2" ref="A2:G39">
    <sortCondition ref="A1:A39"/>
  </sortState>
  <tableColumns count="7">
    <tableColumn id="1" xr3:uid="{1CE47076-A60D-4220-8B3D-C6D4BAFB1164}" name="Part name" totalsRowDxfId="67" dataCellStyle="Normal 2" totalsRowCellStyle="Normal 2"/>
    <tableColumn id="7" xr3:uid="{D41EBA7C-1A32-4553-871C-D0C5C96C9E90}" name="Description" totalsRowDxfId="66" dataCellStyle="Normal 2" totalsRowCellStyle="Normal 2"/>
    <tableColumn id="2" xr3:uid="{1A8F0BE6-05F1-4339-9CFB-0F9B7B4E13D4}" name="BOM Quantity" dataDxfId="65" totalsRowDxfId="64" dataCellStyle="Normal 2" totalsRowCellStyle="Normal 8"/>
    <tableColumn id="3" xr3:uid="{5CF8414F-3A8C-46E2-8E36-6FFC5E3F7842}" name="Pack Order Quantity" dataDxfId="63" totalsRowDxfId="62" dataCellStyle="Normal 2" totalsRowCellStyle="Normal 8"/>
    <tableColumn id="4" xr3:uid="{14C615EF-C31C-45BB-88C1-5213D1ACC6A2}" name="Order Link" dataDxfId="61" totalsRowDxfId="60" dataCellStyle="Normal 2" totalsRowCellStyle="Normal 8"/>
    <tableColumn id="5" xr3:uid="{2A66A1BC-16D2-4993-9EFD-42CA635930D7}" name="Unit Price" dataDxfId="59" totalsRowDxfId="58" dataCellStyle="Normal 2" totalsRowCellStyle="Normal 8"/>
    <tableColumn id="6" xr3:uid="{96710942-BDDF-4948-9CE8-6267DCBD1BFC}" name="Line Price" dataDxfId="57" totalsRowDxfId="56" dataCellStyle="Normal 2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A9E0A99-CDD4-4F70-BA5B-784249346C24}" name="Table91317" displayName="Table91317" ref="C1:I74" totalsRowShown="0" headerRowDxfId="55" tableBorderDxfId="5" headerRowCellStyle="Normal 2" dataCellStyle="Normal 2">
  <autoFilter ref="C1:I74" xr:uid="{BAD2131D-41B2-42EA-A67B-FBB781AD12E7}"/>
  <sortState xmlns:xlrd2="http://schemas.microsoft.com/office/spreadsheetml/2017/richdata2" ref="C2:I74">
    <sortCondition ref="C1:C74"/>
  </sortState>
  <tableColumns count="7">
    <tableColumn id="1" xr3:uid="{FEDEBDB4-D2A0-4044-865C-6B89D3CC7592}" name="Part name" totalsRowDxfId="54" dataCellStyle="Normal 2" totalsRowCellStyle="Normal 2"/>
    <tableColumn id="7" xr3:uid="{4C265877-F081-4975-80F2-6B962EBD7F5B}" name="Description" totalsRowDxfId="53" dataCellStyle="Normal 2" totalsRowCellStyle="Normal 2"/>
    <tableColumn id="2" xr3:uid="{C58356B1-645B-4209-9365-0DE732AD7AAF}" name="BOM Quantity" dataDxfId="4" totalsRowDxfId="52" dataCellStyle="Normal 2" totalsRowCellStyle="Normal 8"/>
    <tableColumn id="3" xr3:uid="{A66A2ACA-EC0D-49A7-967B-F3F4C1020B52}" name="Pack Order Quantity" dataDxfId="3" totalsRowDxfId="51" dataCellStyle="Normal 2" totalsRowCellStyle="Normal 8"/>
    <tableColumn id="4" xr3:uid="{65CB8442-0C8A-4A55-B125-1BD6513667D6}" name="Order Link" dataDxfId="2" totalsRowDxfId="50" dataCellStyle="Normal 2" totalsRowCellStyle="Normal 8"/>
    <tableColumn id="5" xr3:uid="{26C6F446-03C5-4E32-9BB4-DDB69CF6332C}" name="Unit Price" dataDxfId="1" totalsRowDxfId="49" dataCellStyle="Normal 2" totalsRowCellStyle="Normal 8"/>
    <tableColumn id="6" xr3:uid="{487062D5-F520-465D-9A7E-764D7A898722}" name="Line Price" dataDxfId="0" totalsRowDxfId="48" dataCellStyle="Normal 2">
      <calculatedColumnFormula>Table91317[[#This Row],[Unit Price]]*Table91317[[#This Row],[Pack Order Quantity]]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0146AFF-010D-476D-80AD-DFB7130CCD89}" name="Table9131718" displayName="Table9131718" ref="A1:G50" totalsRowShown="0" headerRowDxfId="47" tableBorderDxfId="46" headerRowCellStyle="Normal 2" dataCellStyle="Normal 2">
  <autoFilter ref="A1:G50" xr:uid="{BAD2131D-41B2-42EA-A67B-FBB781AD12E7}"/>
  <sortState xmlns:xlrd2="http://schemas.microsoft.com/office/spreadsheetml/2017/richdata2" ref="A2:G50">
    <sortCondition ref="A1:A50"/>
  </sortState>
  <tableColumns count="7">
    <tableColumn id="1" xr3:uid="{3C370705-9D71-4B07-907E-72DEACEAFBA2}" name="Part name" totalsRowDxfId="45" dataCellStyle="Normal 2" totalsRowCellStyle="Normal 2"/>
    <tableColumn id="7" xr3:uid="{D11DB86B-2519-40CE-A3B1-2DFF1E8D8BAF}" name="Description" totalsRowDxfId="44" dataCellStyle="Normal 2" totalsRowCellStyle="Normal 2"/>
    <tableColumn id="2" xr3:uid="{030B0BC7-E7B6-43C0-9200-DE84B404D5FA}" name="BOM Quantity" dataDxfId="43" totalsRowDxfId="42" dataCellStyle="Normal 2" totalsRowCellStyle="Normal 8"/>
    <tableColumn id="3" xr3:uid="{A472BF48-B40D-4380-B6F3-AD3E859AB7D4}" name="Pack Order Quantity" dataDxfId="41" totalsRowDxfId="40" dataCellStyle="Normal 2" totalsRowCellStyle="Normal 8"/>
    <tableColumn id="4" xr3:uid="{4041BC3F-9B73-4D61-84F6-39A371AED494}" name="Order Link" dataDxfId="39" totalsRowDxfId="38" dataCellStyle="Normal 2" totalsRowCellStyle="Normal 8"/>
    <tableColumn id="5" xr3:uid="{C55F0AD7-0E4E-4EB1-93B1-E67300D22740}" name="Unit Price" dataDxfId="37" totalsRowDxfId="36" dataCellStyle="Normal 2" totalsRowCellStyle="Normal 8"/>
    <tableColumn id="6" xr3:uid="{E06FBE61-2628-4CBF-ABC1-B2AFE6287D9A}" name="Line Price" dataDxfId="35" totalsRowDxfId="34" dataCellStyle="Normal 2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C31348F-CB75-44A7-A48C-4BBEA19837B3}" name="Table913171819" displayName="Table913171819" ref="A1:G18" totalsRowShown="0" headerRowDxfId="33" tableBorderDxfId="32" headerRowCellStyle="Normal 2" dataCellStyle="Normal 2">
  <autoFilter ref="A1:G18" xr:uid="{BAD2131D-41B2-42EA-A67B-FBB781AD12E7}"/>
  <sortState xmlns:xlrd2="http://schemas.microsoft.com/office/spreadsheetml/2017/richdata2" ref="A2:G18">
    <sortCondition ref="A1:A18"/>
  </sortState>
  <tableColumns count="7">
    <tableColumn id="1" xr3:uid="{D7153C23-8479-4254-BF69-2A4089CB71C0}" name="Part name" totalsRowDxfId="31" dataCellStyle="Normal 2" totalsRowCellStyle="Normal 2"/>
    <tableColumn id="7" xr3:uid="{5CF4E952-095C-46AE-A57F-99A26E57C478}" name="Description" totalsRowDxfId="30" dataCellStyle="Normal 2" totalsRowCellStyle="Normal 2"/>
    <tableColumn id="2" xr3:uid="{8AE4D1C0-7F70-4D1E-B6EC-42038CE642DF}" name="BOM Quantity" dataDxfId="29" totalsRowDxfId="28" dataCellStyle="Normal 2" totalsRowCellStyle="Normal 8"/>
    <tableColumn id="3" xr3:uid="{835100F3-F752-41A7-881D-EF9EB58A1F06}" name="Pack Order Quantity" dataDxfId="27" totalsRowDxfId="26" dataCellStyle="Normal 2" totalsRowCellStyle="Normal 8"/>
    <tableColumn id="4" xr3:uid="{5FA22CB9-365D-4406-90AA-1375A1464EDC}" name="Order Link" dataDxfId="25" totalsRowDxfId="24" dataCellStyle="Normal 2" totalsRowCellStyle="Normal 8"/>
    <tableColumn id="5" xr3:uid="{C77BED08-1481-43C3-992C-782BA71D1A2F}" name="Unit Price" dataDxfId="23" totalsRowDxfId="22" dataCellStyle="Normal 2" totalsRowCellStyle="Normal 8"/>
    <tableColumn id="6" xr3:uid="{71C5B62B-CDC1-42AB-A1E3-F91441C8D234}" name="Line Price" dataDxfId="21" totalsRowDxfId="20" dataCellStyle="Normal 2">
      <calculatedColumnFormula>Table913171819[[#This Row],[Unit Price]]*Table913171819[[#This Row],[Pack Order Quantity]]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04B429D-E2E1-4265-83DF-FBAD19483C12}" name="Table91317181920" displayName="Table91317181920" ref="A1:G26" totalsRowShown="0" headerRowDxfId="19" tableBorderDxfId="18" headerRowCellStyle="Normal 2" dataCellStyle="Normal 2">
  <autoFilter ref="A1:G26" xr:uid="{BAD2131D-41B2-42EA-A67B-FBB781AD12E7}"/>
  <sortState xmlns:xlrd2="http://schemas.microsoft.com/office/spreadsheetml/2017/richdata2" ref="A2:G26">
    <sortCondition ref="A1:A26"/>
  </sortState>
  <tableColumns count="7">
    <tableColumn id="1" xr3:uid="{E0A0C165-2589-4FA7-A356-93EEE88B2095}" name="Part name" totalsRowDxfId="17" dataCellStyle="Normal 2" totalsRowCellStyle="Normal 2"/>
    <tableColumn id="7" xr3:uid="{49376C16-406D-4D5F-8B92-3BFE5FB962B9}" name="Description" totalsRowDxfId="16" dataCellStyle="Normal 2" totalsRowCellStyle="Normal 2"/>
    <tableColumn id="2" xr3:uid="{6252F354-5A67-4DD7-A1AA-3DADB5EF6BF7}" name="BOM Quantity" dataDxfId="15" totalsRowDxfId="14" dataCellStyle="Normal 2" totalsRowCellStyle="Normal 8"/>
    <tableColumn id="3" xr3:uid="{CEBCEC8D-8589-45D8-A38D-453A173B6A5C}" name="Pack Order Quantity" dataDxfId="13" totalsRowDxfId="12" dataCellStyle="Normal 2" totalsRowCellStyle="Normal 8"/>
    <tableColumn id="4" xr3:uid="{A5B8DC3B-9D4F-4B03-877B-EA360C82CDF3}" name="Order Link" dataDxfId="11" totalsRowDxfId="10" dataCellStyle="Normal 2" totalsRowCellStyle="Normal 8"/>
    <tableColumn id="5" xr3:uid="{D7D53190-213B-4864-8558-6A9813C2C7D5}" name="Unit Price" dataDxfId="9" totalsRowDxfId="8" dataCellStyle="Normal 2" totalsRowCellStyle="Normal 8"/>
    <tableColumn id="6" xr3:uid="{150E56CF-09E3-4836-A822-6DA16145ACAA}" name="Line Price" dataDxfId="7" totalsRowDxfId="6" dataCellStyle="Normal 2">
      <calculatedColumnFormula>Table91317181920[[#This Row],[Unit Price]]*Table91317181920[[#This Row],[Pack Order Quantity]]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.click.aliexpress.com/e/_c4050O4H" TargetMode="External"/><Relationship Id="rId21" Type="http://schemas.openxmlformats.org/officeDocument/2006/relationships/hyperlink" Target="https://s.click.aliexpress.com/e/_c3WYOqRb" TargetMode="External"/><Relationship Id="rId42" Type="http://schemas.openxmlformats.org/officeDocument/2006/relationships/hyperlink" Target="https://s.click.aliexpress.com/e/_c4tOygL7" TargetMode="External"/><Relationship Id="rId47" Type="http://schemas.openxmlformats.org/officeDocument/2006/relationships/hyperlink" Target="https://s.click.aliexpress.com/e/_c3SWMl29" TargetMode="External"/><Relationship Id="rId63" Type="http://schemas.openxmlformats.org/officeDocument/2006/relationships/hyperlink" Target="https://s.click.aliexpress.com/e/_c4kcgpWl" TargetMode="External"/><Relationship Id="rId68" Type="http://schemas.openxmlformats.org/officeDocument/2006/relationships/hyperlink" Target="https://s.click.aliexpress.com/e/_c3DnGI3T" TargetMode="External"/><Relationship Id="rId84" Type="http://schemas.openxmlformats.org/officeDocument/2006/relationships/hyperlink" Target="https://s.click.aliexpress.com/e/_c3LzJrff" TargetMode="External"/><Relationship Id="rId89" Type="http://schemas.openxmlformats.org/officeDocument/2006/relationships/hyperlink" Target="https://s.click.aliexpress.com/e/_c3gsXE2t" TargetMode="External"/><Relationship Id="rId16" Type="http://schemas.openxmlformats.org/officeDocument/2006/relationships/hyperlink" Target="https://s.click.aliexpress.com/e/_c4PHjpil" TargetMode="External"/><Relationship Id="rId11" Type="http://schemas.openxmlformats.org/officeDocument/2006/relationships/hyperlink" Target="https://s.click.aliexpress.com/e/_c3NPtXxJ" TargetMode="External"/><Relationship Id="rId32" Type="http://schemas.openxmlformats.org/officeDocument/2006/relationships/hyperlink" Target="https://s.click.aliexpress.com/e/_c3mGH8Fj" TargetMode="External"/><Relationship Id="rId37" Type="http://schemas.openxmlformats.org/officeDocument/2006/relationships/hyperlink" Target="https://s.click.aliexpress.com/e/_c3seEKjb" TargetMode="External"/><Relationship Id="rId53" Type="http://schemas.openxmlformats.org/officeDocument/2006/relationships/hyperlink" Target="https://s.click.aliexpress.com/e/_c4rtJlUD" TargetMode="External"/><Relationship Id="rId58" Type="http://schemas.openxmlformats.org/officeDocument/2006/relationships/hyperlink" Target="https://s.click.aliexpress.com/e/_c2zAwdsp" TargetMode="External"/><Relationship Id="rId74" Type="http://schemas.openxmlformats.org/officeDocument/2006/relationships/hyperlink" Target="https://s.click.aliexpress.com/e/_c3jfSpKV" TargetMode="External"/><Relationship Id="rId79" Type="http://schemas.openxmlformats.org/officeDocument/2006/relationships/hyperlink" Target="https://s.click.aliexpress.com/e/_c3jfSpKV" TargetMode="External"/><Relationship Id="rId102" Type="http://schemas.openxmlformats.org/officeDocument/2006/relationships/printerSettings" Target="../printerSettings/printerSettings1.bin"/><Relationship Id="rId5" Type="http://schemas.openxmlformats.org/officeDocument/2006/relationships/hyperlink" Target="https://s.click.aliexpress.com/e/_c3a6JZfX" TargetMode="External"/><Relationship Id="rId90" Type="http://schemas.openxmlformats.org/officeDocument/2006/relationships/hyperlink" Target="https://s.click.aliexpress.com/e/_c3jfSpKV" TargetMode="External"/><Relationship Id="rId95" Type="http://schemas.openxmlformats.org/officeDocument/2006/relationships/hyperlink" Target="https://s.click.aliexpress.com/e/_c3cl4lSV" TargetMode="External"/><Relationship Id="rId22" Type="http://schemas.openxmlformats.org/officeDocument/2006/relationships/hyperlink" Target="https://s.click.aliexpress.com/e/_c3WYOqRb" TargetMode="External"/><Relationship Id="rId27" Type="http://schemas.openxmlformats.org/officeDocument/2006/relationships/hyperlink" Target="https://s.click.aliexpress.com/e/_c42ABeod" TargetMode="External"/><Relationship Id="rId43" Type="http://schemas.openxmlformats.org/officeDocument/2006/relationships/hyperlink" Target="https://s.click.aliexpress.com/e/_c3cdEeg9" TargetMode="External"/><Relationship Id="rId48" Type="http://schemas.openxmlformats.org/officeDocument/2006/relationships/hyperlink" Target="https://s.click.aliexpress.com/e/_c4rtJlUD" TargetMode="External"/><Relationship Id="rId64" Type="http://schemas.openxmlformats.org/officeDocument/2006/relationships/hyperlink" Target="https://s.click.aliexpress.com/e/_c30wfREH" TargetMode="External"/><Relationship Id="rId69" Type="http://schemas.openxmlformats.org/officeDocument/2006/relationships/hyperlink" Target="https://s.click.aliexpress.com/e/_c3cl4lSV" TargetMode="External"/><Relationship Id="rId80" Type="http://schemas.openxmlformats.org/officeDocument/2006/relationships/hyperlink" Target="https://s.click.aliexpress.com/e/_c4050O4H" TargetMode="External"/><Relationship Id="rId85" Type="http://schemas.openxmlformats.org/officeDocument/2006/relationships/hyperlink" Target="https://s.click.aliexpress.com/e/_c3LzJrff" TargetMode="External"/><Relationship Id="rId12" Type="http://schemas.openxmlformats.org/officeDocument/2006/relationships/hyperlink" Target="https://s.click.aliexpress.com/e/_c2wVuKPT" TargetMode="External"/><Relationship Id="rId17" Type="http://schemas.openxmlformats.org/officeDocument/2006/relationships/hyperlink" Target="https://s.click.aliexpress.com/e/_c2QW6ybb" TargetMode="External"/><Relationship Id="rId25" Type="http://schemas.openxmlformats.org/officeDocument/2006/relationships/hyperlink" Target="https://s.click.aliexpress.com/e/_c4CALJIH" TargetMode="External"/><Relationship Id="rId33" Type="http://schemas.openxmlformats.org/officeDocument/2006/relationships/hyperlink" Target="https://s.click.aliexpress.com/e/_c3PWO6CN" TargetMode="External"/><Relationship Id="rId38" Type="http://schemas.openxmlformats.org/officeDocument/2006/relationships/hyperlink" Target="https://s.click.aliexpress.com/e/_c3wmkaMH" TargetMode="External"/><Relationship Id="rId46" Type="http://schemas.openxmlformats.org/officeDocument/2006/relationships/hyperlink" Target="https://s.click.aliexpress.com/e/_c3Fj3Z4D" TargetMode="External"/><Relationship Id="rId59" Type="http://schemas.openxmlformats.org/officeDocument/2006/relationships/hyperlink" Target="https://s.click.aliexpress.com/e/_c3WyUNHL" TargetMode="External"/><Relationship Id="rId67" Type="http://schemas.openxmlformats.org/officeDocument/2006/relationships/hyperlink" Target="https://s.click.aliexpress.com/e/_c37g5ZPJ" TargetMode="External"/><Relationship Id="rId103" Type="http://schemas.openxmlformats.org/officeDocument/2006/relationships/table" Target="../tables/table1.xml"/><Relationship Id="rId20" Type="http://schemas.openxmlformats.org/officeDocument/2006/relationships/hyperlink" Target="https://s.click.aliexpress.com/e/_c4NTrrnn" TargetMode="External"/><Relationship Id="rId41" Type="http://schemas.openxmlformats.org/officeDocument/2006/relationships/hyperlink" Target="https://www.aliexpress.com/item/1005008848776055.html" TargetMode="External"/><Relationship Id="rId54" Type="http://schemas.openxmlformats.org/officeDocument/2006/relationships/hyperlink" Target="https://s.click.aliexpress.com/e/_c4E1qB2Z" TargetMode="External"/><Relationship Id="rId62" Type="http://schemas.openxmlformats.org/officeDocument/2006/relationships/hyperlink" Target="https://www.digikey.co.nz/en/products/detail/sparkfun-electronics/13879/6202732" TargetMode="External"/><Relationship Id="rId70" Type="http://schemas.openxmlformats.org/officeDocument/2006/relationships/hyperlink" Target="https://s.click.aliexpress.com/e/_c3DnGI3T" TargetMode="External"/><Relationship Id="rId75" Type="http://schemas.openxmlformats.org/officeDocument/2006/relationships/hyperlink" Target="https://s.click.aliexpress.com/e/_c3jfSpKV" TargetMode="External"/><Relationship Id="rId83" Type="http://schemas.openxmlformats.org/officeDocument/2006/relationships/hyperlink" Target="https://s.click.aliexpress.com/e/_c3bbKMFL" TargetMode="External"/><Relationship Id="rId88" Type="http://schemas.openxmlformats.org/officeDocument/2006/relationships/hyperlink" Target="https://s.click.aliexpress.com/e/_c3gsXE2t" TargetMode="External"/><Relationship Id="rId91" Type="http://schemas.openxmlformats.org/officeDocument/2006/relationships/hyperlink" Target="https://s.click.aliexpress.com/e/_c3gsXE2t" TargetMode="External"/><Relationship Id="rId96" Type="http://schemas.openxmlformats.org/officeDocument/2006/relationships/hyperlink" Target="https://s.click.aliexpress.com/e/_c4kcgpWl" TargetMode="External"/><Relationship Id="rId1" Type="http://schemas.openxmlformats.org/officeDocument/2006/relationships/hyperlink" Target="https://s.click.aliexpress.com/e/_9gB9LL" TargetMode="External"/><Relationship Id="rId6" Type="http://schemas.openxmlformats.org/officeDocument/2006/relationships/hyperlink" Target="https://www.aliexpress.com/item/1005010042779749.html" TargetMode="External"/><Relationship Id="rId15" Type="http://schemas.openxmlformats.org/officeDocument/2006/relationships/hyperlink" Target="https://s.click.aliexpress.com/e/_c3pEjVRB" TargetMode="External"/><Relationship Id="rId23" Type="http://schemas.openxmlformats.org/officeDocument/2006/relationships/hyperlink" Target="https://s.click.aliexpress.com/e/_c3WYOqRb" TargetMode="External"/><Relationship Id="rId28" Type="http://schemas.openxmlformats.org/officeDocument/2006/relationships/hyperlink" Target="https://s.click.aliexpress.com/e/_c2yfvwDX" TargetMode="External"/><Relationship Id="rId36" Type="http://schemas.openxmlformats.org/officeDocument/2006/relationships/hyperlink" Target="https://s.click.aliexpress.com/e/_c2uyw02v" TargetMode="External"/><Relationship Id="rId49" Type="http://schemas.openxmlformats.org/officeDocument/2006/relationships/hyperlink" Target="https://s.click.aliexpress.com/e/_c4rtJlUD" TargetMode="External"/><Relationship Id="rId57" Type="http://schemas.openxmlformats.org/officeDocument/2006/relationships/hyperlink" Target="https://www.aliexpress.com/item/1005003495377989.html" TargetMode="External"/><Relationship Id="rId10" Type="http://schemas.openxmlformats.org/officeDocument/2006/relationships/hyperlink" Target="https://s.click.aliexpress.com/e/_c42ABeod" TargetMode="External"/><Relationship Id="rId31" Type="http://schemas.openxmlformats.org/officeDocument/2006/relationships/hyperlink" Target="https://s.click.aliexpress.com/e/_c3cRHpi9" TargetMode="External"/><Relationship Id="rId44" Type="http://schemas.openxmlformats.org/officeDocument/2006/relationships/hyperlink" Target="https://s.click.aliexpress.com/e/_c3mGH8Fj" TargetMode="External"/><Relationship Id="rId52" Type="http://schemas.openxmlformats.org/officeDocument/2006/relationships/hyperlink" Target="https://s.click.aliexpress.com/e/_c4rtJlUD" TargetMode="External"/><Relationship Id="rId60" Type="http://schemas.openxmlformats.org/officeDocument/2006/relationships/hyperlink" Target="https://s.click.aliexpress.com/e/_c3WyUNHL" TargetMode="External"/><Relationship Id="rId65" Type="http://schemas.openxmlformats.org/officeDocument/2006/relationships/hyperlink" Target="https://s.click.aliexpress.com/e/_c30wfREH" TargetMode="External"/><Relationship Id="rId73" Type="http://schemas.openxmlformats.org/officeDocument/2006/relationships/hyperlink" Target="https://s.click.aliexpress.com/e/_c3jfSpKV" TargetMode="External"/><Relationship Id="rId78" Type="http://schemas.openxmlformats.org/officeDocument/2006/relationships/hyperlink" Target="https://www.aliexpress.com/item/1005008848776055.html" TargetMode="External"/><Relationship Id="rId81" Type="http://schemas.openxmlformats.org/officeDocument/2006/relationships/hyperlink" Target="https://s.click.aliexpress.com/e/_c2zvHf0p" TargetMode="External"/><Relationship Id="rId86" Type="http://schemas.openxmlformats.org/officeDocument/2006/relationships/hyperlink" Target="https://s.click.aliexpress.com/e/_c3w69LJf" TargetMode="External"/><Relationship Id="rId94" Type="http://schemas.openxmlformats.org/officeDocument/2006/relationships/hyperlink" Target="https://s.click.aliexpress.com/e/_c3cl4lSV" TargetMode="External"/><Relationship Id="rId99" Type="http://schemas.openxmlformats.org/officeDocument/2006/relationships/hyperlink" Target="https://s.click.aliexpress.com/e/_c3wmkaMH" TargetMode="External"/><Relationship Id="rId101" Type="http://schemas.openxmlformats.org/officeDocument/2006/relationships/hyperlink" Target="https://s.click.aliexpress.com/e/_c4EuleVP" TargetMode="External"/><Relationship Id="rId4" Type="http://schemas.openxmlformats.org/officeDocument/2006/relationships/hyperlink" Target="https://s.click.aliexpress.com/e/_c3xSGcev" TargetMode="External"/><Relationship Id="rId9" Type="http://schemas.openxmlformats.org/officeDocument/2006/relationships/hyperlink" Target="https://www.aliexpress.com/item/4001085251691.html" TargetMode="External"/><Relationship Id="rId13" Type="http://schemas.openxmlformats.org/officeDocument/2006/relationships/hyperlink" Target="https://s.click.aliexpress.com/e/_c4LSWWWD" TargetMode="External"/><Relationship Id="rId18" Type="http://schemas.openxmlformats.org/officeDocument/2006/relationships/hyperlink" Target="https://s.click.aliexpress.com/e/_c3suoWc5" TargetMode="External"/><Relationship Id="rId39" Type="http://schemas.openxmlformats.org/officeDocument/2006/relationships/hyperlink" Target="https://s.click.aliexpress.com/e/_c3DnGI3T" TargetMode="External"/><Relationship Id="rId34" Type="http://schemas.openxmlformats.org/officeDocument/2006/relationships/hyperlink" Target="https://s.click.aliexpress.com/e/_c4dOzG6h" TargetMode="External"/><Relationship Id="rId50" Type="http://schemas.openxmlformats.org/officeDocument/2006/relationships/hyperlink" Target="https://s.click.aliexpress.com/e/_c4rtJlUD" TargetMode="External"/><Relationship Id="rId55" Type="http://schemas.openxmlformats.org/officeDocument/2006/relationships/hyperlink" Target="https://s.click.aliexpress.com/e/_c2wZSX8N" TargetMode="External"/><Relationship Id="rId76" Type="http://schemas.openxmlformats.org/officeDocument/2006/relationships/hyperlink" Target="https://www.aliexpress.com/item/1005008848776055.html" TargetMode="External"/><Relationship Id="rId97" Type="http://schemas.openxmlformats.org/officeDocument/2006/relationships/hyperlink" Target="https://s.click.aliexpress.com/e/_c3wmkaMH" TargetMode="External"/><Relationship Id="rId7" Type="http://schemas.openxmlformats.org/officeDocument/2006/relationships/hyperlink" Target="https://s.click.aliexpress.com/e/_c39y0zzF" TargetMode="External"/><Relationship Id="rId71" Type="http://schemas.openxmlformats.org/officeDocument/2006/relationships/hyperlink" Target="https://s.click.aliexpress.com/e/_c3gsXE2t" TargetMode="External"/><Relationship Id="rId92" Type="http://schemas.openxmlformats.org/officeDocument/2006/relationships/hyperlink" Target="https://s.click.aliexpress.com/e/_c3cl4lSV" TargetMode="External"/><Relationship Id="rId2" Type="http://schemas.openxmlformats.org/officeDocument/2006/relationships/hyperlink" Target="https://s.click.aliexpress.com/e/_c3L3d1ir" TargetMode="External"/><Relationship Id="rId29" Type="http://schemas.openxmlformats.org/officeDocument/2006/relationships/hyperlink" Target="https://s.click.aliexpress.com/e/_c2yfvwDX" TargetMode="External"/><Relationship Id="rId24" Type="http://schemas.openxmlformats.org/officeDocument/2006/relationships/hyperlink" Target="https://s.click.aliexpress.com/e/_c3DzwoAD" TargetMode="External"/><Relationship Id="rId40" Type="http://schemas.openxmlformats.org/officeDocument/2006/relationships/hyperlink" Target="https://www.aliexpress.com/item/32875744040.html" TargetMode="External"/><Relationship Id="rId45" Type="http://schemas.openxmlformats.org/officeDocument/2006/relationships/hyperlink" Target="https://s.click.aliexpress.com/e/_c3TqIw33" TargetMode="External"/><Relationship Id="rId66" Type="http://schemas.openxmlformats.org/officeDocument/2006/relationships/hyperlink" Target="https://s.click.aliexpress.com/e/_c3CkSQTT" TargetMode="External"/><Relationship Id="rId87" Type="http://schemas.openxmlformats.org/officeDocument/2006/relationships/hyperlink" Target="https://s.click.aliexpress.com/e/_c3GrYLJR" TargetMode="External"/><Relationship Id="rId61" Type="http://schemas.openxmlformats.org/officeDocument/2006/relationships/hyperlink" Target="https://www.digikey.co.nz/en/products/detail/adafruit-industries-llc/4541/12323573?s=N4IgTCBcDaIIIBMCGAzATgVwJYBcAEAkgHYIYDOOaWApmXgDL0DCeALAKysCMIAugL5A" TargetMode="External"/><Relationship Id="rId82" Type="http://schemas.openxmlformats.org/officeDocument/2006/relationships/hyperlink" Target="https://s.click.aliexpress.com/e/_c4lkbEC5" TargetMode="External"/><Relationship Id="rId19" Type="http://schemas.openxmlformats.org/officeDocument/2006/relationships/hyperlink" Target="https://www.aliexpress.com/item/1005003339030118.html" TargetMode="External"/><Relationship Id="rId14" Type="http://schemas.openxmlformats.org/officeDocument/2006/relationships/hyperlink" Target="https://s.click.aliexpress.com/e/_c2uNVH8t" TargetMode="External"/><Relationship Id="rId30" Type="http://schemas.openxmlformats.org/officeDocument/2006/relationships/hyperlink" Target="https://s.click.aliexpress.com/e/_c37g5ZPJ" TargetMode="External"/><Relationship Id="rId35" Type="http://schemas.openxmlformats.org/officeDocument/2006/relationships/hyperlink" Target="https://s.click.aliexpress.com/e/_c4EuleVP" TargetMode="External"/><Relationship Id="rId56" Type="http://schemas.openxmlformats.org/officeDocument/2006/relationships/hyperlink" Target="https://s.click.aliexpress.com/e/_c4WLi6cd" TargetMode="External"/><Relationship Id="rId77" Type="http://schemas.openxmlformats.org/officeDocument/2006/relationships/hyperlink" Target="https://www.aliexpress.com/item/1005008848776055.html" TargetMode="External"/><Relationship Id="rId100" Type="http://schemas.openxmlformats.org/officeDocument/2006/relationships/hyperlink" Target="https://s.click.aliexpress.com/e/_c3h7Zh5j" TargetMode="External"/><Relationship Id="rId8" Type="http://schemas.openxmlformats.org/officeDocument/2006/relationships/hyperlink" Target="https://s.click.aliexpress.com/e/_c4sg0aCl" TargetMode="External"/><Relationship Id="rId51" Type="http://schemas.openxmlformats.org/officeDocument/2006/relationships/hyperlink" Target="https://s.click.aliexpress.com/e/_c4rtJlUD" TargetMode="External"/><Relationship Id="rId72" Type="http://schemas.openxmlformats.org/officeDocument/2006/relationships/hyperlink" Target="https://s.click.aliexpress.com/e/_c3jfSpKV" TargetMode="External"/><Relationship Id="rId93" Type="http://schemas.openxmlformats.org/officeDocument/2006/relationships/hyperlink" Target="https://s.click.aliexpress.com/e/_c3cl4lSV" TargetMode="External"/><Relationship Id="rId98" Type="http://schemas.openxmlformats.org/officeDocument/2006/relationships/hyperlink" Target="https://s.click.aliexpress.com/e/_c4kcgpWl" TargetMode="External"/><Relationship Id="rId3" Type="http://schemas.openxmlformats.org/officeDocument/2006/relationships/hyperlink" Target="https://s.click.aliexpress.com/e/_c3PsUJcZ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atreon.com/pro3d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s://s.click.aliexpress.com/e/_c4rtJlUD" TargetMode="External"/><Relationship Id="rId7" Type="http://schemas.openxmlformats.org/officeDocument/2006/relationships/hyperlink" Target="https://ko-fi.com/pro3d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s.click.aliexpress.com/e/_c4rtJlUD" TargetMode="External"/><Relationship Id="rId1" Type="http://schemas.openxmlformats.org/officeDocument/2006/relationships/hyperlink" Target="https://s.click.aliexpress.com/e/_c4rtJlUD" TargetMode="External"/><Relationship Id="rId6" Type="http://schemas.openxmlformats.org/officeDocument/2006/relationships/hyperlink" Target="https://s.click.aliexpress.com/e/_c4rtJlUD" TargetMode="External"/><Relationship Id="rId11" Type="http://schemas.openxmlformats.org/officeDocument/2006/relationships/hyperlink" Target="https://s.click.aliexpress.com/e/_c4E1qB2Z" TargetMode="External"/><Relationship Id="rId5" Type="http://schemas.openxmlformats.org/officeDocument/2006/relationships/hyperlink" Target="https://s.click.aliexpress.com/e/_c4rtJlUD" TargetMode="External"/><Relationship Id="rId10" Type="http://schemas.openxmlformats.org/officeDocument/2006/relationships/hyperlink" Target="https://s.click.aliexpress.com/e/_c2wZSX8N" TargetMode="External"/><Relationship Id="rId4" Type="http://schemas.openxmlformats.org/officeDocument/2006/relationships/hyperlink" Target="https://s.click.aliexpress.com/e/_c4rtJlUD" TargetMode="External"/><Relationship Id="rId9" Type="http://schemas.openxmlformats.org/officeDocument/2006/relationships/hyperlink" Target="https://www.paypal.com/donate/?hosted_button_id=LZ7RAQGSE4SS8" TargetMode="External"/><Relationship Id="rId1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.click.aliexpress.com/e/_c2yfvwDX" TargetMode="External"/><Relationship Id="rId13" Type="http://schemas.openxmlformats.org/officeDocument/2006/relationships/hyperlink" Target="https://s.click.aliexpress.com/e/_c3Urz7qN" TargetMode="External"/><Relationship Id="rId3" Type="http://schemas.openxmlformats.org/officeDocument/2006/relationships/hyperlink" Target="https://s.click.aliexpress.com/e/_c4dOzG6h" TargetMode="External"/><Relationship Id="rId7" Type="http://schemas.openxmlformats.org/officeDocument/2006/relationships/hyperlink" Target="https://s.click.aliexpress.com/e/_c3NPtXxJ" TargetMode="External"/><Relationship Id="rId12" Type="http://schemas.openxmlformats.org/officeDocument/2006/relationships/hyperlink" Target="https://www.paypal.com/donate/?hosted_button_id=LZ7RAQGSE4SS8" TargetMode="External"/><Relationship Id="rId2" Type="http://schemas.openxmlformats.org/officeDocument/2006/relationships/hyperlink" Target="https://s.click.aliexpress.com/e/_c3WYOqRb" TargetMode="External"/><Relationship Id="rId16" Type="http://schemas.openxmlformats.org/officeDocument/2006/relationships/table" Target="../tables/table3.xml"/><Relationship Id="rId1" Type="http://schemas.openxmlformats.org/officeDocument/2006/relationships/hyperlink" Target="https://s.click.aliexpress.com/e/_c3WYOqRb" TargetMode="External"/><Relationship Id="rId6" Type="http://schemas.openxmlformats.org/officeDocument/2006/relationships/hyperlink" Target="https://s.click.aliexpress.com/e/_c4MqkDt3" TargetMode="External"/><Relationship Id="rId11" Type="http://schemas.openxmlformats.org/officeDocument/2006/relationships/hyperlink" Target="https://www.patreon.com/pro3d" TargetMode="External"/><Relationship Id="rId5" Type="http://schemas.openxmlformats.org/officeDocument/2006/relationships/hyperlink" Target="https://s.click.aliexpress.com/e/_c3FKdiEt" TargetMode="External"/><Relationship Id="rId15" Type="http://schemas.openxmlformats.org/officeDocument/2006/relationships/drawing" Target="../drawings/drawing2.xml"/><Relationship Id="rId10" Type="http://schemas.openxmlformats.org/officeDocument/2006/relationships/hyperlink" Target="https://ko-fi.com/pro3d" TargetMode="External"/><Relationship Id="rId4" Type="http://schemas.openxmlformats.org/officeDocument/2006/relationships/hyperlink" Target="https://s.click.aliexpress.com/e/_c3PWO6CN" TargetMode="External"/><Relationship Id="rId9" Type="http://schemas.openxmlformats.org/officeDocument/2006/relationships/hyperlink" Target="https://s.click.aliexpress.com/e/_c2yfvwDX" TargetMode="External"/><Relationship Id="rId1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s.click.aliexpress.com/e/_c3O4wn0t" TargetMode="External"/><Relationship Id="rId13" Type="http://schemas.openxmlformats.org/officeDocument/2006/relationships/hyperlink" Target="https://s.click.aliexpress.com/e/_c348aGWh" TargetMode="External"/><Relationship Id="rId18" Type="http://schemas.openxmlformats.org/officeDocument/2006/relationships/hyperlink" Target="https://www.aliexpress.com/item/1005003495377989.html" TargetMode="External"/><Relationship Id="rId3" Type="http://schemas.openxmlformats.org/officeDocument/2006/relationships/hyperlink" Target="https://s.click.aliexpress.com/e/_c3FKdiEt" TargetMode="External"/><Relationship Id="rId21" Type="http://schemas.openxmlformats.org/officeDocument/2006/relationships/printerSettings" Target="../printerSettings/printerSettings4.bin"/><Relationship Id="rId7" Type="http://schemas.openxmlformats.org/officeDocument/2006/relationships/hyperlink" Target="https://www.paypal.com/donate/?hosted_button_id=LZ7RAQGSE4SS8" TargetMode="External"/><Relationship Id="rId12" Type="http://schemas.openxmlformats.org/officeDocument/2006/relationships/hyperlink" Target="https://s.click.aliexpress.com/e/_c3ZdOc5R" TargetMode="External"/><Relationship Id="rId17" Type="http://schemas.openxmlformats.org/officeDocument/2006/relationships/hyperlink" Target="https://s.click.aliexpress.com/e/_c4PHjpil" TargetMode="External"/><Relationship Id="rId2" Type="http://schemas.openxmlformats.org/officeDocument/2006/relationships/hyperlink" Target="https://s.click.aliexpress.com/e/_c3PWO6CN" TargetMode="External"/><Relationship Id="rId16" Type="http://schemas.openxmlformats.org/officeDocument/2006/relationships/hyperlink" Target="https://s.click.aliexpress.com/e/_c4LSWWWD" TargetMode="External"/><Relationship Id="rId20" Type="http://schemas.openxmlformats.org/officeDocument/2006/relationships/hyperlink" Target="https://s.click.aliexpress.com/e/_c2v1mREz" TargetMode="External"/><Relationship Id="rId1" Type="http://schemas.openxmlformats.org/officeDocument/2006/relationships/hyperlink" Target="https://s.click.aliexpress.com/e/_c4dOzG6h" TargetMode="External"/><Relationship Id="rId6" Type="http://schemas.openxmlformats.org/officeDocument/2006/relationships/hyperlink" Target="https://www.patreon.com/pro3d" TargetMode="External"/><Relationship Id="rId11" Type="http://schemas.openxmlformats.org/officeDocument/2006/relationships/hyperlink" Target="https://www.aliexpress.com/item/1005003339030118.html" TargetMode="External"/><Relationship Id="rId24" Type="http://schemas.openxmlformats.org/officeDocument/2006/relationships/table" Target="../tables/table5.xml"/><Relationship Id="rId5" Type="http://schemas.openxmlformats.org/officeDocument/2006/relationships/hyperlink" Target="https://ko-fi.com/pro3d" TargetMode="External"/><Relationship Id="rId15" Type="http://schemas.openxmlformats.org/officeDocument/2006/relationships/hyperlink" Target="https://s.click.aliexpress.com/e/_c3dOeMYH" TargetMode="External"/><Relationship Id="rId23" Type="http://schemas.openxmlformats.org/officeDocument/2006/relationships/table" Target="../tables/table4.xml"/><Relationship Id="rId10" Type="http://schemas.openxmlformats.org/officeDocument/2006/relationships/hyperlink" Target="https://s.click.aliexpress.com/e/_c2uNVH8t" TargetMode="External"/><Relationship Id="rId19" Type="http://schemas.openxmlformats.org/officeDocument/2006/relationships/hyperlink" Target="https://s.click.aliexpress.com/e/_c2v1mREz" TargetMode="External"/><Relationship Id="rId4" Type="http://schemas.openxmlformats.org/officeDocument/2006/relationships/hyperlink" Target="https://s.click.aliexpress.com/e/_c2yfvwDX" TargetMode="External"/><Relationship Id="rId9" Type="http://schemas.openxmlformats.org/officeDocument/2006/relationships/hyperlink" Target="https://www.aliexpress.com/item/1005003788713178.html" TargetMode="External"/><Relationship Id="rId14" Type="http://schemas.openxmlformats.org/officeDocument/2006/relationships/hyperlink" Target="https://www.pcbway.com/" TargetMode="External"/><Relationship Id="rId22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s.click.aliexpress.com/e/_c2yfvwDX" TargetMode="External"/><Relationship Id="rId13" Type="http://schemas.openxmlformats.org/officeDocument/2006/relationships/hyperlink" Target="https://s.click.aliexpress.com/e/_c3Urz7qN" TargetMode="External"/><Relationship Id="rId18" Type="http://schemas.openxmlformats.org/officeDocument/2006/relationships/drawing" Target="../drawings/drawing4.xml"/><Relationship Id="rId3" Type="http://schemas.openxmlformats.org/officeDocument/2006/relationships/hyperlink" Target="https://s.click.aliexpress.com/e/_c4dOzG6h" TargetMode="External"/><Relationship Id="rId7" Type="http://schemas.openxmlformats.org/officeDocument/2006/relationships/hyperlink" Target="https://s.click.aliexpress.com/e/_c3NPtXxJ" TargetMode="External"/><Relationship Id="rId12" Type="http://schemas.openxmlformats.org/officeDocument/2006/relationships/hyperlink" Target="https://www.paypal.com/donate/?hosted_button_id=LZ7RAQGSE4SS8" TargetMode="External"/><Relationship Id="rId17" Type="http://schemas.openxmlformats.org/officeDocument/2006/relationships/printerSettings" Target="../printerSettings/printerSettings5.bin"/><Relationship Id="rId2" Type="http://schemas.openxmlformats.org/officeDocument/2006/relationships/hyperlink" Target="https://s.click.aliexpress.com/e/_c3WYOqRb" TargetMode="External"/><Relationship Id="rId16" Type="http://schemas.openxmlformats.org/officeDocument/2006/relationships/hyperlink" Target="https://s.click.aliexpress.com/e/_c4CALJIH" TargetMode="External"/><Relationship Id="rId1" Type="http://schemas.openxmlformats.org/officeDocument/2006/relationships/hyperlink" Target="https://s.click.aliexpress.com/e/_c3WYOqRb" TargetMode="External"/><Relationship Id="rId6" Type="http://schemas.openxmlformats.org/officeDocument/2006/relationships/hyperlink" Target="https://s.click.aliexpress.com/e/_c4MqkDt3" TargetMode="External"/><Relationship Id="rId11" Type="http://schemas.openxmlformats.org/officeDocument/2006/relationships/hyperlink" Target="https://www.patreon.com/pro3d" TargetMode="External"/><Relationship Id="rId5" Type="http://schemas.openxmlformats.org/officeDocument/2006/relationships/hyperlink" Target="https://s.click.aliexpress.com/e/_c3FKdiEt" TargetMode="External"/><Relationship Id="rId15" Type="http://schemas.openxmlformats.org/officeDocument/2006/relationships/hyperlink" Target="https://s.click.aliexpress.com/e/_c3WYOqRb" TargetMode="External"/><Relationship Id="rId10" Type="http://schemas.openxmlformats.org/officeDocument/2006/relationships/hyperlink" Target="https://ko-fi.com/pro3d" TargetMode="External"/><Relationship Id="rId19" Type="http://schemas.openxmlformats.org/officeDocument/2006/relationships/table" Target="../tables/table6.xml"/><Relationship Id="rId4" Type="http://schemas.openxmlformats.org/officeDocument/2006/relationships/hyperlink" Target="https://s.click.aliexpress.com/e/_c3PWO6CN" TargetMode="External"/><Relationship Id="rId9" Type="http://schemas.openxmlformats.org/officeDocument/2006/relationships/hyperlink" Target="https://s.click.aliexpress.com/e/_c2yfvwDX" TargetMode="External"/><Relationship Id="rId14" Type="http://schemas.openxmlformats.org/officeDocument/2006/relationships/hyperlink" Target="https://s.click.aliexpress.com/e/_c4Ek5vBB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drawing" Target="../drawings/drawing5.xm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https://s.click.aliexpress.com/e/_c3NMmnL5" TargetMode="External"/><Relationship Id="rId4" Type="http://schemas.openxmlformats.org/officeDocument/2006/relationships/hyperlink" Target="https://s.click.aliexpress.com/e/_c3suoWc5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ypal.com/donate/?hosted_button_id=LZ7RAQGSE4SS8" TargetMode="Externa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table" Target="../tables/table8.xml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s.click.aliexpress.com/e/_c3g7B4lB" TargetMode="External"/><Relationship Id="rId13" Type="http://schemas.openxmlformats.org/officeDocument/2006/relationships/drawing" Target="../drawings/drawing7.xml"/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hyperlink" Target="https://s.click.aliexpress.com/e/_c3g7B4lB" TargetMode="External"/><Relationship Id="rId12" Type="http://schemas.openxmlformats.org/officeDocument/2006/relationships/printerSettings" Target="../printerSettings/printerSettings8.bin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hyperlink" Target="https://s.click.aliexpress.com/e/_c3pSHvdb" TargetMode="External"/><Relationship Id="rId11" Type="http://schemas.openxmlformats.org/officeDocument/2006/relationships/hyperlink" Target="https://s.click.aliexpress.com/e/_c4lkbEC5" TargetMode="External"/><Relationship Id="rId5" Type="http://schemas.openxmlformats.org/officeDocument/2006/relationships/hyperlink" Target="https://s.click.aliexpress.com/e/_c3BYEDGD" TargetMode="External"/><Relationship Id="rId10" Type="http://schemas.openxmlformats.org/officeDocument/2006/relationships/hyperlink" Target="https://s.click.aliexpress.com/e/_c2zvHf0p" TargetMode="External"/><Relationship Id="rId4" Type="http://schemas.openxmlformats.org/officeDocument/2006/relationships/hyperlink" Target="https://s.click.aliexpress.com/e/_c3BYEDGD" TargetMode="External"/><Relationship Id="rId9" Type="http://schemas.openxmlformats.org/officeDocument/2006/relationships/hyperlink" Target="https://s.click.aliexpress.com/e/_c3bbKMFL" TargetMode="External"/><Relationship Id="rId14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1005007567533885.html" TargetMode="External"/><Relationship Id="rId13" Type="http://schemas.openxmlformats.org/officeDocument/2006/relationships/hyperlink" Target="https://www.aliexpress.com/item/1005001980629942.html" TargetMode="External"/><Relationship Id="rId18" Type="http://schemas.openxmlformats.org/officeDocument/2006/relationships/hyperlink" Target="https://www.aliexpress.com/item/1005001980629942.html" TargetMode="External"/><Relationship Id="rId26" Type="http://schemas.openxmlformats.org/officeDocument/2006/relationships/hyperlink" Target="https://www.aliexpress.com/item/1005007983330782.html" TargetMode="External"/><Relationship Id="rId3" Type="http://schemas.openxmlformats.org/officeDocument/2006/relationships/hyperlink" Target="https://www.paypal.com/donate/?hosted_button_id=LZ7RAQGSE4SS8" TargetMode="External"/><Relationship Id="rId21" Type="http://schemas.openxmlformats.org/officeDocument/2006/relationships/hyperlink" Target="https://www.aliexpress.com/item/1005004178876207.html" TargetMode="External"/><Relationship Id="rId7" Type="http://schemas.openxmlformats.org/officeDocument/2006/relationships/hyperlink" Target="https://www.aliexpress.com/item/1005006795313924.html" TargetMode="External"/><Relationship Id="rId12" Type="http://schemas.openxmlformats.org/officeDocument/2006/relationships/hyperlink" Target="https://www.aliexpress.com/item/1005001980629942.html" TargetMode="External"/><Relationship Id="rId17" Type="http://schemas.openxmlformats.org/officeDocument/2006/relationships/hyperlink" Target="https://www.aliexpress.com/item/1005001980629942.html" TargetMode="External"/><Relationship Id="rId25" Type="http://schemas.openxmlformats.org/officeDocument/2006/relationships/hyperlink" Target="https://www.digikey.co.nz/en/products/detail/schurter-inc/8020-5078/6588337" TargetMode="External"/><Relationship Id="rId2" Type="http://schemas.openxmlformats.org/officeDocument/2006/relationships/hyperlink" Target="https://www.patreon.com/pro3d" TargetMode="External"/><Relationship Id="rId16" Type="http://schemas.openxmlformats.org/officeDocument/2006/relationships/hyperlink" Target="https://www.aliexpress.com/item/1005001980629942.html" TargetMode="External"/><Relationship Id="rId20" Type="http://schemas.openxmlformats.org/officeDocument/2006/relationships/hyperlink" Target="https://www.aliexpress.com/item/1005007376443518.html" TargetMode="External"/><Relationship Id="rId29" Type="http://schemas.openxmlformats.org/officeDocument/2006/relationships/drawing" Target="../drawings/drawing8.xml"/><Relationship Id="rId1" Type="http://schemas.openxmlformats.org/officeDocument/2006/relationships/hyperlink" Target="https://ko-fi.com/pro3d" TargetMode="External"/><Relationship Id="rId6" Type="http://schemas.openxmlformats.org/officeDocument/2006/relationships/hyperlink" Target="https://s.click.aliexpress.com/e/_c2uZPf8t" TargetMode="External"/><Relationship Id="rId11" Type="http://schemas.openxmlformats.org/officeDocument/2006/relationships/hyperlink" Target="https://www.aliexpress.com/item/1005005439330497.html" TargetMode="External"/><Relationship Id="rId24" Type="http://schemas.openxmlformats.org/officeDocument/2006/relationships/hyperlink" Target="https://www.digikey.co.nz/en/products/detail/optifuse/PMA-DB-04-Q1S/13146953" TargetMode="External"/><Relationship Id="rId5" Type="http://schemas.openxmlformats.org/officeDocument/2006/relationships/hyperlink" Target="https://www.aliexpress.com/item/1005007261776191.html" TargetMode="External"/><Relationship Id="rId15" Type="http://schemas.openxmlformats.org/officeDocument/2006/relationships/hyperlink" Target="https://www.aliexpress.com/item/1005001980629942.html" TargetMode="External"/><Relationship Id="rId23" Type="http://schemas.openxmlformats.org/officeDocument/2006/relationships/hyperlink" Target="https://www.digikey.co.nz/en/products/detail/te-connectivity-corcom-filters/1-1609112-2/2292077" TargetMode="External"/><Relationship Id="rId28" Type="http://schemas.openxmlformats.org/officeDocument/2006/relationships/printerSettings" Target="../printerSettings/printerSettings9.bin"/><Relationship Id="rId10" Type="http://schemas.openxmlformats.org/officeDocument/2006/relationships/hyperlink" Target="https://s.click.aliexpress.com/e/_c4SPo8x7" TargetMode="External"/><Relationship Id="rId19" Type="http://schemas.openxmlformats.org/officeDocument/2006/relationships/hyperlink" Target="https://www.aliexpress.com/item/1005001980629942.html" TargetMode="External"/><Relationship Id="rId4" Type="http://schemas.openxmlformats.org/officeDocument/2006/relationships/hyperlink" Target="https://www.aliexpress.com/item/1005007261991944.html" TargetMode="External"/><Relationship Id="rId9" Type="http://schemas.openxmlformats.org/officeDocument/2006/relationships/hyperlink" Target="https://s.click.aliexpress.com/e/_c4FIpCjb" TargetMode="External"/><Relationship Id="rId14" Type="http://schemas.openxmlformats.org/officeDocument/2006/relationships/hyperlink" Target="https://www.aliexpress.com/item/1005001980629942.html" TargetMode="External"/><Relationship Id="rId22" Type="http://schemas.openxmlformats.org/officeDocument/2006/relationships/hyperlink" Target="https://www.aliexpress.com/item/1005004178876207.html" TargetMode="External"/><Relationship Id="rId27" Type="http://schemas.openxmlformats.org/officeDocument/2006/relationships/hyperlink" Target="https://www.aliexpress.com/item/1005004178876207.html" TargetMode="External"/><Relationship Id="rId30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liexpress.com/item/400115620453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917A4-7298-4D7B-A802-BED263A933C7}">
  <sheetPr>
    <tabColor rgb="FFFFC000"/>
    <pageSetUpPr fitToPage="1"/>
  </sheetPr>
  <dimension ref="A1:L102"/>
  <sheetViews>
    <sheetView topLeftCell="A24" zoomScale="85" zoomScaleNormal="85" workbookViewId="0">
      <selection activeCell="B43" sqref="B43"/>
    </sheetView>
  </sheetViews>
  <sheetFormatPr defaultColWidth="14.42578125" defaultRowHeight="15" x14ac:dyDescent="0.25"/>
  <cols>
    <col min="1" max="1" width="15.28515625" style="27" bestFit="1" customWidth="1"/>
    <col min="2" max="2" width="44.85546875" style="27" bestFit="1" customWidth="1"/>
    <col min="3" max="3" width="9" style="27" bestFit="1" customWidth="1"/>
    <col min="4" max="4" width="11.42578125" style="27" bestFit="1" customWidth="1"/>
    <col min="5" max="5" width="12.140625" style="27" bestFit="1" customWidth="1"/>
    <col min="6" max="6" width="12.28515625" style="34" bestFit="1" customWidth="1"/>
    <col min="7" max="7" width="13.85546875" style="27" customWidth="1"/>
    <col min="8" max="8" width="9.28515625" style="35" customWidth="1"/>
    <col min="9" max="9" width="47" style="27" customWidth="1"/>
    <col min="10" max="10" width="24.85546875" style="27" customWidth="1"/>
    <col min="11" max="11" width="5.140625" style="27" customWidth="1"/>
    <col min="12" max="12" width="6.140625" style="27" customWidth="1"/>
    <col min="13" max="16384" width="14.42578125" style="27"/>
  </cols>
  <sheetData>
    <row r="1" spans="1:12" s="4" customFormat="1" ht="30" customHeight="1" x14ac:dyDescent="0.25">
      <c r="A1" s="133" t="s">
        <v>0</v>
      </c>
      <c r="B1" s="134" t="s">
        <v>1</v>
      </c>
      <c r="C1" s="134" t="s">
        <v>2</v>
      </c>
      <c r="D1" s="134" t="s">
        <v>3</v>
      </c>
      <c r="E1" s="134" t="s">
        <v>4</v>
      </c>
      <c r="F1" s="134" t="s">
        <v>5</v>
      </c>
      <c r="G1" s="134" t="s">
        <v>6</v>
      </c>
      <c r="H1" s="134" t="s">
        <v>7</v>
      </c>
      <c r="I1" s="135" t="s">
        <v>8</v>
      </c>
      <c r="J1" s="3" t="s">
        <v>9</v>
      </c>
      <c r="K1" s="40" t="s">
        <v>10</v>
      </c>
      <c r="L1" s="41" t="s">
        <v>11</v>
      </c>
    </row>
    <row r="2" spans="1:12" x14ac:dyDescent="0.25">
      <c r="A2" s="42" t="s">
        <v>12</v>
      </c>
      <c r="B2" s="28" t="s">
        <v>16</v>
      </c>
      <c r="C2" s="28"/>
      <c r="D2" s="43">
        <v>30</v>
      </c>
      <c r="E2" s="44">
        <v>3</v>
      </c>
      <c r="F2" s="45">
        <v>6</v>
      </c>
      <c r="G2" s="45">
        <f>E2*F2</f>
        <v>18</v>
      </c>
      <c r="H2" s="36">
        <v>10</v>
      </c>
      <c r="I2" s="86" t="s">
        <v>17</v>
      </c>
      <c r="J2" s="136" t="s">
        <v>18</v>
      </c>
      <c r="L2" s="46"/>
    </row>
    <row r="3" spans="1:12" x14ac:dyDescent="0.25">
      <c r="A3" s="42" t="s">
        <v>12</v>
      </c>
      <c r="B3" s="28" t="s">
        <v>13</v>
      </c>
      <c r="D3" s="27">
        <v>2</v>
      </c>
      <c r="E3" s="44">
        <v>1</v>
      </c>
      <c r="F3" s="45">
        <v>5.03</v>
      </c>
      <c r="G3" s="45">
        <f>E3*F3</f>
        <v>5.03</v>
      </c>
      <c r="H3" s="36">
        <v>10</v>
      </c>
      <c r="I3" s="86" t="s">
        <v>14</v>
      </c>
      <c r="J3" s="47" t="s">
        <v>15</v>
      </c>
      <c r="K3" s="43"/>
      <c r="L3" s="48"/>
    </row>
    <row r="4" spans="1:12" x14ac:dyDescent="0.25">
      <c r="A4" s="49" t="s">
        <v>12</v>
      </c>
      <c r="B4" s="28" t="s">
        <v>19</v>
      </c>
      <c r="D4" s="27">
        <v>2</v>
      </c>
      <c r="E4" s="44">
        <v>1</v>
      </c>
      <c r="F4" s="45">
        <v>18</v>
      </c>
      <c r="G4" s="45">
        <f>E4*F4</f>
        <v>18</v>
      </c>
      <c r="H4" s="36">
        <v>2</v>
      </c>
      <c r="I4" s="86" t="s">
        <v>20</v>
      </c>
      <c r="J4" s="136" t="s">
        <v>21</v>
      </c>
      <c r="K4" s="43"/>
      <c r="L4" s="48"/>
    </row>
    <row r="5" spans="1:12" x14ac:dyDescent="0.25">
      <c r="A5" s="42" t="s">
        <v>22</v>
      </c>
      <c r="B5" s="137" t="s">
        <v>25</v>
      </c>
      <c r="C5" s="50"/>
      <c r="D5" s="51">
        <v>1</v>
      </c>
      <c r="E5" s="44">
        <v>1</v>
      </c>
      <c r="F5" s="45">
        <v>4.18</v>
      </c>
      <c r="G5" s="45">
        <f>E5*F5</f>
        <v>4.18</v>
      </c>
      <c r="H5" s="36">
        <v>10</v>
      </c>
      <c r="I5" s="86" t="s">
        <v>26</v>
      </c>
      <c r="J5" s="47" t="s">
        <v>27</v>
      </c>
      <c r="L5" s="46"/>
    </row>
    <row r="6" spans="1:12" x14ac:dyDescent="0.25">
      <c r="A6" s="42" t="s">
        <v>22</v>
      </c>
      <c r="B6" s="52" t="s">
        <v>23</v>
      </c>
      <c r="C6" s="52"/>
      <c r="D6" s="43">
        <v>24</v>
      </c>
      <c r="E6" s="44">
        <v>2</v>
      </c>
      <c r="F6" s="45">
        <v>5.45</v>
      </c>
      <c r="G6" s="45">
        <f>E6*F6</f>
        <v>10.9</v>
      </c>
      <c r="H6" s="36">
        <v>10</v>
      </c>
      <c r="I6" s="86" t="s">
        <v>24</v>
      </c>
      <c r="J6" s="47" t="s">
        <v>15</v>
      </c>
      <c r="L6" s="46"/>
    </row>
    <row r="7" spans="1:12" x14ac:dyDescent="0.25">
      <c r="A7" s="42" t="s">
        <v>22</v>
      </c>
      <c r="B7" s="138" t="s">
        <v>35</v>
      </c>
      <c r="C7" s="50"/>
      <c r="D7" s="51">
        <v>3</v>
      </c>
      <c r="E7" s="44">
        <v>1</v>
      </c>
      <c r="F7" s="45">
        <v>5.87</v>
      </c>
      <c r="G7" s="45">
        <f>E7*F7</f>
        <v>5.87</v>
      </c>
      <c r="H7" s="36">
        <v>20</v>
      </c>
      <c r="I7" s="86" t="s">
        <v>36</v>
      </c>
      <c r="J7" s="136" t="s">
        <v>37</v>
      </c>
      <c r="L7" s="46"/>
    </row>
    <row r="8" spans="1:12" x14ac:dyDescent="0.25">
      <c r="A8" s="42" t="s">
        <v>22</v>
      </c>
      <c r="B8" s="138" t="s">
        <v>28</v>
      </c>
      <c r="C8" s="50"/>
      <c r="D8" s="53">
        <v>3</v>
      </c>
      <c r="E8" s="44">
        <v>3</v>
      </c>
      <c r="F8" s="45">
        <v>39.5</v>
      </c>
      <c r="G8" s="45">
        <f>E8*F8</f>
        <v>118.5</v>
      </c>
      <c r="H8" s="36">
        <v>1</v>
      </c>
      <c r="I8" s="86" t="s">
        <v>29</v>
      </c>
      <c r="J8" s="54" t="s">
        <v>30</v>
      </c>
      <c r="L8" s="46"/>
    </row>
    <row r="9" spans="1:12" x14ac:dyDescent="0.25">
      <c r="A9" s="42" t="s">
        <v>22</v>
      </c>
      <c r="B9" s="139" t="s">
        <v>31</v>
      </c>
      <c r="C9" s="55"/>
      <c r="D9" s="55">
        <v>2</v>
      </c>
      <c r="E9" s="44">
        <v>2</v>
      </c>
      <c r="F9" s="45">
        <v>36.200000000000003</v>
      </c>
      <c r="G9" s="45">
        <f>E9*F9</f>
        <v>72.400000000000006</v>
      </c>
      <c r="H9" s="36">
        <v>1</v>
      </c>
      <c r="I9" s="86" t="s">
        <v>32</v>
      </c>
      <c r="J9" s="54" t="s">
        <v>30</v>
      </c>
      <c r="L9" s="46"/>
    </row>
    <row r="10" spans="1:12" x14ac:dyDescent="0.25">
      <c r="A10" s="42" t="s">
        <v>22</v>
      </c>
      <c r="B10" s="139" t="s">
        <v>33</v>
      </c>
      <c r="C10" s="55"/>
      <c r="D10" s="55">
        <v>1</v>
      </c>
      <c r="E10" s="44">
        <v>1</v>
      </c>
      <c r="F10" s="45">
        <v>34.200000000000003</v>
      </c>
      <c r="G10" s="45">
        <f>E10*F10</f>
        <v>34.200000000000003</v>
      </c>
      <c r="H10" s="36">
        <v>1</v>
      </c>
      <c r="I10" s="86" t="s">
        <v>34</v>
      </c>
      <c r="J10" s="54" t="s">
        <v>30</v>
      </c>
      <c r="L10" s="46"/>
    </row>
    <row r="11" spans="1:12" x14ac:dyDescent="0.25">
      <c r="A11" s="49" t="s">
        <v>38</v>
      </c>
      <c r="B11" s="27" t="s">
        <v>39</v>
      </c>
      <c r="D11" s="43">
        <v>1</v>
      </c>
      <c r="E11" s="44">
        <v>1</v>
      </c>
      <c r="F11" s="45">
        <v>4.25</v>
      </c>
      <c r="G11" s="45">
        <f>E11*F11</f>
        <v>4.25</v>
      </c>
      <c r="H11" s="36">
        <v>1</v>
      </c>
      <c r="I11" s="86" t="s">
        <v>40</v>
      </c>
      <c r="J11" s="47" t="s">
        <v>41</v>
      </c>
      <c r="L11" s="46"/>
    </row>
    <row r="12" spans="1:12" x14ac:dyDescent="0.25">
      <c r="A12" s="49" t="s">
        <v>42</v>
      </c>
      <c r="B12" s="56" t="s">
        <v>76</v>
      </c>
      <c r="C12" s="50"/>
      <c r="D12" s="50">
        <v>1</v>
      </c>
      <c r="E12" s="44">
        <v>1</v>
      </c>
      <c r="F12" s="45">
        <v>4</v>
      </c>
      <c r="G12" s="45">
        <f>E12*F12</f>
        <v>4</v>
      </c>
      <c r="H12" s="36">
        <v>1</v>
      </c>
      <c r="I12" s="86" t="s">
        <v>77</v>
      </c>
      <c r="J12" s="136" t="s">
        <v>78</v>
      </c>
      <c r="L12" s="46"/>
    </row>
    <row r="13" spans="1:12" x14ac:dyDescent="0.25">
      <c r="A13" s="49" t="s">
        <v>42</v>
      </c>
      <c r="B13" s="140" t="s">
        <v>48</v>
      </c>
      <c r="C13" s="56"/>
      <c r="D13" s="50">
        <v>1</v>
      </c>
      <c r="E13" s="44">
        <v>1</v>
      </c>
      <c r="F13" s="45">
        <v>7</v>
      </c>
      <c r="G13" s="45">
        <f>E13*F13</f>
        <v>7</v>
      </c>
      <c r="H13" s="36">
        <v>2</v>
      </c>
      <c r="I13" s="86" t="s">
        <v>49</v>
      </c>
      <c r="J13" s="136" t="s">
        <v>50</v>
      </c>
      <c r="L13" s="46"/>
    </row>
    <row r="14" spans="1:12" x14ac:dyDescent="0.25">
      <c r="A14" s="92" t="s">
        <v>42</v>
      </c>
      <c r="B14" t="s">
        <v>65</v>
      </c>
      <c r="C14"/>
      <c r="D14">
        <v>1</v>
      </c>
      <c r="E14">
        <v>1</v>
      </c>
      <c r="F14" s="45">
        <v>10</v>
      </c>
      <c r="G14" s="45">
        <f>E14*F14</f>
        <v>10</v>
      </c>
      <c r="H14" s="36">
        <v>1</v>
      </c>
      <c r="I14" s="86" t="s">
        <v>66</v>
      </c>
      <c r="J14" s="141" t="s">
        <v>67</v>
      </c>
      <c r="K14"/>
      <c r="L14" s="2"/>
    </row>
    <row r="15" spans="1:12" x14ac:dyDescent="0.25">
      <c r="A15" s="49" t="s">
        <v>42</v>
      </c>
      <c r="B15" s="27" t="s">
        <v>57</v>
      </c>
      <c r="D15" s="27">
        <v>1</v>
      </c>
      <c r="E15" s="44">
        <v>1</v>
      </c>
      <c r="F15" s="45">
        <v>3</v>
      </c>
      <c r="G15" s="45">
        <f>E15*F15</f>
        <v>3</v>
      </c>
      <c r="H15" s="36">
        <v>2</v>
      </c>
      <c r="I15" s="86" t="s">
        <v>58</v>
      </c>
      <c r="J15" s="57" t="s">
        <v>59</v>
      </c>
      <c r="L15" s="46"/>
    </row>
    <row r="16" spans="1:12" x14ac:dyDescent="0.25">
      <c r="A16" s="49" t="s">
        <v>42</v>
      </c>
      <c r="B16" s="27" t="s">
        <v>60</v>
      </c>
      <c r="D16" s="27">
        <v>1</v>
      </c>
      <c r="E16" s="44">
        <v>1</v>
      </c>
      <c r="F16" s="45">
        <v>2</v>
      </c>
      <c r="G16" s="45">
        <f>E16*F16</f>
        <v>2</v>
      </c>
      <c r="H16" s="36">
        <v>2</v>
      </c>
      <c r="I16" s="86" t="s">
        <v>61</v>
      </c>
      <c r="J16" s="57" t="s">
        <v>59</v>
      </c>
      <c r="L16" s="46"/>
    </row>
    <row r="17" spans="1:12" x14ac:dyDescent="0.25">
      <c r="A17" s="49" t="s">
        <v>42</v>
      </c>
      <c r="B17" s="137" t="s">
        <v>54</v>
      </c>
      <c r="C17" s="51"/>
      <c r="D17" s="51">
        <v>1</v>
      </c>
      <c r="E17" s="44">
        <v>1</v>
      </c>
      <c r="F17" s="45">
        <v>1.8</v>
      </c>
      <c r="G17" s="45">
        <f>E17*F17</f>
        <v>1.8</v>
      </c>
      <c r="H17" s="36">
        <v>1</v>
      </c>
      <c r="I17" s="86" t="s">
        <v>55</v>
      </c>
      <c r="J17" s="136" t="s">
        <v>56</v>
      </c>
      <c r="L17" s="46"/>
    </row>
    <row r="18" spans="1:12" x14ac:dyDescent="0.25">
      <c r="A18" s="49" t="s">
        <v>42</v>
      </c>
      <c r="B18" s="28" t="s">
        <v>73</v>
      </c>
      <c r="C18" s="50"/>
      <c r="D18" s="50">
        <v>1</v>
      </c>
      <c r="E18" s="44">
        <v>1</v>
      </c>
      <c r="F18" s="45">
        <v>14.8</v>
      </c>
      <c r="G18" s="45">
        <f>E18*F18</f>
        <v>14.8</v>
      </c>
      <c r="H18" s="36">
        <v>1</v>
      </c>
      <c r="I18" s="86" t="s">
        <v>74</v>
      </c>
      <c r="J18" s="136" t="s">
        <v>75</v>
      </c>
      <c r="L18" s="46"/>
    </row>
    <row r="19" spans="1:12" x14ac:dyDescent="0.25">
      <c r="A19" s="49" t="s">
        <v>42</v>
      </c>
      <c r="B19" s="138" t="s">
        <v>51</v>
      </c>
      <c r="C19" s="50"/>
      <c r="D19" s="43">
        <v>1</v>
      </c>
      <c r="E19" s="44">
        <v>1</v>
      </c>
      <c r="F19" s="45">
        <v>78.39</v>
      </c>
      <c r="G19" s="45">
        <f>E19*F19</f>
        <v>78.39</v>
      </c>
      <c r="H19" s="36">
        <v>1</v>
      </c>
      <c r="I19" s="86" t="s">
        <v>52</v>
      </c>
      <c r="J19" s="136" t="s">
        <v>53</v>
      </c>
      <c r="L19" s="46"/>
    </row>
    <row r="20" spans="1:12" x14ac:dyDescent="0.25">
      <c r="A20" s="49" t="s">
        <v>42</v>
      </c>
      <c r="B20" s="140" t="s">
        <v>43</v>
      </c>
      <c r="C20" s="140"/>
      <c r="D20" s="140">
        <v>1</v>
      </c>
      <c r="E20" s="44">
        <v>1</v>
      </c>
      <c r="F20" s="45">
        <v>3.95</v>
      </c>
      <c r="G20" s="45">
        <f>E20*F20</f>
        <v>3.95</v>
      </c>
      <c r="H20" s="36">
        <v>1</v>
      </c>
      <c r="I20" s="86" t="s">
        <v>44</v>
      </c>
      <c r="J20" s="136" t="s">
        <v>45</v>
      </c>
      <c r="L20" s="46"/>
    </row>
    <row r="21" spans="1:12" x14ac:dyDescent="0.25">
      <c r="A21" s="49" t="s">
        <v>42</v>
      </c>
      <c r="B21" s="56" t="s">
        <v>46</v>
      </c>
      <c r="C21" s="50"/>
      <c r="D21" s="140">
        <v>1</v>
      </c>
      <c r="E21" s="44">
        <v>1</v>
      </c>
      <c r="F21" s="45">
        <v>11.5</v>
      </c>
      <c r="G21" s="45">
        <f>E21*F21</f>
        <v>11.5</v>
      </c>
      <c r="H21" s="36">
        <v>1</v>
      </c>
      <c r="I21" s="86" t="s">
        <v>47</v>
      </c>
      <c r="J21" s="136" t="s">
        <v>45</v>
      </c>
      <c r="L21" s="46"/>
    </row>
    <row r="22" spans="1:12" x14ac:dyDescent="0.25">
      <c r="A22" s="49" t="s">
        <v>42</v>
      </c>
      <c r="B22" s="139" t="s">
        <v>68</v>
      </c>
      <c r="C22" s="50"/>
      <c r="D22" s="55">
        <v>3</v>
      </c>
      <c r="E22" s="44">
        <v>1</v>
      </c>
      <c r="F22" s="45">
        <v>25</v>
      </c>
      <c r="G22" s="45">
        <f>E22*F22</f>
        <v>25</v>
      </c>
      <c r="H22" s="36">
        <v>3</v>
      </c>
      <c r="I22" s="86" t="s">
        <v>69</v>
      </c>
      <c r="J22" s="54" t="s">
        <v>70</v>
      </c>
      <c r="L22" s="46"/>
    </row>
    <row r="23" spans="1:12" x14ac:dyDescent="0.25">
      <c r="A23" s="49" t="s">
        <v>42</v>
      </c>
      <c r="B23" s="139" t="s">
        <v>71</v>
      </c>
      <c r="C23" s="55"/>
      <c r="D23" s="55">
        <v>2</v>
      </c>
      <c r="E23" s="44">
        <v>2</v>
      </c>
      <c r="F23" s="45">
        <v>14</v>
      </c>
      <c r="G23" s="45">
        <f>E23*F23</f>
        <v>28</v>
      </c>
      <c r="H23" s="36">
        <v>1</v>
      </c>
      <c r="I23" s="86" t="s">
        <v>72</v>
      </c>
      <c r="J23" s="54" t="s">
        <v>70</v>
      </c>
      <c r="L23" s="46"/>
    </row>
    <row r="24" spans="1:12" x14ac:dyDescent="0.25">
      <c r="A24" s="49" t="s">
        <v>42</v>
      </c>
      <c r="B24" s="137" t="s">
        <v>62</v>
      </c>
      <c r="C24" s="50"/>
      <c r="D24" s="50">
        <v>1</v>
      </c>
      <c r="E24" s="44">
        <v>1</v>
      </c>
      <c r="F24" s="45">
        <v>12.4</v>
      </c>
      <c r="G24" s="45">
        <f>E24*F24</f>
        <v>12.4</v>
      </c>
      <c r="H24" s="36">
        <v>1</v>
      </c>
      <c r="I24" s="86" t="s">
        <v>63</v>
      </c>
      <c r="J24" s="136" t="s">
        <v>64</v>
      </c>
      <c r="L24" s="46"/>
    </row>
    <row r="25" spans="1:12" x14ac:dyDescent="0.25">
      <c r="A25" s="49" t="s">
        <v>79</v>
      </c>
      <c r="B25" s="28" t="s">
        <v>80</v>
      </c>
      <c r="C25" s="50"/>
      <c r="D25" s="55">
        <v>5</v>
      </c>
      <c r="E25" s="44">
        <v>1</v>
      </c>
      <c r="F25" s="45">
        <v>25.99</v>
      </c>
      <c r="G25" s="45">
        <f>E25*F25</f>
        <v>25.99</v>
      </c>
      <c r="H25" s="36">
        <v>1</v>
      </c>
      <c r="I25" s="87" t="s">
        <v>81</v>
      </c>
      <c r="J25" s="136" t="s">
        <v>82</v>
      </c>
      <c r="L25" s="46"/>
    </row>
    <row r="26" spans="1:12" x14ac:dyDescent="0.25">
      <c r="A26" s="49" t="s">
        <v>79</v>
      </c>
      <c r="B26" s="28" t="s">
        <v>83</v>
      </c>
      <c r="C26" s="50"/>
      <c r="D26" s="43">
        <v>2</v>
      </c>
      <c r="E26" s="44">
        <v>2</v>
      </c>
      <c r="F26" s="45">
        <v>2</v>
      </c>
      <c r="G26" s="45">
        <f>E26*F26</f>
        <v>4</v>
      </c>
      <c r="H26" s="36">
        <v>1</v>
      </c>
      <c r="I26" s="87" t="s">
        <v>84</v>
      </c>
      <c r="J26" s="136" t="s">
        <v>82</v>
      </c>
      <c r="L26" s="46"/>
    </row>
    <row r="27" spans="1:12" x14ac:dyDescent="0.25">
      <c r="A27" s="58" t="s">
        <v>79</v>
      </c>
      <c r="B27" s="139" t="s">
        <v>85</v>
      </c>
      <c r="C27" s="50"/>
      <c r="D27" s="43">
        <v>3</v>
      </c>
      <c r="E27" s="44">
        <v>3</v>
      </c>
      <c r="F27" s="45">
        <v>16</v>
      </c>
      <c r="G27" s="45">
        <f>E27*F27</f>
        <v>48</v>
      </c>
      <c r="H27" s="36">
        <v>1</v>
      </c>
      <c r="I27" s="87" t="s">
        <v>86</v>
      </c>
      <c r="J27" s="136" t="s">
        <v>82</v>
      </c>
      <c r="L27" s="46"/>
    </row>
    <row r="28" spans="1:12" x14ac:dyDescent="0.25">
      <c r="A28" s="49" t="s">
        <v>79</v>
      </c>
      <c r="B28" s="55" t="s">
        <v>87</v>
      </c>
      <c r="C28" s="55"/>
      <c r="D28" s="43">
        <v>6</v>
      </c>
      <c r="E28" s="44">
        <v>1</v>
      </c>
      <c r="F28" s="45">
        <v>12</v>
      </c>
      <c r="G28" s="45">
        <f>E28*F28</f>
        <v>12</v>
      </c>
      <c r="H28" s="36">
        <v>10</v>
      </c>
      <c r="I28" s="87" t="s">
        <v>88</v>
      </c>
      <c r="J28" s="136" t="s">
        <v>82</v>
      </c>
      <c r="L28" s="46"/>
    </row>
    <row r="29" spans="1:12" x14ac:dyDescent="0.25">
      <c r="A29" s="49" t="s">
        <v>79</v>
      </c>
      <c r="B29" s="59" t="s">
        <v>89</v>
      </c>
      <c r="C29" s="50"/>
      <c r="D29" s="55">
        <v>4</v>
      </c>
      <c r="E29" s="44">
        <v>1</v>
      </c>
      <c r="F29" s="45">
        <v>25</v>
      </c>
      <c r="G29" s="45">
        <f>E29*F29</f>
        <v>25</v>
      </c>
      <c r="H29" s="36">
        <v>5</v>
      </c>
      <c r="I29" s="87" t="s">
        <v>90</v>
      </c>
      <c r="J29" s="136" t="s">
        <v>82</v>
      </c>
      <c r="L29" s="46"/>
    </row>
    <row r="30" spans="1:12" x14ac:dyDescent="0.25">
      <c r="A30" s="42" t="s">
        <v>91</v>
      </c>
      <c r="B30" s="28" t="s">
        <v>95</v>
      </c>
      <c r="C30" s="51"/>
      <c r="D30" s="43">
        <v>4</v>
      </c>
      <c r="E30" s="44">
        <v>1</v>
      </c>
      <c r="F30" s="45">
        <v>9</v>
      </c>
      <c r="G30" s="45">
        <f>E30*F30</f>
        <v>9</v>
      </c>
      <c r="H30" s="36">
        <v>10</v>
      </c>
      <c r="I30" s="87" t="s">
        <v>96</v>
      </c>
      <c r="J30" s="136" t="s">
        <v>97</v>
      </c>
      <c r="K30" s="60"/>
      <c r="L30" s="46"/>
    </row>
    <row r="31" spans="1:12" x14ac:dyDescent="0.25">
      <c r="A31" s="42" t="s">
        <v>91</v>
      </c>
      <c r="B31" s="27" t="s">
        <v>92</v>
      </c>
      <c r="D31" s="43">
        <v>6</v>
      </c>
      <c r="E31" s="44">
        <v>1</v>
      </c>
      <c r="F31" s="45">
        <v>9.1999999999999993</v>
      </c>
      <c r="G31" s="45">
        <f>E31*F31</f>
        <v>9.1999999999999993</v>
      </c>
      <c r="H31" s="36">
        <v>6</v>
      </c>
      <c r="I31" s="87" t="s">
        <v>93</v>
      </c>
      <c r="J31" s="47" t="s">
        <v>94</v>
      </c>
      <c r="K31" s="60"/>
      <c r="L31" s="46"/>
    </row>
    <row r="32" spans="1:12" x14ac:dyDescent="0.25">
      <c r="A32" s="42" t="s">
        <v>91</v>
      </c>
      <c r="B32" s="27" t="s">
        <v>98</v>
      </c>
      <c r="D32" s="43">
        <v>6</v>
      </c>
      <c r="E32" s="44">
        <v>2</v>
      </c>
      <c r="F32" s="45">
        <v>2</v>
      </c>
      <c r="G32" s="45">
        <f>E32*F32</f>
        <v>4</v>
      </c>
      <c r="H32" s="36">
        <v>5</v>
      </c>
      <c r="I32" s="89" t="s">
        <v>99</v>
      </c>
      <c r="J32" s="136" t="s">
        <v>100</v>
      </c>
      <c r="L32" s="46"/>
    </row>
    <row r="33" spans="1:12" x14ac:dyDescent="0.25">
      <c r="A33" s="61" t="s">
        <v>101</v>
      </c>
      <c r="B33" s="62" t="s">
        <v>105</v>
      </c>
      <c r="C33" s="63"/>
      <c r="D33" s="63">
        <v>1</v>
      </c>
      <c r="E33" s="64">
        <v>1</v>
      </c>
      <c r="F33" s="65">
        <v>35</v>
      </c>
      <c r="G33" s="65">
        <f>E33*F33</f>
        <v>35</v>
      </c>
      <c r="H33" s="37">
        <v>1</v>
      </c>
      <c r="I33" s="87" t="s">
        <v>106</v>
      </c>
      <c r="J33" s="66" t="s">
        <v>107</v>
      </c>
      <c r="K33" s="63"/>
      <c r="L33" s="67"/>
    </row>
    <row r="34" spans="1:12" x14ac:dyDescent="0.25">
      <c r="A34" s="49" t="s">
        <v>101</v>
      </c>
      <c r="B34" s="137" t="s">
        <v>102</v>
      </c>
      <c r="C34" s="51"/>
      <c r="D34" s="51">
        <v>1</v>
      </c>
      <c r="E34" s="44">
        <v>1</v>
      </c>
      <c r="F34" s="45">
        <v>40.49</v>
      </c>
      <c r="G34" s="45">
        <f>E34*F34</f>
        <v>40.49</v>
      </c>
      <c r="H34" s="36">
        <v>1</v>
      </c>
      <c r="I34" s="87" t="s">
        <v>103</v>
      </c>
      <c r="J34" s="136" t="s">
        <v>104</v>
      </c>
      <c r="L34" s="46"/>
    </row>
    <row r="35" spans="1:12" x14ac:dyDescent="0.25">
      <c r="A35" s="49" t="s">
        <v>108</v>
      </c>
      <c r="B35" s="28" t="s">
        <v>109</v>
      </c>
      <c r="D35" s="27">
        <v>96</v>
      </c>
      <c r="E35" s="44">
        <v>2</v>
      </c>
      <c r="F35" s="45">
        <v>3</v>
      </c>
      <c r="G35" s="45">
        <f>E35*F35</f>
        <v>6</v>
      </c>
      <c r="H35" s="36">
        <v>50</v>
      </c>
      <c r="I35" s="87" t="s">
        <v>110</v>
      </c>
      <c r="J35" s="136" t="s">
        <v>111</v>
      </c>
      <c r="L35" s="46"/>
    </row>
    <row r="36" spans="1:12" x14ac:dyDescent="0.25">
      <c r="A36" s="49" t="s">
        <v>108</v>
      </c>
      <c r="B36" s="28" t="s">
        <v>114</v>
      </c>
      <c r="D36" s="27">
        <v>41</v>
      </c>
      <c r="E36" s="44">
        <v>2</v>
      </c>
      <c r="F36" s="45">
        <v>1</v>
      </c>
      <c r="G36" s="45">
        <f>E36*F36</f>
        <v>2</v>
      </c>
      <c r="H36" s="36">
        <v>25</v>
      </c>
      <c r="I36" s="87" t="s">
        <v>115</v>
      </c>
      <c r="J36" s="57" t="s">
        <v>100</v>
      </c>
      <c r="K36" s="27">
        <v>934</v>
      </c>
      <c r="L36" s="46"/>
    </row>
    <row r="37" spans="1:12" x14ac:dyDescent="0.25">
      <c r="A37" s="49" t="s">
        <v>108</v>
      </c>
      <c r="B37" s="28" t="s">
        <v>116</v>
      </c>
      <c r="C37" s="28"/>
      <c r="D37" s="43">
        <v>11</v>
      </c>
      <c r="E37" s="44">
        <v>2</v>
      </c>
      <c r="F37" s="45">
        <v>1</v>
      </c>
      <c r="G37" s="45">
        <f>E37*F37</f>
        <v>2</v>
      </c>
      <c r="H37" s="36">
        <v>10</v>
      </c>
      <c r="I37" s="87" t="s">
        <v>117</v>
      </c>
      <c r="J37" s="57" t="s">
        <v>100</v>
      </c>
      <c r="K37" s="43">
        <v>985</v>
      </c>
      <c r="L37" s="48"/>
    </row>
    <row r="38" spans="1:12" x14ac:dyDescent="0.25">
      <c r="A38" s="49" t="s">
        <v>108</v>
      </c>
      <c r="B38" s="28" t="s">
        <v>118</v>
      </c>
      <c r="D38" s="27">
        <v>8</v>
      </c>
      <c r="E38" s="44">
        <v>1</v>
      </c>
      <c r="F38" s="45">
        <v>1</v>
      </c>
      <c r="G38" s="45">
        <f>E38*F38</f>
        <v>1</v>
      </c>
      <c r="H38" s="36">
        <v>25</v>
      </c>
      <c r="I38" s="87" t="s">
        <v>119</v>
      </c>
      <c r="J38" s="57" t="s">
        <v>100</v>
      </c>
      <c r="K38" s="43">
        <v>934</v>
      </c>
      <c r="L38" s="48"/>
    </row>
    <row r="39" spans="1:12" x14ac:dyDescent="0.25">
      <c r="A39" s="49" t="s">
        <v>108</v>
      </c>
      <c r="B39" s="28" t="s">
        <v>120</v>
      </c>
      <c r="C39" s="28"/>
      <c r="D39" s="27">
        <v>17</v>
      </c>
      <c r="E39" s="44">
        <v>2</v>
      </c>
      <c r="F39" s="45">
        <v>1</v>
      </c>
      <c r="G39" s="45">
        <f>E39*F39</f>
        <v>2</v>
      </c>
      <c r="H39" s="36">
        <v>10</v>
      </c>
      <c r="I39" s="87" t="s">
        <v>121</v>
      </c>
      <c r="J39" s="57" t="s">
        <v>100</v>
      </c>
      <c r="K39" s="27">
        <v>985</v>
      </c>
      <c r="L39" s="46">
        <v>10511</v>
      </c>
    </row>
    <row r="40" spans="1:12" x14ac:dyDescent="0.25">
      <c r="A40" s="49" t="s">
        <v>108</v>
      </c>
      <c r="B40" s="27" t="s">
        <v>112</v>
      </c>
      <c r="D40" s="27">
        <v>185</v>
      </c>
      <c r="E40" s="44">
        <v>4</v>
      </c>
      <c r="F40" s="45">
        <v>3</v>
      </c>
      <c r="G40" s="45">
        <f>E40*F40</f>
        <v>12</v>
      </c>
      <c r="H40" s="36">
        <v>50</v>
      </c>
      <c r="I40" s="87" t="s">
        <v>113</v>
      </c>
      <c r="J40" s="136" t="s">
        <v>111</v>
      </c>
      <c r="K40" s="43"/>
      <c r="L40" s="48"/>
    </row>
    <row r="41" spans="1:12" x14ac:dyDescent="0.25">
      <c r="A41" s="49" t="s">
        <v>108</v>
      </c>
      <c r="B41" s="52" t="s">
        <v>122</v>
      </c>
      <c r="C41" s="52"/>
      <c r="D41" s="27">
        <v>27</v>
      </c>
      <c r="E41" s="44">
        <v>2</v>
      </c>
      <c r="F41" s="45">
        <v>1</v>
      </c>
      <c r="G41" s="45">
        <f>E41*F41</f>
        <v>2</v>
      </c>
      <c r="H41" s="36">
        <v>25</v>
      </c>
      <c r="I41" s="87" t="s">
        <v>123</v>
      </c>
      <c r="J41" s="57" t="s">
        <v>100</v>
      </c>
      <c r="K41" s="43">
        <v>934</v>
      </c>
      <c r="L41" s="48"/>
    </row>
    <row r="42" spans="1:12" x14ac:dyDescent="0.25">
      <c r="A42" s="49" t="s">
        <v>108</v>
      </c>
      <c r="B42" s="27" t="s">
        <v>124</v>
      </c>
      <c r="D42" s="27">
        <v>13</v>
      </c>
      <c r="E42" s="44">
        <v>2</v>
      </c>
      <c r="F42" s="45">
        <v>1</v>
      </c>
      <c r="G42" s="45">
        <f>E42*F42</f>
        <v>2</v>
      </c>
      <c r="H42" s="36">
        <v>10</v>
      </c>
      <c r="I42" s="87" t="s">
        <v>125</v>
      </c>
      <c r="J42" s="57" t="s">
        <v>100</v>
      </c>
      <c r="K42" s="27">
        <v>985</v>
      </c>
      <c r="L42" s="46">
        <v>10511</v>
      </c>
    </row>
    <row r="43" spans="1:12" x14ac:dyDescent="0.25">
      <c r="A43" s="49" t="s">
        <v>126</v>
      </c>
      <c r="B43" s="28" t="s">
        <v>127</v>
      </c>
      <c r="C43" s="50">
        <v>286</v>
      </c>
      <c r="D43" s="51">
        <v>2</v>
      </c>
      <c r="E43" s="44">
        <v>1</v>
      </c>
      <c r="F43" s="45">
        <v>18</v>
      </c>
      <c r="G43" s="45">
        <f>E43*F43</f>
        <v>18</v>
      </c>
      <c r="H43" s="36">
        <v>2</v>
      </c>
      <c r="I43" s="87" t="s">
        <v>128</v>
      </c>
      <c r="J43" s="136" t="s">
        <v>129</v>
      </c>
      <c r="L43" s="46"/>
    </row>
    <row r="44" spans="1:12" x14ac:dyDescent="0.25">
      <c r="A44" s="49" t="s">
        <v>130</v>
      </c>
      <c r="B44" s="116" t="s">
        <v>131</v>
      </c>
      <c r="C44" s="50">
        <v>350</v>
      </c>
      <c r="D44" s="50">
        <v>1</v>
      </c>
      <c r="E44" s="44">
        <v>1</v>
      </c>
      <c r="F44" s="45">
        <v>70</v>
      </c>
      <c r="G44" s="45">
        <f>E44*F44</f>
        <v>70</v>
      </c>
      <c r="H44" s="36">
        <v>1</v>
      </c>
      <c r="I44" s="88" t="s">
        <v>132</v>
      </c>
      <c r="J44" s="136" t="s">
        <v>133</v>
      </c>
      <c r="L44" s="46"/>
    </row>
    <row r="45" spans="1:12" x14ac:dyDescent="0.25">
      <c r="A45" s="49" t="s">
        <v>134</v>
      </c>
      <c r="B45" s="70" t="s">
        <v>138</v>
      </c>
      <c r="C45" s="68"/>
      <c r="D45" s="69">
        <v>3</v>
      </c>
      <c r="E45" s="44">
        <v>3</v>
      </c>
      <c r="F45" s="45">
        <v>2.23</v>
      </c>
      <c r="G45" s="45">
        <f>E45*F45</f>
        <v>6.6899999999999995</v>
      </c>
      <c r="H45" s="36">
        <v>1</v>
      </c>
      <c r="I45" s="87" t="s">
        <v>139</v>
      </c>
      <c r="J45" s="47" t="s">
        <v>140</v>
      </c>
      <c r="L45" s="46"/>
    </row>
    <row r="46" spans="1:12" x14ac:dyDescent="0.25">
      <c r="A46" s="49" t="s">
        <v>134</v>
      </c>
      <c r="B46" s="70" t="s">
        <v>141</v>
      </c>
      <c r="C46" s="68"/>
      <c r="D46" s="69">
        <v>3</v>
      </c>
      <c r="E46" s="44">
        <v>3</v>
      </c>
      <c r="F46" s="45">
        <v>2.27</v>
      </c>
      <c r="G46" s="45">
        <f>E46*F46</f>
        <v>6.8100000000000005</v>
      </c>
      <c r="H46" s="36">
        <v>1</v>
      </c>
      <c r="I46" s="87" t="s">
        <v>142</v>
      </c>
      <c r="J46" s="47" t="s">
        <v>140</v>
      </c>
      <c r="L46" s="46"/>
    </row>
    <row r="47" spans="1:12" x14ac:dyDescent="0.25">
      <c r="A47" s="49" t="s">
        <v>134</v>
      </c>
      <c r="B47" s="50" t="s">
        <v>135</v>
      </c>
      <c r="C47" s="51"/>
      <c r="D47" s="51">
        <v>1</v>
      </c>
      <c r="E47" s="44">
        <v>1</v>
      </c>
      <c r="F47" s="45">
        <v>10</v>
      </c>
      <c r="G47" s="45">
        <f>E47*F47</f>
        <v>10</v>
      </c>
      <c r="H47" s="36">
        <v>1</v>
      </c>
      <c r="I47" s="87" t="s">
        <v>136</v>
      </c>
      <c r="J47" s="47" t="s">
        <v>137</v>
      </c>
      <c r="L47" s="46"/>
    </row>
    <row r="48" spans="1:12" x14ac:dyDescent="0.25">
      <c r="A48" s="42" t="s">
        <v>134</v>
      </c>
      <c r="B48" s="142" t="s">
        <v>151</v>
      </c>
      <c r="C48" s="69"/>
      <c r="D48" s="69">
        <v>1</v>
      </c>
      <c r="E48" s="44">
        <v>1</v>
      </c>
      <c r="F48" s="45">
        <v>5</v>
      </c>
      <c r="G48" s="45">
        <f>E48*F48</f>
        <v>5</v>
      </c>
      <c r="H48" s="36">
        <v>1</v>
      </c>
      <c r="I48" s="86" t="s">
        <v>152</v>
      </c>
      <c r="J48" s="136" t="s">
        <v>153</v>
      </c>
      <c r="L48" s="46"/>
    </row>
    <row r="49" spans="1:12" x14ac:dyDescent="0.25">
      <c r="A49" s="42" t="s">
        <v>134</v>
      </c>
      <c r="B49" s="142" t="s">
        <v>148</v>
      </c>
      <c r="C49" s="69"/>
      <c r="D49" s="69">
        <v>1</v>
      </c>
      <c r="E49" s="44">
        <v>1</v>
      </c>
      <c r="F49" s="45">
        <v>35</v>
      </c>
      <c r="G49" s="45">
        <f>E49*F49</f>
        <v>35</v>
      </c>
      <c r="H49" s="36">
        <v>1</v>
      </c>
      <c r="I49" s="86" t="s">
        <v>149</v>
      </c>
      <c r="J49" s="136" t="s">
        <v>150</v>
      </c>
      <c r="L49" s="46"/>
    </row>
    <row r="50" spans="1:12" x14ac:dyDescent="0.25">
      <c r="A50" s="49" t="s">
        <v>134</v>
      </c>
      <c r="B50" s="70" t="s">
        <v>154</v>
      </c>
      <c r="C50" s="68"/>
      <c r="D50" s="69">
        <v>1</v>
      </c>
      <c r="E50" s="44">
        <v>1</v>
      </c>
      <c r="F50" s="45">
        <v>40</v>
      </c>
      <c r="G50" s="45">
        <f>E50*F50</f>
        <v>40</v>
      </c>
      <c r="H50" s="36">
        <v>1</v>
      </c>
      <c r="I50" s="86" t="s">
        <v>155</v>
      </c>
      <c r="J50" s="136" t="s">
        <v>156</v>
      </c>
      <c r="L50" s="46"/>
    </row>
    <row r="51" spans="1:12" x14ac:dyDescent="0.25">
      <c r="A51" s="49" t="s">
        <v>134</v>
      </c>
      <c r="B51" s="142" t="s">
        <v>157</v>
      </c>
      <c r="C51" s="69"/>
      <c r="D51" s="69">
        <v>1</v>
      </c>
      <c r="E51" s="44">
        <v>1</v>
      </c>
      <c r="F51" s="45">
        <v>30</v>
      </c>
      <c r="G51" s="45">
        <f>E51*F51</f>
        <v>30</v>
      </c>
      <c r="H51" s="36">
        <v>1</v>
      </c>
      <c r="I51" s="86" t="s">
        <v>158</v>
      </c>
      <c r="J51" s="136" t="s">
        <v>156</v>
      </c>
      <c r="L51" s="46"/>
    </row>
    <row r="52" spans="1:12" x14ac:dyDescent="0.25">
      <c r="A52" s="49" t="s">
        <v>134</v>
      </c>
      <c r="B52" s="70" t="s">
        <v>143</v>
      </c>
      <c r="C52" s="68"/>
      <c r="D52" s="69">
        <v>3</v>
      </c>
      <c r="E52" s="44">
        <v>1</v>
      </c>
      <c r="F52" s="45">
        <v>5</v>
      </c>
      <c r="G52" s="45">
        <f>E52*F52</f>
        <v>5</v>
      </c>
      <c r="H52" s="36">
        <v>5</v>
      </c>
      <c r="I52" s="86" t="s">
        <v>144</v>
      </c>
      <c r="J52" s="136" t="s">
        <v>145</v>
      </c>
      <c r="L52" s="46"/>
    </row>
    <row r="53" spans="1:12" x14ac:dyDescent="0.25">
      <c r="A53" s="49" t="s">
        <v>134</v>
      </c>
      <c r="B53" s="70" t="s">
        <v>146</v>
      </c>
      <c r="C53" s="68"/>
      <c r="D53" s="69">
        <v>2</v>
      </c>
      <c r="E53" s="44">
        <v>1</v>
      </c>
      <c r="F53" s="45">
        <v>5</v>
      </c>
      <c r="G53" s="45">
        <f>E53*F53</f>
        <v>5</v>
      </c>
      <c r="H53" s="36">
        <v>3</v>
      </c>
      <c r="I53" s="86" t="s">
        <v>147</v>
      </c>
      <c r="J53" s="136" t="s">
        <v>145</v>
      </c>
      <c r="L53" s="46"/>
    </row>
    <row r="54" spans="1:12" x14ac:dyDescent="0.25">
      <c r="A54" s="49" t="s">
        <v>134</v>
      </c>
      <c r="B54" s="137" t="s">
        <v>159</v>
      </c>
      <c r="C54" s="50"/>
      <c r="D54" s="71">
        <v>2</v>
      </c>
      <c r="E54" s="44">
        <v>2</v>
      </c>
      <c r="F54" s="45">
        <v>3.49</v>
      </c>
      <c r="G54" s="45">
        <f>E54*F54</f>
        <v>6.98</v>
      </c>
      <c r="H54" s="36" t="s">
        <v>160</v>
      </c>
      <c r="I54" s="87" t="s">
        <v>161</v>
      </c>
      <c r="J54" s="136" t="s">
        <v>162</v>
      </c>
      <c r="L54" s="46"/>
    </row>
    <row r="55" spans="1:12" x14ac:dyDescent="0.25">
      <c r="A55" s="49" t="s">
        <v>163</v>
      </c>
      <c r="B55" s="143" t="s">
        <v>164</v>
      </c>
      <c r="C55" s="72">
        <v>230</v>
      </c>
      <c r="D55" s="72">
        <v>4</v>
      </c>
      <c r="E55" s="44">
        <v>2</v>
      </c>
      <c r="F55" s="45">
        <v>4</v>
      </c>
      <c r="G55" s="45">
        <f>E55*F55</f>
        <v>8</v>
      </c>
      <c r="H55" s="36">
        <v>1</v>
      </c>
      <c r="I55" s="89" t="s">
        <v>165</v>
      </c>
      <c r="J55" s="136" t="s">
        <v>166</v>
      </c>
      <c r="L55" s="46"/>
    </row>
    <row r="56" spans="1:12" x14ac:dyDescent="0.25">
      <c r="A56" s="49" t="s">
        <v>163</v>
      </c>
      <c r="B56" s="27" t="s">
        <v>169</v>
      </c>
      <c r="C56" s="50"/>
      <c r="D56" s="51">
        <v>2</v>
      </c>
      <c r="E56" s="44">
        <v>1</v>
      </c>
      <c r="F56" s="45">
        <v>8.8800000000000008</v>
      </c>
      <c r="G56" s="45">
        <f>E56*F56</f>
        <v>8.8800000000000008</v>
      </c>
      <c r="H56" s="36">
        <v>4</v>
      </c>
      <c r="I56" s="89" t="s">
        <v>170</v>
      </c>
      <c r="J56" s="136" t="s">
        <v>111</v>
      </c>
      <c r="L56" s="46"/>
    </row>
    <row r="57" spans="1:12" x14ac:dyDescent="0.25">
      <c r="A57" s="49" t="s">
        <v>163</v>
      </c>
      <c r="B57" s="27" t="s">
        <v>171</v>
      </c>
      <c r="C57" s="50"/>
      <c r="D57" s="51">
        <v>34</v>
      </c>
      <c r="E57" s="44">
        <v>4</v>
      </c>
      <c r="F57" s="45">
        <v>5.49</v>
      </c>
      <c r="G57" s="45">
        <f>E57*F57</f>
        <v>21.96</v>
      </c>
      <c r="H57" s="36">
        <v>10</v>
      </c>
      <c r="I57" s="89" t="s">
        <v>172</v>
      </c>
      <c r="J57" s="136" t="s">
        <v>173</v>
      </c>
      <c r="L57" s="46"/>
    </row>
    <row r="58" spans="1:12" x14ac:dyDescent="0.25">
      <c r="A58" s="49" t="s">
        <v>163</v>
      </c>
      <c r="B58" s="139" t="s">
        <v>167</v>
      </c>
      <c r="C58" s="55">
        <v>410</v>
      </c>
      <c r="D58" s="55">
        <v>1</v>
      </c>
      <c r="E58" s="44">
        <v>1</v>
      </c>
      <c r="F58" s="45">
        <v>4.07</v>
      </c>
      <c r="G58" s="45">
        <f>E58*F58</f>
        <v>4.07</v>
      </c>
      <c r="H58" s="36">
        <v>1</v>
      </c>
      <c r="I58" s="89" t="s">
        <v>168</v>
      </c>
      <c r="J58" s="136" t="s">
        <v>166</v>
      </c>
      <c r="L58" s="46"/>
    </row>
    <row r="59" spans="1:12" x14ac:dyDescent="0.25">
      <c r="A59" s="49" t="s">
        <v>174</v>
      </c>
      <c r="B59" s="27" t="s">
        <v>175</v>
      </c>
      <c r="C59" s="73">
        <v>420</v>
      </c>
      <c r="D59" s="27">
        <v>1</v>
      </c>
      <c r="E59" s="44">
        <v>1</v>
      </c>
      <c r="F59" s="45">
        <v>12</v>
      </c>
      <c r="G59" s="45">
        <f>E59*F59</f>
        <v>12</v>
      </c>
      <c r="H59" s="36">
        <v>1</v>
      </c>
      <c r="I59" s="89" t="s">
        <v>176</v>
      </c>
      <c r="J59" s="136" t="s">
        <v>177</v>
      </c>
      <c r="L59" s="46"/>
    </row>
    <row r="60" spans="1:12" x14ac:dyDescent="0.25">
      <c r="A60" s="49" t="s">
        <v>174</v>
      </c>
      <c r="B60" s="27" t="s">
        <v>178</v>
      </c>
      <c r="C60" s="73">
        <v>368</v>
      </c>
      <c r="D60" s="27">
        <v>1</v>
      </c>
      <c r="E60" s="44">
        <v>1</v>
      </c>
      <c r="F60" s="45">
        <v>11</v>
      </c>
      <c r="G60" s="45">
        <f>E60*F60</f>
        <v>11</v>
      </c>
      <c r="H60" s="36">
        <v>1</v>
      </c>
      <c r="I60" s="89" t="s">
        <v>179</v>
      </c>
      <c r="J60" s="136" t="s">
        <v>177</v>
      </c>
      <c r="L60" s="46"/>
    </row>
    <row r="61" spans="1:12" x14ac:dyDescent="0.25">
      <c r="A61" s="49" t="s">
        <v>174</v>
      </c>
      <c r="B61" s="27" t="s">
        <v>180</v>
      </c>
      <c r="C61" s="73">
        <v>172</v>
      </c>
      <c r="D61" s="27">
        <v>1</v>
      </c>
      <c r="E61" s="44">
        <v>1</v>
      </c>
      <c r="F61" s="45">
        <v>9</v>
      </c>
      <c r="G61" s="45">
        <f>E61*F61</f>
        <v>9</v>
      </c>
      <c r="H61" s="36">
        <v>1</v>
      </c>
      <c r="I61" s="89" t="s">
        <v>181</v>
      </c>
      <c r="J61" s="136" t="s">
        <v>177</v>
      </c>
      <c r="L61" s="46"/>
    </row>
    <row r="62" spans="1:12" x14ac:dyDescent="0.25">
      <c r="A62" s="74" t="s">
        <v>182</v>
      </c>
      <c r="B62" s="27" t="s">
        <v>183</v>
      </c>
      <c r="C62" s="73">
        <v>420</v>
      </c>
      <c r="D62" s="27">
        <v>4</v>
      </c>
      <c r="E62" s="44">
        <v>4</v>
      </c>
      <c r="F62" s="45">
        <v>15</v>
      </c>
      <c r="G62" s="45">
        <f>E62*F62</f>
        <v>60</v>
      </c>
      <c r="H62" s="36">
        <v>1</v>
      </c>
      <c r="I62" s="89" t="s">
        <v>184</v>
      </c>
      <c r="J62" s="136" t="s">
        <v>177</v>
      </c>
      <c r="L62" s="46"/>
    </row>
    <row r="63" spans="1:12" x14ac:dyDescent="0.25">
      <c r="A63" s="74" t="s">
        <v>182</v>
      </c>
      <c r="B63" s="27" t="s">
        <v>185</v>
      </c>
      <c r="C63" s="73">
        <v>480</v>
      </c>
      <c r="D63" s="27">
        <v>4</v>
      </c>
      <c r="E63" s="44">
        <v>4</v>
      </c>
      <c r="F63" s="45">
        <v>16</v>
      </c>
      <c r="G63" s="45">
        <f>E63*F63</f>
        <v>64</v>
      </c>
      <c r="H63" s="36">
        <v>1</v>
      </c>
      <c r="I63" s="89" t="s">
        <v>186</v>
      </c>
      <c r="J63" s="136" t="s">
        <v>177</v>
      </c>
      <c r="L63" s="46"/>
    </row>
    <row r="64" spans="1:12" x14ac:dyDescent="0.25">
      <c r="A64" s="49" t="s">
        <v>182</v>
      </c>
      <c r="B64" s="28" t="s">
        <v>187</v>
      </c>
      <c r="C64" s="73">
        <v>750</v>
      </c>
      <c r="D64" s="27">
        <v>4</v>
      </c>
      <c r="E64" s="44">
        <v>4</v>
      </c>
      <c r="F64" s="45">
        <v>40</v>
      </c>
      <c r="G64" s="45">
        <f>E64*F64</f>
        <v>160</v>
      </c>
      <c r="H64" s="36">
        <v>1</v>
      </c>
      <c r="I64" s="89" t="s">
        <v>188</v>
      </c>
      <c r="J64" s="136" t="s">
        <v>177</v>
      </c>
      <c r="L64" s="46"/>
    </row>
    <row r="65" spans="1:12" x14ac:dyDescent="0.25">
      <c r="A65" s="49" t="s">
        <v>189</v>
      </c>
      <c r="B65" s="28" t="s">
        <v>190</v>
      </c>
      <c r="D65" s="27">
        <v>7</v>
      </c>
      <c r="E65" s="44">
        <v>1</v>
      </c>
      <c r="F65" s="45">
        <v>2</v>
      </c>
      <c r="G65" s="45">
        <f>E65*F65</f>
        <v>2</v>
      </c>
      <c r="H65" s="36">
        <v>50</v>
      </c>
      <c r="I65" s="87" t="s">
        <v>191</v>
      </c>
      <c r="J65" s="57" t="s">
        <v>100</v>
      </c>
      <c r="K65" s="27">
        <v>913</v>
      </c>
      <c r="L65" s="46"/>
    </row>
    <row r="66" spans="1:12" x14ac:dyDescent="0.25">
      <c r="A66" s="49" t="s">
        <v>189</v>
      </c>
      <c r="B66" s="52" t="s">
        <v>192</v>
      </c>
      <c r="C66" s="52"/>
      <c r="D66" s="27">
        <v>18</v>
      </c>
      <c r="E66" s="44">
        <v>1</v>
      </c>
      <c r="F66" s="45">
        <v>2</v>
      </c>
      <c r="G66" s="45">
        <f>E66*F66</f>
        <v>2</v>
      </c>
      <c r="H66" s="36">
        <v>25</v>
      </c>
      <c r="I66" s="89" t="s">
        <v>193</v>
      </c>
      <c r="J66" s="57" t="s">
        <v>100</v>
      </c>
      <c r="K66" s="43"/>
      <c r="L66" s="48">
        <v>7380</v>
      </c>
    </row>
    <row r="67" spans="1:12" x14ac:dyDescent="0.25">
      <c r="A67" s="42" t="s">
        <v>189</v>
      </c>
      <c r="B67" s="27" t="s">
        <v>194</v>
      </c>
      <c r="C67" s="28"/>
      <c r="D67" s="27">
        <v>16</v>
      </c>
      <c r="E67" s="44">
        <v>1</v>
      </c>
      <c r="F67" s="45">
        <v>1.21</v>
      </c>
      <c r="G67" s="45">
        <f>E67*F67</f>
        <v>1.21</v>
      </c>
      <c r="H67" s="36">
        <v>25</v>
      </c>
      <c r="I67" s="89" t="s">
        <v>193</v>
      </c>
      <c r="J67" s="57" t="s">
        <v>100</v>
      </c>
      <c r="K67" s="27">
        <v>7991</v>
      </c>
      <c r="L67" s="46"/>
    </row>
    <row r="68" spans="1:12" x14ac:dyDescent="0.25">
      <c r="A68" s="49" t="s">
        <v>189</v>
      </c>
      <c r="B68" s="52" t="s">
        <v>195</v>
      </c>
      <c r="C68" s="52"/>
      <c r="D68" s="27">
        <v>112</v>
      </c>
      <c r="E68" s="44">
        <v>3</v>
      </c>
      <c r="F68" s="45">
        <v>2</v>
      </c>
      <c r="G68" s="45">
        <f>E68*F68</f>
        <v>6</v>
      </c>
      <c r="H68" s="36">
        <v>50</v>
      </c>
      <c r="I68" s="89" t="s">
        <v>196</v>
      </c>
      <c r="J68" s="57" t="s">
        <v>100</v>
      </c>
      <c r="K68" s="27">
        <v>912</v>
      </c>
      <c r="L68" s="46"/>
    </row>
    <row r="69" spans="1:12" x14ac:dyDescent="0.25">
      <c r="A69" s="42" t="s">
        <v>189</v>
      </c>
      <c r="B69" s="52" t="s">
        <v>197</v>
      </c>
      <c r="C69" s="52"/>
      <c r="D69" s="27">
        <v>45</v>
      </c>
      <c r="E69" s="44">
        <v>5</v>
      </c>
      <c r="F69" s="45">
        <v>2</v>
      </c>
      <c r="G69" s="45">
        <f>E69*F69</f>
        <v>10</v>
      </c>
      <c r="H69" s="36">
        <v>50</v>
      </c>
      <c r="I69" s="89" t="s">
        <v>198</v>
      </c>
      <c r="J69" s="57" t="s">
        <v>100</v>
      </c>
      <c r="K69" s="43">
        <v>912</v>
      </c>
      <c r="L69" s="48"/>
    </row>
    <row r="70" spans="1:12" x14ac:dyDescent="0.25">
      <c r="A70" s="42" t="s">
        <v>189</v>
      </c>
      <c r="B70" s="27" t="s">
        <v>199</v>
      </c>
      <c r="C70" s="50"/>
      <c r="D70" s="27">
        <v>12</v>
      </c>
      <c r="E70" s="44">
        <v>1</v>
      </c>
      <c r="F70" s="45">
        <v>2</v>
      </c>
      <c r="G70" s="45">
        <f>E70*F70</f>
        <v>2</v>
      </c>
      <c r="H70" s="36">
        <v>50</v>
      </c>
      <c r="I70" s="89" t="s">
        <v>200</v>
      </c>
      <c r="J70" s="57" t="s">
        <v>100</v>
      </c>
      <c r="K70" s="27">
        <v>912</v>
      </c>
      <c r="L70" s="46"/>
    </row>
    <row r="71" spans="1:12" x14ac:dyDescent="0.25">
      <c r="A71" s="42" t="s">
        <v>189</v>
      </c>
      <c r="B71" s="28" t="s">
        <v>201</v>
      </c>
      <c r="C71" s="28"/>
      <c r="D71" s="27">
        <v>7</v>
      </c>
      <c r="E71" s="44">
        <v>1</v>
      </c>
      <c r="F71" s="45">
        <v>2.27</v>
      </c>
      <c r="G71" s="45">
        <f>E71*F71</f>
        <v>2.27</v>
      </c>
      <c r="H71" s="36">
        <v>50</v>
      </c>
      <c r="I71" s="89" t="s">
        <v>202</v>
      </c>
      <c r="J71" s="57" t="s">
        <v>100</v>
      </c>
      <c r="K71" s="27">
        <v>912</v>
      </c>
      <c r="L71" s="46">
        <v>7380</v>
      </c>
    </row>
    <row r="72" spans="1:12" x14ac:dyDescent="0.25">
      <c r="A72" s="49" t="s">
        <v>189</v>
      </c>
      <c r="B72" s="56" t="s">
        <v>203</v>
      </c>
      <c r="C72" s="50"/>
      <c r="D72" s="27">
        <v>3</v>
      </c>
      <c r="E72" s="44">
        <v>1</v>
      </c>
      <c r="F72" s="45">
        <v>1.2</v>
      </c>
      <c r="G72" s="45">
        <f>E72*F72</f>
        <v>1.2</v>
      </c>
      <c r="H72" s="36">
        <v>20</v>
      </c>
      <c r="I72" s="89" t="s">
        <v>204</v>
      </c>
      <c r="J72" s="57" t="s">
        <v>100</v>
      </c>
      <c r="K72" s="27">
        <v>912</v>
      </c>
      <c r="L72" s="46"/>
    </row>
    <row r="73" spans="1:12" x14ac:dyDescent="0.25">
      <c r="A73" s="42" t="s">
        <v>189</v>
      </c>
      <c r="B73" s="28" t="s">
        <v>205</v>
      </c>
      <c r="C73" s="28"/>
      <c r="D73" s="27">
        <v>6</v>
      </c>
      <c r="E73" s="44"/>
      <c r="F73" s="45">
        <v>0.62</v>
      </c>
      <c r="G73" s="45">
        <f>E73*F73</f>
        <v>0</v>
      </c>
      <c r="H73" s="36">
        <v>1</v>
      </c>
      <c r="I73" s="89" t="s">
        <v>206</v>
      </c>
      <c r="J73" s="136" t="s">
        <v>100</v>
      </c>
      <c r="L73" s="46"/>
    </row>
    <row r="74" spans="1:12" s="29" customFormat="1" ht="15.75" x14ac:dyDescent="0.25">
      <c r="A74" s="49" t="s">
        <v>189</v>
      </c>
      <c r="B74" s="28" t="s">
        <v>207</v>
      </c>
      <c r="C74" s="27"/>
      <c r="D74" s="27">
        <v>4</v>
      </c>
      <c r="E74" s="44">
        <v>1</v>
      </c>
      <c r="F74" s="45">
        <v>1.74</v>
      </c>
      <c r="G74" s="45">
        <f>E74*F74</f>
        <v>1.74</v>
      </c>
      <c r="H74" s="36">
        <v>20</v>
      </c>
      <c r="I74" s="90" t="s">
        <v>208</v>
      </c>
      <c r="J74" s="57" t="s">
        <v>100</v>
      </c>
      <c r="K74" s="43">
        <v>7991</v>
      </c>
      <c r="L74" s="48">
        <v>10642</v>
      </c>
    </row>
    <row r="75" spans="1:12" s="29" customFormat="1" ht="15.75" x14ac:dyDescent="0.25">
      <c r="A75" s="49" t="s">
        <v>189</v>
      </c>
      <c r="B75" s="138" t="s">
        <v>209</v>
      </c>
      <c r="C75" s="50"/>
      <c r="D75" s="27">
        <v>3</v>
      </c>
      <c r="E75" s="44">
        <v>1</v>
      </c>
      <c r="F75" s="45">
        <v>1.82</v>
      </c>
      <c r="G75" s="45">
        <f>E75*F75</f>
        <v>1.82</v>
      </c>
      <c r="H75" s="36">
        <v>20</v>
      </c>
      <c r="I75" s="90" t="s">
        <v>210</v>
      </c>
      <c r="J75" s="57" t="s">
        <v>100</v>
      </c>
      <c r="K75" s="43">
        <v>7991</v>
      </c>
      <c r="L75" s="48"/>
    </row>
    <row r="76" spans="1:12" s="29" customFormat="1" ht="15.75" x14ac:dyDescent="0.25">
      <c r="A76" s="49" t="s">
        <v>189</v>
      </c>
      <c r="B76" s="27" t="s">
        <v>211</v>
      </c>
      <c r="C76" s="50"/>
      <c r="D76" s="27">
        <v>2</v>
      </c>
      <c r="E76" s="44">
        <v>1</v>
      </c>
      <c r="F76" s="45">
        <v>2.5299999999999998</v>
      </c>
      <c r="G76" s="45">
        <f>E76*F76</f>
        <v>2.5299999999999998</v>
      </c>
      <c r="H76" s="36">
        <v>10</v>
      </c>
      <c r="I76" s="90" t="s">
        <v>212</v>
      </c>
      <c r="J76" s="57" t="s">
        <v>100</v>
      </c>
      <c r="K76" s="43">
        <v>933</v>
      </c>
      <c r="L76" s="48"/>
    </row>
    <row r="77" spans="1:12" s="29" customFormat="1" ht="15.75" x14ac:dyDescent="0.25">
      <c r="A77" s="49" t="s">
        <v>189</v>
      </c>
      <c r="B77" s="75" t="s">
        <v>213</v>
      </c>
      <c r="C77" s="75"/>
      <c r="D77" s="27">
        <v>4</v>
      </c>
      <c r="E77" s="44">
        <v>1</v>
      </c>
      <c r="F77" s="45">
        <v>3</v>
      </c>
      <c r="G77" s="45">
        <f>E77*F77</f>
        <v>3</v>
      </c>
      <c r="H77" s="36">
        <v>20</v>
      </c>
      <c r="I77" s="90" t="s">
        <v>214</v>
      </c>
      <c r="J77" s="57" t="s">
        <v>100</v>
      </c>
      <c r="K77" s="27">
        <v>7991</v>
      </c>
      <c r="L77" s="46">
        <v>10642</v>
      </c>
    </row>
    <row r="78" spans="1:12" s="29" customFormat="1" ht="15.75" x14ac:dyDescent="0.25">
      <c r="A78" s="49" t="s">
        <v>189</v>
      </c>
      <c r="B78" s="1" t="s">
        <v>215</v>
      </c>
      <c r="C78" s="27"/>
      <c r="D78" s="27">
        <v>4</v>
      </c>
      <c r="E78" s="44">
        <v>1</v>
      </c>
      <c r="F78" s="45">
        <v>5</v>
      </c>
      <c r="G78" s="45">
        <f>E78*F78</f>
        <v>5</v>
      </c>
      <c r="H78" s="36">
        <v>5</v>
      </c>
      <c r="I78" s="90" t="s">
        <v>216</v>
      </c>
      <c r="J78" s="76" t="s">
        <v>100</v>
      </c>
      <c r="K78" s="27"/>
      <c r="L78" s="46"/>
    </row>
    <row r="79" spans="1:12" s="29" customFormat="1" ht="15.75" x14ac:dyDescent="0.25">
      <c r="A79" s="49" t="s">
        <v>189</v>
      </c>
      <c r="B79" s="52" t="s">
        <v>217</v>
      </c>
      <c r="C79" s="52"/>
      <c r="D79" s="27">
        <v>155</v>
      </c>
      <c r="E79" s="44">
        <v>16</v>
      </c>
      <c r="F79" s="45">
        <v>2</v>
      </c>
      <c r="G79" s="45">
        <f>E79*F79</f>
        <v>32</v>
      </c>
      <c r="H79" s="36">
        <v>10</v>
      </c>
      <c r="I79" s="90" t="s">
        <v>218</v>
      </c>
      <c r="J79" s="57" t="s">
        <v>100</v>
      </c>
      <c r="K79" s="27"/>
      <c r="L79" s="46">
        <v>7380</v>
      </c>
    </row>
    <row r="80" spans="1:12" s="29" customFormat="1" ht="15.75" x14ac:dyDescent="0.25">
      <c r="A80" s="49" t="s">
        <v>189</v>
      </c>
      <c r="B80" s="52" t="s">
        <v>219</v>
      </c>
      <c r="C80" s="50"/>
      <c r="D80" s="27">
        <v>3</v>
      </c>
      <c r="E80" s="44">
        <v>1</v>
      </c>
      <c r="F80" s="45">
        <v>2</v>
      </c>
      <c r="G80" s="45">
        <f>E80*F80</f>
        <v>2</v>
      </c>
      <c r="H80" s="36">
        <v>10</v>
      </c>
      <c r="I80" s="90" t="s">
        <v>220</v>
      </c>
      <c r="J80" s="57" t="s">
        <v>100</v>
      </c>
      <c r="K80" s="43"/>
      <c r="L80" s="48">
        <v>7380</v>
      </c>
    </row>
    <row r="81" spans="1:12" s="29" customFormat="1" ht="15.75" x14ac:dyDescent="0.25">
      <c r="A81" s="49" t="s">
        <v>189</v>
      </c>
      <c r="B81" s="52" t="s">
        <v>221</v>
      </c>
      <c r="C81" s="52"/>
      <c r="D81" s="27">
        <v>4</v>
      </c>
      <c r="E81" s="44">
        <v>1</v>
      </c>
      <c r="F81" s="45">
        <v>2</v>
      </c>
      <c r="G81" s="45">
        <f>E81*F81</f>
        <v>2</v>
      </c>
      <c r="H81" s="36">
        <v>10</v>
      </c>
      <c r="I81" s="90" t="s">
        <v>222</v>
      </c>
      <c r="J81" s="57" t="s">
        <v>100</v>
      </c>
      <c r="K81" s="43">
        <v>912</v>
      </c>
      <c r="L81" s="48">
        <v>7380</v>
      </c>
    </row>
    <row r="82" spans="1:12" s="29" customFormat="1" ht="15.75" x14ac:dyDescent="0.25">
      <c r="A82" s="49" t="s">
        <v>189</v>
      </c>
      <c r="B82" s="139" t="s">
        <v>223</v>
      </c>
      <c r="C82" s="50"/>
      <c r="D82" s="55">
        <v>3</v>
      </c>
      <c r="E82" s="44">
        <v>1</v>
      </c>
      <c r="F82" s="45">
        <v>2.61</v>
      </c>
      <c r="G82" s="45">
        <f>E82*F82</f>
        <v>2.61</v>
      </c>
      <c r="H82" s="36">
        <v>10</v>
      </c>
      <c r="I82" s="90" t="s">
        <v>224</v>
      </c>
      <c r="J82" s="57" t="s">
        <v>100</v>
      </c>
      <c r="K82" s="27">
        <v>933</v>
      </c>
      <c r="L82" s="46"/>
    </row>
    <row r="83" spans="1:12" s="29" customFormat="1" ht="15.75" x14ac:dyDescent="0.25">
      <c r="A83" s="49" t="s">
        <v>189</v>
      </c>
      <c r="B83" s="27" t="s">
        <v>225</v>
      </c>
      <c r="C83" s="50"/>
      <c r="D83" s="55">
        <v>4</v>
      </c>
      <c r="E83" s="44">
        <v>1</v>
      </c>
      <c r="F83" s="45">
        <v>2.17</v>
      </c>
      <c r="G83" s="45">
        <f>E83*F83</f>
        <v>2.17</v>
      </c>
      <c r="H83" s="36">
        <v>10</v>
      </c>
      <c r="I83" s="90" t="s">
        <v>226</v>
      </c>
      <c r="J83" s="57" t="s">
        <v>100</v>
      </c>
      <c r="K83" s="27"/>
      <c r="L83" s="46">
        <v>7380</v>
      </c>
    </row>
    <row r="84" spans="1:12" s="29" customFormat="1" ht="15.75" x14ac:dyDescent="0.25">
      <c r="A84" s="49" t="s">
        <v>189</v>
      </c>
      <c r="B84" s="139" t="s">
        <v>227</v>
      </c>
      <c r="C84" s="55"/>
      <c r="D84" s="55">
        <v>2</v>
      </c>
      <c r="E84" s="44">
        <v>1</v>
      </c>
      <c r="F84" s="45">
        <v>2.92</v>
      </c>
      <c r="G84" s="45">
        <f>E84*F84</f>
        <v>2.92</v>
      </c>
      <c r="H84" s="36">
        <v>10</v>
      </c>
      <c r="I84" s="90" t="s">
        <v>228</v>
      </c>
      <c r="J84" s="57" t="s">
        <v>100</v>
      </c>
      <c r="K84" s="27">
        <v>933</v>
      </c>
      <c r="L84" s="46"/>
    </row>
    <row r="85" spans="1:12" s="29" customFormat="1" ht="15.75" x14ac:dyDescent="0.25">
      <c r="A85" s="49" t="s">
        <v>189</v>
      </c>
      <c r="B85" s="55" t="s">
        <v>229</v>
      </c>
      <c r="C85" s="55"/>
      <c r="D85" s="55">
        <v>44</v>
      </c>
      <c r="E85" s="44">
        <v>5</v>
      </c>
      <c r="F85" s="45">
        <v>3.41</v>
      </c>
      <c r="G85" s="45">
        <f>E85*F85</f>
        <v>17.05</v>
      </c>
      <c r="H85" s="36">
        <v>10</v>
      </c>
      <c r="I85" s="90" t="s">
        <v>230</v>
      </c>
      <c r="J85" s="57" t="s">
        <v>100</v>
      </c>
      <c r="K85" s="27">
        <v>933</v>
      </c>
      <c r="L85" s="46"/>
    </row>
    <row r="86" spans="1:12" s="29" customFormat="1" ht="15.75" x14ac:dyDescent="0.25">
      <c r="A86" s="49" t="s">
        <v>189</v>
      </c>
      <c r="B86" s="55" t="s">
        <v>231</v>
      </c>
      <c r="C86" s="55"/>
      <c r="D86" s="55">
        <v>16</v>
      </c>
      <c r="E86" s="44">
        <v>2</v>
      </c>
      <c r="F86" s="45">
        <v>3.57</v>
      </c>
      <c r="G86" s="45">
        <f>E86*F86</f>
        <v>7.14</v>
      </c>
      <c r="H86" s="36">
        <v>10</v>
      </c>
      <c r="I86" s="90" t="s">
        <v>232</v>
      </c>
      <c r="J86" s="57" t="s">
        <v>100</v>
      </c>
      <c r="K86" s="27">
        <v>933</v>
      </c>
      <c r="L86" s="46"/>
    </row>
    <row r="87" spans="1:12" s="29" customFormat="1" ht="15.75" x14ac:dyDescent="0.25">
      <c r="A87" s="42" t="s">
        <v>189</v>
      </c>
      <c r="B87" s="75" t="s">
        <v>233</v>
      </c>
      <c r="C87" s="50"/>
      <c r="D87" s="27">
        <v>6</v>
      </c>
      <c r="E87" s="44">
        <v>1</v>
      </c>
      <c r="F87" s="45">
        <v>1.64</v>
      </c>
      <c r="G87" s="45">
        <f>E87*F87</f>
        <v>1.64</v>
      </c>
      <c r="H87" s="36">
        <v>10</v>
      </c>
      <c r="I87" s="90" t="s">
        <v>234</v>
      </c>
      <c r="J87" s="57" t="s">
        <v>100</v>
      </c>
      <c r="K87" s="43"/>
      <c r="L87" s="48">
        <v>7380</v>
      </c>
    </row>
    <row r="88" spans="1:12" s="29" customFormat="1" ht="15.75" x14ac:dyDescent="0.25">
      <c r="A88" s="42" t="s">
        <v>235</v>
      </c>
      <c r="B88" s="28" t="s">
        <v>245</v>
      </c>
      <c r="C88" s="27"/>
      <c r="D88" s="43">
        <v>1</v>
      </c>
      <c r="E88" s="44">
        <v>1</v>
      </c>
      <c r="F88" s="45">
        <v>1.64</v>
      </c>
      <c r="G88" s="45">
        <f>E88*F88</f>
        <v>1.64</v>
      </c>
      <c r="H88" s="36">
        <v>10</v>
      </c>
      <c r="I88" s="86" t="s">
        <v>246</v>
      </c>
      <c r="J88" s="47" t="s">
        <v>100</v>
      </c>
      <c r="K88" s="43"/>
      <c r="L88" s="48"/>
    </row>
    <row r="89" spans="1:12" s="29" customFormat="1" ht="15.75" x14ac:dyDescent="0.25">
      <c r="A89" s="42" t="s">
        <v>235</v>
      </c>
      <c r="B89" s="139" t="s">
        <v>236</v>
      </c>
      <c r="C89" s="55"/>
      <c r="D89" s="43">
        <v>4</v>
      </c>
      <c r="E89" s="44">
        <v>1</v>
      </c>
      <c r="F89" s="45">
        <v>11</v>
      </c>
      <c r="G89" s="45">
        <f>E89*F89</f>
        <v>11</v>
      </c>
      <c r="H89" s="36">
        <v>20</v>
      </c>
      <c r="I89" s="87" t="s">
        <v>237</v>
      </c>
      <c r="J89" s="136" t="s">
        <v>238</v>
      </c>
      <c r="K89" s="43"/>
      <c r="L89" s="48"/>
    </row>
    <row r="90" spans="1:12" s="29" customFormat="1" ht="15.75" x14ac:dyDescent="0.25">
      <c r="A90" s="49" t="s">
        <v>235</v>
      </c>
      <c r="B90" s="139" t="s">
        <v>239</v>
      </c>
      <c r="C90" s="50"/>
      <c r="D90" s="43">
        <v>6</v>
      </c>
      <c r="E90" s="44">
        <v>1</v>
      </c>
      <c r="F90" s="45">
        <v>12</v>
      </c>
      <c r="G90" s="45">
        <f>E90*F90</f>
        <v>12</v>
      </c>
      <c r="H90" s="36">
        <v>20</v>
      </c>
      <c r="I90" s="87" t="s">
        <v>240</v>
      </c>
      <c r="J90" s="136" t="s">
        <v>238</v>
      </c>
      <c r="K90" s="43"/>
      <c r="L90" s="48"/>
    </row>
    <row r="91" spans="1:12" s="29" customFormat="1" ht="15.75" x14ac:dyDescent="0.25">
      <c r="A91" s="42" t="s">
        <v>235</v>
      </c>
      <c r="B91" s="139" t="s">
        <v>241</v>
      </c>
      <c r="C91" s="55"/>
      <c r="D91" s="43">
        <v>4</v>
      </c>
      <c r="E91" s="44">
        <v>1</v>
      </c>
      <c r="F91" s="45">
        <v>6.57</v>
      </c>
      <c r="G91" s="45">
        <f>E91*F91</f>
        <v>6.57</v>
      </c>
      <c r="H91" s="36">
        <v>20</v>
      </c>
      <c r="I91" s="87" t="s">
        <v>242</v>
      </c>
      <c r="J91" s="136" t="s">
        <v>238</v>
      </c>
      <c r="K91" s="43"/>
      <c r="L91" s="48"/>
    </row>
    <row r="92" spans="1:12" s="29" customFormat="1" ht="15.75" x14ac:dyDescent="0.25">
      <c r="A92" s="42" t="s">
        <v>235</v>
      </c>
      <c r="B92" s="139" t="s">
        <v>243</v>
      </c>
      <c r="C92" s="55"/>
      <c r="D92" s="43">
        <v>8</v>
      </c>
      <c r="E92" s="44">
        <v>1</v>
      </c>
      <c r="F92" s="45">
        <v>8.91</v>
      </c>
      <c r="G92" s="45">
        <f>E92*F92</f>
        <v>8.91</v>
      </c>
      <c r="H92" s="36">
        <v>20</v>
      </c>
      <c r="I92" s="87" t="s">
        <v>244</v>
      </c>
      <c r="J92" s="136" t="s">
        <v>238</v>
      </c>
      <c r="K92" s="43"/>
      <c r="L92" s="48"/>
    </row>
    <row r="93" spans="1:12" s="29" customFormat="1" ht="15.75" x14ac:dyDescent="0.25">
      <c r="A93" s="42" t="s">
        <v>235</v>
      </c>
      <c r="B93" s="27" t="s">
        <v>247</v>
      </c>
      <c r="C93" s="28">
        <v>400</v>
      </c>
      <c r="D93" s="43">
        <v>1</v>
      </c>
      <c r="E93" s="44">
        <v>1</v>
      </c>
      <c r="F93" s="45">
        <v>5.73</v>
      </c>
      <c r="G93" s="45">
        <f>E93*F93</f>
        <v>5.73</v>
      </c>
      <c r="H93" s="36">
        <v>1</v>
      </c>
      <c r="I93" s="87" t="s">
        <v>248</v>
      </c>
      <c r="J93" s="136" t="s">
        <v>249</v>
      </c>
      <c r="K93" s="43"/>
      <c r="L93" s="48"/>
    </row>
    <row r="94" spans="1:12" s="29" customFormat="1" ht="15.75" x14ac:dyDescent="0.25">
      <c r="A94" s="42" t="s">
        <v>250</v>
      </c>
      <c r="B94" s="52" t="s">
        <v>251</v>
      </c>
      <c r="C94" s="52"/>
      <c r="D94" s="43">
        <v>30</v>
      </c>
      <c r="E94" s="44">
        <v>1</v>
      </c>
      <c r="F94" s="45">
        <v>3.26</v>
      </c>
      <c r="G94" s="45">
        <f>E94*F94</f>
        <v>3.26</v>
      </c>
      <c r="H94" s="36">
        <v>50</v>
      </c>
      <c r="I94" s="90" t="s">
        <v>252</v>
      </c>
      <c r="J94" s="47" t="s">
        <v>100</v>
      </c>
      <c r="K94" s="27">
        <v>988</v>
      </c>
      <c r="L94" s="46">
        <v>10642</v>
      </c>
    </row>
    <row r="95" spans="1:12" s="29" customFormat="1" ht="15.75" x14ac:dyDescent="0.25">
      <c r="A95" s="42" t="s">
        <v>250</v>
      </c>
      <c r="B95" s="144" t="s">
        <v>253</v>
      </c>
      <c r="C95" s="28"/>
      <c r="D95" s="43">
        <v>36</v>
      </c>
      <c r="E95" s="44">
        <v>1</v>
      </c>
      <c r="F95" s="45">
        <v>3</v>
      </c>
      <c r="G95" s="45">
        <f>E95*F95</f>
        <v>3</v>
      </c>
      <c r="H95" s="36">
        <v>50</v>
      </c>
      <c r="I95" s="90" t="s">
        <v>254</v>
      </c>
      <c r="J95" s="47" t="s">
        <v>100</v>
      </c>
      <c r="K95" s="27">
        <v>988</v>
      </c>
      <c r="L95" s="46">
        <v>7380</v>
      </c>
    </row>
    <row r="96" spans="1:12" s="29" customFormat="1" ht="15.75" x14ac:dyDescent="0.25">
      <c r="A96" s="42" t="s">
        <v>250</v>
      </c>
      <c r="B96" s="28" t="s">
        <v>255</v>
      </c>
      <c r="C96" s="28"/>
      <c r="D96" s="43">
        <v>2</v>
      </c>
      <c r="E96" s="44">
        <v>1</v>
      </c>
      <c r="F96" s="45">
        <v>3.75</v>
      </c>
      <c r="G96" s="45">
        <f>E96*F96</f>
        <v>3.75</v>
      </c>
      <c r="H96" s="36">
        <v>50</v>
      </c>
      <c r="I96" s="90" t="s">
        <v>256</v>
      </c>
      <c r="J96" s="47" t="s">
        <v>100</v>
      </c>
      <c r="K96" s="60">
        <v>988</v>
      </c>
      <c r="L96" s="46"/>
    </row>
    <row r="97" spans="1:12" s="29" customFormat="1" ht="15.75" x14ac:dyDescent="0.25">
      <c r="A97" s="42" t="s">
        <v>257</v>
      </c>
      <c r="B97" s="28" t="s">
        <v>258</v>
      </c>
      <c r="C97" s="50"/>
      <c r="D97" s="43">
        <v>2</v>
      </c>
      <c r="E97" s="44">
        <v>1</v>
      </c>
      <c r="F97" s="45">
        <v>3</v>
      </c>
      <c r="G97" s="45">
        <f>E97*F97</f>
        <v>3</v>
      </c>
      <c r="H97" s="36">
        <v>10</v>
      </c>
      <c r="I97" s="87" t="s">
        <v>259</v>
      </c>
      <c r="J97" s="77" t="s">
        <v>260</v>
      </c>
      <c r="K97" s="60"/>
      <c r="L97" s="46"/>
    </row>
    <row r="98" spans="1:12" s="29" customFormat="1" ht="15.75" x14ac:dyDescent="0.25">
      <c r="A98" s="49" t="s">
        <v>261</v>
      </c>
      <c r="B98" s="52" t="s">
        <v>262</v>
      </c>
      <c r="C98" s="52"/>
      <c r="D98" s="43">
        <v>82</v>
      </c>
      <c r="E98" s="44">
        <v>2</v>
      </c>
      <c r="F98" s="45">
        <v>0.88</v>
      </c>
      <c r="G98" s="45">
        <f>E98*F98</f>
        <v>1.76</v>
      </c>
      <c r="H98" s="36">
        <v>50</v>
      </c>
      <c r="I98" s="87" t="s">
        <v>263</v>
      </c>
      <c r="J98" s="57" t="s">
        <v>100</v>
      </c>
      <c r="K98" s="27">
        <v>125</v>
      </c>
      <c r="L98" s="46"/>
    </row>
    <row r="99" spans="1:12" s="29" customFormat="1" ht="15.75" x14ac:dyDescent="0.25">
      <c r="A99" s="49" t="s">
        <v>261</v>
      </c>
      <c r="B99" s="28" t="s">
        <v>264</v>
      </c>
      <c r="C99" s="27"/>
      <c r="D99" s="27">
        <v>17</v>
      </c>
      <c r="E99" s="44">
        <v>1</v>
      </c>
      <c r="F99" s="45">
        <v>2</v>
      </c>
      <c r="G99" s="45">
        <f>E99*F99</f>
        <v>2</v>
      </c>
      <c r="H99" s="36">
        <v>50</v>
      </c>
      <c r="I99" s="87" t="s">
        <v>265</v>
      </c>
      <c r="J99" s="57" t="s">
        <v>100</v>
      </c>
      <c r="K99" s="43">
        <v>25</v>
      </c>
      <c r="L99" s="48"/>
    </row>
    <row r="100" spans="1:12" s="29" customFormat="1" ht="15.75" x14ac:dyDescent="0.25">
      <c r="A100" s="49" t="s">
        <v>261</v>
      </c>
      <c r="B100" s="52" t="s">
        <v>266</v>
      </c>
      <c r="C100" s="52"/>
      <c r="D100" s="27">
        <v>168</v>
      </c>
      <c r="E100" s="44">
        <v>4</v>
      </c>
      <c r="F100" s="45">
        <v>1.79</v>
      </c>
      <c r="G100" s="45">
        <f>E100*F100</f>
        <v>7.16</v>
      </c>
      <c r="H100" s="36">
        <v>50</v>
      </c>
      <c r="I100" s="87" t="s">
        <v>267</v>
      </c>
      <c r="J100" s="57" t="s">
        <v>100</v>
      </c>
      <c r="K100" s="27">
        <v>125</v>
      </c>
      <c r="L100" s="46"/>
    </row>
    <row r="101" spans="1:12" ht="16.5" thickBot="1" x14ac:dyDescent="0.3">
      <c r="A101" s="78" t="s">
        <v>268</v>
      </c>
      <c r="B101" s="79"/>
      <c r="C101" s="79"/>
      <c r="D101" s="80"/>
      <c r="E101" s="80"/>
      <c r="F101" s="81"/>
      <c r="G101" s="82">
        <f>SUBTOTAL(109,Table1321[*Cost Price $USD])</f>
        <v>1512.3200000000006</v>
      </c>
      <c r="H101" s="83"/>
      <c r="I101" s="91" t="s">
        <v>269</v>
      </c>
      <c r="J101" s="84"/>
      <c r="K101" s="84"/>
      <c r="L101" s="85"/>
    </row>
    <row r="102" spans="1:12" x14ac:dyDescent="0.25">
      <c r="G102" s="28"/>
    </row>
  </sheetData>
  <hyperlinks>
    <hyperlink ref="H4" r:id="rId1" display="Color: Buffer 14inch 35cm" xr:uid="{A45C1E65-4D2C-4E50-A96D-C3609389891E}"/>
    <hyperlink ref="H45" r:id="rId2" display="https://s.click.aliexpress.com/e/_c3L3d1ir" xr:uid="{AEFB707D-A1AE-4EFB-B9AF-075A426325F3}"/>
    <hyperlink ref="I29" r:id="rId3" display="W: 9mm-EPDM L: 5M" xr:uid="{8547EB01-111D-4369-8F6F-6D71E163457E}"/>
    <hyperlink ref="I7" r:id="rId4" xr:uid="{DCB991D1-6060-4115-8549-0F88BF037265}"/>
    <hyperlink ref="I94" r:id="rId5" xr:uid="{27E41D46-C6ED-4D48-B23F-D522BD1B8CAD}"/>
    <hyperlink ref="I12:I13" r:id="rId6" display="https://www.aliexpress.com/item/1005010042779749.html" xr:uid="{83FF34FE-EF9B-4920-90F5-2E0883376D67}"/>
    <hyperlink ref="I31" r:id="rId7" display="Color: 6PCS" xr:uid="{83110E66-78FF-482A-A936-8F1BF7578A3C}"/>
    <hyperlink ref="I11" r:id="rId8" xr:uid="{165F55F9-93B5-4C34-AB3E-2D5640BE01F4}"/>
    <hyperlink ref="I4" r:id="rId9" display="https://www.aliexpress.com/item/4001085251691.html" xr:uid="{6FC7652C-4336-480C-B2E7-E04728B15743}"/>
    <hyperlink ref="I3" r:id="rId10" display="688ZZ" xr:uid="{E47035C0-0384-4F36-8610-B86A56A6353C}"/>
    <hyperlink ref="I6" r:id="rId11" display="F606ZZ" xr:uid="{7A42191B-CFDD-4A32-8150-88F26E71C9AC}"/>
    <hyperlink ref="I5" r:id="rId12" xr:uid="{79950C8E-6C0D-43A7-9D36-8F08E49E0336}"/>
    <hyperlink ref="I34" r:id="rId13" xr:uid="{96A70493-75D0-4733-A3CA-6179A33F98AC}"/>
    <hyperlink ref="I17" r:id="rId14" xr:uid="{84B02671-1AA8-4C57-BFB2-4B33E3F24539}"/>
    <hyperlink ref="I13" r:id="rId15" xr:uid="{87783477-33AB-4F63-96D6-84FFA77C3655}"/>
    <hyperlink ref="I47" r:id="rId16" display="C: 30x30" xr:uid="{606973F0-66B4-48E0-9052-7FF9AC915346}"/>
    <hyperlink ref="I24" r:id="rId17" xr:uid="{9E6D60F7-4FD8-4383-A6FD-19E6F8255EF5}"/>
    <hyperlink ref="I43" r:id="rId18" display="https://s.click.aliexpress.com/e/_c3suoWc5" xr:uid="{171176F6-4231-406A-9168-9A596B642215}"/>
    <hyperlink ref="I54" r:id="rId19" xr:uid="{0241C0AB-3D65-413B-8BA6-3B272D19AC35}"/>
    <hyperlink ref="I18" r:id="rId20" xr:uid="{52ADCB77-FF0E-42E8-AC3C-EF1C337A8CEE}"/>
    <hyperlink ref="I8" r:id="rId21" display="Color: L400 - MGN12H" xr:uid="{38BCC57D-FD03-4471-B927-A7E12E3DB518}"/>
    <hyperlink ref="I9" r:id="rId22" display="Color: L400 - MGN12H" xr:uid="{BD6A1B04-1DB5-4668-9226-2B16CD7A0FF8}"/>
    <hyperlink ref="I10" r:id="rId23" display="Color: L400 - MGN12H" xr:uid="{84FFEA79-873A-463E-9519-EA26805DD99E}"/>
    <hyperlink ref="I23" r:id="rId24" display="Color: 17HS19-2504S-H-V1" xr:uid="{63EC9369-3A56-4A55-ADB6-E63DA70C5687}"/>
    <hyperlink ref="I22" r:id="rId25" display="Color: 17HS16 2004S1" xr:uid="{982DA236-4666-4A0F-ABF1-9B4663B545D1}"/>
    <hyperlink ref="I95" r:id="rId26" display="M6x12x1mm -50PCS" xr:uid="{A89E7AD8-F920-4AF5-B677-81DF07FB2B6D}"/>
    <hyperlink ref="I2" r:id="rId27" display="688ZZ" xr:uid="{67E8D5C1-A156-413D-AF31-8133207133A7}"/>
    <hyperlink ref="I91" r:id="rId28" xr:uid="{960B587A-C345-41F8-9F00-5A72468B4E5D}"/>
    <hyperlink ref="I92" r:id="rId29" display="6x25 - 20PCS" xr:uid="{C587A070-5E91-4470-9462-B26505335891}"/>
    <hyperlink ref="I90" r:id="rId30" display="5x50 - 20PCS" xr:uid="{E2BC9294-BE45-4337-94D9-D1A7EB5D4876}"/>
    <hyperlink ref="I93" r:id="rId31" xr:uid="{5DF1E2A3-6063-41FD-B02D-4A4F1F17507D}"/>
    <hyperlink ref="I58" r:id="rId32" display="500mm - 20x20x1mm" xr:uid="{D204D176-2E62-40E3-82BF-401F19A0D89A}"/>
    <hyperlink ref="I25" r:id="rId33" display="9mm-EPDM 5M" xr:uid="{D3872713-B062-4A7C-ADB1-EF62ABB53482}"/>
    <hyperlink ref="I26" r:id="rId34" display="5mm-Pulley 26T" xr:uid="{90074162-A7AA-4715-B971-FF9CE46FAD99}"/>
    <hyperlink ref="I35" r:id="rId35" display="S: M3 - Color: 100PCS" xr:uid="{6449E8A0-482C-470E-97D7-EF72A2F2A913}"/>
    <hyperlink ref="I73" r:id="rId36" xr:uid="{6EB531E8-C3FE-4D01-8D5C-97575E119FCC}"/>
    <hyperlink ref="I78" r:id="rId37" xr:uid="{91B40BE5-71A5-4A12-84CC-1243069DE4B2}"/>
    <hyperlink ref="I37" r:id="rId38" xr:uid="{78488DAB-B700-44AA-A232-44B7D5C2B043}"/>
    <hyperlink ref="I100" r:id="rId39" display="ID: M5(100PCS)" xr:uid="{D89841D5-DE86-4EF3-A46E-87C4608B9CB4}"/>
    <hyperlink ref="I65" r:id="rId40" display="https://www.aliexpress.com/item/32875744040.html" xr:uid="{B0FA3175-5224-4C9F-8913-0677D8386046}"/>
    <hyperlink ref="I82" r:id="rId41" display="https://www.aliexpress.com/item/1005008848776055.html" xr:uid="{7702497C-D29A-4776-9646-42512A281763}"/>
    <hyperlink ref="I76" r:id="rId42" display="S: 10PCS M4 - L: 35" xr:uid="{EEAD0EA0-423E-407A-8EED-083AE2165F0E}"/>
    <hyperlink ref="I88" r:id="rId43" xr:uid="{62AD37E9-A9DA-4CA1-A9DB-A74CBED013B4}"/>
    <hyperlink ref="I55" r:id="rId44" display="500mm - 20x20x1mm" xr:uid="{6064A7A7-4811-4867-831D-5DD621C8F26F}"/>
    <hyperlink ref="I97" r:id="rId45" xr:uid="{B943D4B9-8B39-41E3-AF1C-D92FC272CF39}"/>
    <hyperlink ref="I28" r:id="rId46" display="BD: 5mm BW: 10mm N: 5PCS" xr:uid="{48A1A5F5-9613-43F0-AB8A-D09C3DDA1C3B}"/>
    <hyperlink ref="I27" r:id="rId47" xr:uid="{C6EC4DA3-1FE8-42F5-AF13-426B397564D6}"/>
    <hyperlink ref="I60" r:id="rId48" xr:uid="{0C02753A-60E1-4368-AD8A-ED26844E80A1}"/>
    <hyperlink ref="I59" r:id="rId49" display="Color: 420 mm" xr:uid="{0E8E3DCA-6FE1-423A-9C75-E7E7B690BDB7}"/>
    <hyperlink ref="I61" r:id="rId50" display="Color: L 368mm - 2020" xr:uid="{E9E961A2-7ED9-40FE-ABB1-92D1495A6058}"/>
    <hyperlink ref="I62" r:id="rId51" display="Color: 420 mm" xr:uid="{70CC92A1-3489-49FF-A305-EA4BEBA40EE8}"/>
    <hyperlink ref="I63" r:id="rId52" display="Color: 420 mm" xr:uid="{C2D7AC6A-2B7A-4CF5-B4C9-0F3C2D52367F}"/>
    <hyperlink ref="I64" r:id="rId53" display="Color: 420 mm" xr:uid="{A4259B2C-35E6-4E18-9A22-B39EA6E8A3E3}"/>
    <hyperlink ref="I57" r:id="rId54" display="Color: 4x10PCS 2028 Silver" xr:uid="{C93219CF-4D32-482A-8275-37C1A02D7B04}"/>
    <hyperlink ref="I56" r:id="rId55" display="Color: 1x2020 (4pcs)" xr:uid="{4F3C13A1-F52F-4206-900C-B4E77902BF50}"/>
    <hyperlink ref="I19" r:id="rId56" display="300x300 750W - 120VAC/220VAC" xr:uid="{CEFC505C-03F9-43E8-B793-CAA5CFF42081}"/>
    <hyperlink ref="I14" r:id="rId57" display="https://www.aliexpress.com/item/1005003495377989.html" xr:uid="{53405AEA-9397-4AE8-B810-7AEBBF316A57}"/>
    <hyperlink ref="I33" r:id="rId58" xr:uid="{3B1014CC-EECD-463A-9B67-F6D6371D1C92}"/>
    <hyperlink ref="I15" r:id="rId59" xr:uid="{6308B7F3-791E-4EE3-8A90-FF14B0C92347}"/>
    <hyperlink ref="I16" r:id="rId60" display="Color: 10Pin" xr:uid="{862B1710-40DD-4D45-8591-8540A1F3795D}"/>
    <hyperlink ref="I20" r:id="rId61" xr:uid="{F18AAE1C-3310-4534-A2A0-FD276F0CB471}"/>
    <hyperlink ref="I21" r:id="rId62" xr:uid="{D225820F-DD6F-47AC-B161-59F21384AEB1}"/>
    <hyperlink ref="I36" r:id="rId63" xr:uid="{A1C476E8-4C0A-416C-895F-CB0FF4CF4DA2}"/>
    <hyperlink ref="I45" r:id="rId64" xr:uid="{C6F7896B-3895-437C-B832-E4CE37CFA899}"/>
    <hyperlink ref="I46" r:id="rId65" display="S: 4mm Barb - TS: 1/4&quot;" xr:uid="{2B44AB4F-AA65-453B-8182-DAEE4E742DD6}"/>
    <hyperlink ref="I44" r:id="rId66" xr:uid="{400AB169-DF3B-458B-B4BC-D325DD62A206}"/>
    <hyperlink ref="I89" r:id="rId67" display="5x50 - 20PCS" xr:uid="{4E84AE98-52E0-42C1-9368-357566ADE35E}"/>
    <hyperlink ref="I98" r:id="rId68" xr:uid="{18DA0DDC-EFC4-469D-9FB9-5EDF23E44C1F}"/>
    <hyperlink ref="I68" r:id="rId69" xr:uid="{42D5885D-D05C-4C8F-A0A6-31196BC8A998}"/>
    <hyperlink ref="I99" r:id="rId70" display="ID: M4(100PCS)" xr:uid="{B2777790-305B-4258-B27E-0B0510452C92}"/>
    <hyperlink ref="I74" r:id="rId71" xr:uid="{E30EE4AB-92BC-47EC-8B87-851649ADA300}"/>
    <hyperlink ref="I79" r:id="rId72" xr:uid="{5BE91CE9-3DDA-46F2-B5E0-34464497242A}"/>
    <hyperlink ref="I80" r:id="rId73" display="S: 10pcs M5 - L: 10mm" xr:uid="{9EF647D7-AE79-4758-903A-ED27EAD2484C}"/>
    <hyperlink ref="I81" r:id="rId74" display="S: 10pcs M5 - L: 10mm" xr:uid="{639FCC7E-D9C2-4EA7-AE47-19FB48D156C7}"/>
    <hyperlink ref="I83" r:id="rId75" display="S: 10pcs M5 - L: 10mm" xr:uid="{EBB69F9E-0C12-4E8C-AC83-B56049138C2E}"/>
    <hyperlink ref="I84" r:id="rId76" display="https://www.aliexpress.com/item/1005008848776055.html" xr:uid="{065EAEDB-D131-478B-8370-8C2E5646A41E}"/>
    <hyperlink ref="I85" r:id="rId77" display="https://www.aliexpress.com/item/1005008848776055.html" xr:uid="{98ED755C-0D14-4662-8A4F-2E49986E3D9B}"/>
    <hyperlink ref="I86" r:id="rId78" display="https://www.aliexpress.com/item/1005008848776055.html" xr:uid="{6BE4BDC7-9A08-4700-B501-17D2AA7DB2EE}"/>
    <hyperlink ref="I87" r:id="rId79" display="S: 10pcs M5 - L: 10mm" xr:uid="{DED82DCD-2FAA-4C81-9787-A3BB7443A197}"/>
    <hyperlink ref="I96" r:id="rId80" display="M6x12x1mm -50PCS" xr:uid="{C1232C0C-9B0D-4F15-9A17-88DD0F0B366E}"/>
    <hyperlink ref="I50" r:id="rId81" xr:uid="{6B342A7C-3223-441B-BA54-EB726DAE7228}"/>
    <hyperlink ref="I48" r:id="rId82" xr:uid="{E4B8A3C8-371E-4D73-B3EC-96050B57F24F}"/>
    <hyperlink ref="I51" r:id="rId83" xr:uid="{EDBD9826-6B9E-46B8-AAB8-5C973DAABC96}"/>
    <hyperlink ref="I52" r:id="rId84" xr:uid="{8464A2DC-023A-4919-B297-2FDBBBD4D5B6}"/>
    <hyperlink ref="I53" r:id="rId85" display="C: 6x8mm - L: 5M" xr:uid="{98B377C7-126F-4D2F-8854-ABF0CE3FAB68}"/>
    <hyperlink ref="I49" r:id="rId86" xr:uid="{ECF57003-5ABF-4AD9-83DB-0628060DDD7B}"/>
    <hyperlink ref="I12" r:id="rId87" xr:uid="{097FDA04-D005-411A-B496-1BC475898E6F}"/>
    <hyperlink ref="I75" r:id="rId88" display="S: 10pcs M4 - L: 20mm" xr:uid="{C5826B9A-F771-46EF-9B2A-46E7597015A5}"/>
    <hyperlink ref="I77" r:id="rId89" display="S: 10pcs M4 - L: 20mm" xr:uid="{663B6ED5-C954-4DFD-AB9B-74D8830DCC67}"/>
    <hyperlink ref="I66" r:id="rId90" display="S: 10pcs M5 - L: 10mm" xr:uid="{8BCBDD54-C503-4A68-8616-51AB3BEA554B}"/>
    <hyperlink ref="I67" r:id="rId91" display="S: 10pcs M4 - L: 20mm" xr:uid="{6AAD8BA5-EC70-47FD-ACE5-B23DC37802DA}"/>
    <hyperlink ref="I69" r:id="rId92" display="S: 10pcs M3 - L: 8mm" xr:uid="{EA94F40A-3AF8-4F90-8F8B-18F229D3E320}"/>
    <hyperlink ref="I70" r:id="rId93" display="S: 10pcs M3 - L: 8mm" xr:uid="{8DA919EA-F0B5-4F30-99F9-DC086E0C9680}"/>
    <hyperlink ref="I71" r:id="rId94" display="S: 10pcs M3 - L: 8mm" xr:uid="{0F4A8E86-8F66-4D81-80B4-86F35EA862D9}"/>
    <hyperlink ref="I72" r:id="rId95" display="S: 10pcs M3 - L: 8mm" xr:uid="{3CDA4528-16EC-41F7-9A9D-351E96644BBA}"/>
    <hyperlink ref="I38" r:id="rId96" display="S: 25pcs M3" xr:uid="{E906F13E-EDC9-4892-9B18-79329B3CF0B7}"/>
    <hyperlink ref="I39" r:id="rId97" display="S: 10pcs M3" xr:uid="{71794BBC-CA39-4991-8CD1-307EFA2F836E}"/>
    <hyperlink ref="I41" r:id="rId98" display="S: 25pcs M3" xr:uid="{3131039F-B734-41A4-A204-A59C22ED9A57}"/>
    <hyperlink ref="I42" r:id="rId99" display="S: 10pcs M3" xr:uid="{F0B7A532-41BF-4348-B107-C1C26F684AC4}"/>
    <hyperlink ref="I32" r:id="rId100" display="https://s.click.aliexpress.com/e/_c3h7Zh5j" xr:uid="{C0116F09-FFC3-4E4E-8906-DA78E1D65DB9}"/>
    <hyperlink ref="I40" r:id="rId101" display="S: M3 - Color: 100PCS" xr:uid="{E80C8403-CA67-4B32-A81C-274DCBF027B6}"/>
  </hyperlinks>
  <printOptions horizontalCentered="1" verticalCentered="1"/>
  <pageMargins left="0.19685039370078741" right="0.19685039370078741" top="0.39370078740157483" bottom="0.39370078740157483" header="0.19685039370078741" footer="0.19685039370078741"/>
  <pageSetup paperSize="9" scale="52" fitToWidth="0" orientation="portrait" r:id="rId102"/>
  <headerFooter>
    <oddHeader>&amp;C&amp;"Aptos Black,Regular"&amp;14VALKYRIE V2 - HW BOM</oddHeader>
    <oddFooter>&amp;CBETA PRELEASE</oddFooter>
  </headerFooter>
  <tableParts count="1">
    <tablePart r:id="rId10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C5025-82C4-4460-8F2A-5E53734E3978}">
  <sheetPr>
    <tabColor rgb="FF00B050"/>
    <pageSetUpPr fitToPage="1"/>
  </sheetPr>
  <dimension ref="A1:M30"/>
  <sheetViews>
    <sheetView view="pageLayout" zoomScaleNormal="100" workbookViewId="0">
      <selection activeCell="H20" sqref="H20"/>
    </sheetView>
  </sheetViews>
  <sheetFormatPr defaultColWidth="11" defaultRowHeight="15" x14ac:dyDescent="0.25"/>
  <cols>
    <col min="1" max="1" width="27.140625" style="21" customWidth="1"/>
    <col min="2" max="2" width="16.7109375" style="21" bestFit="1" customWidth="1"/>
    <col min="3" max="3" width="8.85546875" bestFit="1" customWidth="1"/>
    <col min="4" max="4" width="8.7109375" style="21" customWidth="1"/>
    <col min="5" max="5" width="8.7109375" customWidth="1"/>
    <col min="6" max="6" width="22.28515625" style="22" bestFit="1" customWidth="1"/>
    <col min="7" max="7" width="7.28515625" style="22" customWidth="1"/>
    <col min="8" max="8" width="9" style="23" customWidth="1"/>
    <col min="9" max="9" width="11.140625" style="21" bestFit="1" customWidth="1"/>
    <col min="10" max="16384" width="11" style="21"/>
  </cols>
  <sheetData>
    <row r="1" spans="1:11" s="4" customFormat="1" ht="30" customHeight="1" x14ac:dyDescent="0.25">
      <c r="A1" s="100" t="s">
        <v>270</v>
      </c>
      <c r="B1" s="134" t="s">
        <v>1</v>
      </c>
      <c r="C1" s="134" t="s">
        <v>2</v>
      </c>
      <c r="D1" s="134" t="s">
        <v>271</v>
      </c>
      <c r="E1" s="134" t="s">
        <v>272</v>
      </c>
      <c r="F1" s="134" t="s">
        <v>273</v>
      </c>
      <c r="G1" s="134" t="s">
        <v>274</v>
      </c>
      <c r="H1" s="145" t="s">
        <v>275</v>
      </c>
      <c r="I1"/>
    </row>
    <row r="2" spans="1:11" x14ac:dyDescent="0.25">
      <c r="A2" s="101" t="s">
        <v>276</v>
      </c>
      <c r="B2" s="1" t="s">
        <v>277</v>
      </c>
      <c r="C2" s="146">
        <v>420</v>
      </c>
      <c r="D2" s="1">
        <v>1</v>
      </c>
      <c r="E2" s="147">
        <v>1</v>
      </c>
      <c r="F2" s="33" t="s">
        <v>176</v>
      </c>
      <c r="G2" s="45">
        <v>12</v>
      </c>
      <c r="H2" s="102">
        <f>Table112[[#This Row],[Unit Price]]*Table112[[#This Row],[Pack Quantity]]</f>
        <v>12</v>
      </c>
      <c r="I2" s="1"/>
      <c r="J2" s="1"/>
      <c r="K2" s="1"/>
    </row>
    <row r="3" spans="1:11" x14ac:dyDescent="0.25">
      <c r="A3" s="101" t="s">
        <v>276</v>
      </c>
      <c r="B3" s="1" t="s">
        <v>178</v>
      </c>
      <c r="C3" s="146">
        <v>368</v>
      </c>
      <c r="D3" s="1">
        <v>1</v>
      </c>
      <c r="E3" s="147">
        <v>1</v>
      </c>
      <c r="F3" s="33" t="s">
        <v>179</v>
      </c>
      <c r="G3" s="45">
        <v>11</v>
      </c>
      <c r="H3" s="102">
        <f>Table112[[#This Row],[Unit Price]]*Table112[[#This Row],[Pack Quantity]]</f>
        <v>11</v>
      </c>
      <c r="I3" s="1"/>
      <c r="J3" s="1"/>
      <c r="K3" s="1"/>
    </row>
    <row r="4" spans="1:11" x14ac:dyDescent="0.25">
      <c r="A4" s="101" t="s">
        <v>276</v>
      </c>
      <c r="B4" s="1" t="s">
        <v>180</v>
      </c>
      <c r="C4" s="146">
        <v>172</v>
      </c>
      <c r="D4" s="1">
        <v>1</v>
      </c>
      <c r="E4" s="147">
        <v>1</v>
      </c>
      <c r="F4" s="33" t="s">
        <v>181</v>
      </c>
      <c r="G4" s="45">
        <v>9</v>
      </c>
      <c r="H4" s="102">
        <f>Table112[[#This Row],[Unit Price]]*Table112[[#This Row],[Pack Quantity]]</f>
        <v>9</v>
      </c>
      <c r="I4" s="1"/>
      <c r="J4" s="1"/>
      <c r="K4" s="1"/>
    </row>
    <row r="5" spans="1:11" x14ac:dyDescent="0.25">
      <c r="A5" s="101" t="s">
        <v>278</v>
      </c>
      <c r="B5" s="1" t="s">
        <v>183</v>
      </c>
      <c r="C5" s="146">
        <v>420</v>
      </c>
      <c r="D5" s="1">
        <v>4</v>
      </c>
      <c r="E5" s="147">
        <v>4</v>
      </c>
      <c r="F5" s="33" t="s">
        <v>184</v>
      </c>
      <c r="G5" s="45">
        <v>15</v>
      </c>
      <c r="H5" s="102">
        <f>Table112[[#This Row],[Unit Price]]*Table112[[#This Row],[Pack Quantity]]</f>
        <v>60</v>
      </c>
      <c r="I5" s="1"/>
      <c r="J5" s="1"/>
      <c r="K5" s="1"/>
    </row>
    <row r="6" spans="1:11" x14ac:dyDescent="0.25">
      <c r="A6" s="101" t="s">
        <v>278</v>
      </c>
      <c r="B6" s="1" t="s">
        <v>185</v>
      </c>
      <c r="C6" s="146">
        <v>480</v>
      </c>
      <c r="D6" s="1">
        <v>4</v>
      </c>
      <c r="E6" s="147">
        <v>4</v>
      </c>
      <c r="F6" s="33" t="s">
        <v>186</v>
      </c>
      <c r="G6" s="45">
        <v>16</v>
      </c>
      <c r="H6" s="102">
        <f>Table112[[#This Row],[Unit Price]]*Table112[[#This Row],[Pack Quantity]]</f>
        <v>64</v>
      </c>
      <c r="I6" s="1"/>
      <c r="J6" s="1"/>
      <c r="K6" s="1"/>
    </row>
    <row r="7" spans="1:11" x14ac:dyDescent="0.25">
      <c r="A7" s="101" t="s">
        <v>278</v>
      </c>
      <c r="B7" s="1" t="s">
        <v>187</v>
      </c>
      <c r="C7" s="146">
        <v>750</v>
      </c>
      <c r="D7" s="1">
        <v>4</v>
      </c>
      <c r="E7" s="147">
        <v>4</v>
      </c>
      <c r="F7" s="33" t="s">
        <v>188</v>
      </c>
      <c r="G7" s="45">
        <v>40</v>
      </c>
      <c r="H7" s="102">
        <f>Table112[[#This Row],[Unit Price]]*Table112[[#This Row],[Pack Quantity]]</f>
        <v>160</v>
      </c>
      <c r="I7" s="1"/>
      <c r="J7" s="1"/>
      <c r="K7" s="1"/>
    </row>
    <row r="8" spans="1:11" x14ac:dyDescent="0.25">
      <c r="A8" s="101" t="s">
        <v>279</v>
      </c>
      <c r="B8" s="1" t="s">
        <v>280</v>
      </c>
      <c r="C8" s="146"/>
      <c r="D8" s="1">
        <v>34</v>
      </c>
      <c r="E8" s="147">
        <v>4</v>
      </c>
      <c r="F8" s="33" t="s">
        <v>172</v>
      </c>
      <c r="G8" s="45">
        <v>6</v>
      </c>
      <c r="H8" s="102">
        <f>Table112[[#This Row],[Unit Price]]*Table112[[#This Row],[Pack Quantity]]</f>
        <v>24</v>
      </c>
      <c r="I8" s="1"/>
      <c r="J8" s="1"/>
      <c r="K8" s="1"/>
    </row>
    <row r="9" spans="1:11" x14ac:dyDescent="0.25">
      <c r="A9" s="101" t="s">
        <v>281</v>
      </c>
      <c r="B9" s="1" t="s">
        <v>282</v>
      </c>
      <c r="C9" s="146"/>
      <c r="D9" s="1">
        <v>2</v>
      </c>
      <c r="E9" s="147">
        <v>1</v>
      </c>
      <c r="F9" s="33" t="s">
        <v>170</v>
      </c>
      <c r="G9" s="45">
        <v>7</v>
      </c>
      <c r="H9" s="102">
        <f>Table112[[#This Row],[Unit Price]]*Table112[[#This Row],[Pack Quantity]]</f>
        <v>7</v>
      </c>
      <c r="I9" s="1"/>
      <c r="J9" s="1"/>
      <c r="K9" s="1"/>
    </row>
    <row r="10" spans="1:11" x14ac:dyDescent="0.25">
      <c r="A10" s="101" t="s">
        <v>283</v>
      </c>
      <c r="B10" s="1"/>
      <c r="C10" s="146"/>
      <c r="D10" s="1">
        <v>81</v>
      </c>
      <c r="E10" s="146"/>
      <c r="F10" s="38" t="s">
        <v>284</v>
      </c>
      <c r="G10" s="45"/>
      <c r="H10" s="102"/>
      <c r="I10" s="1"/>
      <c r="J10" s="1"/>
      <c r="K10" s="1"/>
    </row>
    <row r="11" spans="1:11" x14ac:dyDescent="0.25">
      <c r="A11" s="101" t="s">
        <v>124</v>
      </c>
      <c r="B11" s="1"/>
      <c r="C11" s="146"/>
      <c r="D11" s="1">
        <v>8</v>
      </c>
      <c r="E11" s="146"/>
      <c r="F11" s="38" t="s">
        <v>284</v>
      </c>
      <c r="G11" s="45"/>
      <c r="H11" s="102"/>
      <c r="I11" s="1"/>
      <c r="J11" s="1"/>
      <c r="K11" s="1"/>
    </row>
    <row r="12" spans="1:11" x14ac:dyDescent="0.25">
      <c r="A12" s="101" t="s">
        <v>285</v>
      </c>
      <c r="B12" s="1"/>
      <c r="C12" s="146"/>
      <c r="D12" s="1">
        <v>78</v>
      </c>
      <c r="E12" s="146"/>
      <c r="F12" s="38" t="s">
        <v>284</v>
      </c>
      <c r="G12" s="45"/>
      <c r="H12" s="102"/>
      <c r="I12" s="1"/>
      <c r="J12" s="1"/>
      <c r="K12" s="1"/>
    </row>
    <row r="13" spans="1:11" x14ac:dyDescent="0.25">
      <c r="A13" s="101" t="s">
        <v>217</v>
      </c>
      <c r="B13" s="1"/>
      <c r="C13" s="146"/>
      <c r="D13" s="1">
        <v>89</v>
      </c>
      <c r="E13" s="146"/>
      <c r="F13" s="38" t="s">
        <v>284</v>
      </c>
      <c r="G13" s="45"/>
      <c r="H13" s="102"/>
      <c r="I13" s="1"/>
      <c r="J13" s="1"/>
      <c r="K13" s="1"/>
    </row>
    <row r="14" spans="1:11" x14ac:dyDescent="0.25">
      <c r="A14" s="101" t="s">
        <v>225</v>
      </c>
      <c r="B14" s="1"/>
      <c r="C14" s="146"/>
      <c r="D14" s="1">
        <v>4</v>
      </c>
      <c r="E14" s="146"/>
      <c r="F14" s="38" t="s">
        <v>284</v>
      </c>
      <c r="G14" s="45"/>
      <c r="H14" s="102"/>
      <c r="I14" s="1"/>
      <c r="J14" s="1"/>
      <c r="K14" s="1"/>
    </row>
    <row r="15" spans="1:11" x14ac:dyDescent="0.25">
      <c r="A15" s="101" t="s">
        <v>233</v>
      </c>
      <c r="B15" s="1"/>
      <c r="C15" s="146"/>
      <c r="D15" s="1">
        <v>16</v>
      </c>
      <c r="E15" s="146"/>
      <c r="F15" s="38" t="s">
        <v>284</v>
      </c>
      <c r="G15" s="45"/>
      <c r="H15" s="102"/>
      <c r="I15" s="1"/>
      <c r="J15" s="1"/>
      <c r="K15" s="1"/>
    </row>
    <row r="16" spans="1:11" x14ac:dyDescent="0.25">
      <c r="A16" s="101" t="s">
        <v>286</v>
      </c>
      <c r="B16" s="1"/>
      <c r="C16" s="146"/>
      <c r="D16" s="1">
        <v>1</v>
      </c>
      <c r="E16" s="146"/>
      <c r="F16" s="38" t="s">
        <v>287</v>
      </c>
      <c r="G16" s="45"/>
      <c r="H16" s="102"/>
      <c r="I16" s="1"/>
      <c r="J16" s="1"/>
      <c r="K16" s="1"/>
    </row>
    <row r="17" spans="1:13" x14ac:dyDescent="0.25">
      <c r="A17" s="101" t="s">
        <v>288</v>
      </c>
      <c r="B17" s="1"/>
      <c r="C17" s="146"/>
      <c r="D17" s="1">
        <v>4</v>
      </c>
      <c r="E17" s="146"/>
      <c r="F17" s="38" t="s">
        <v>289</v>
      </c>
      <c r="G17" s="45"/>
      <c r="H17" s="102"/>
      <c r="I17" s="1"/>
      <c r="J17" s="1"/>
      <c r="K17" s="1"/>
      <c r="L17" s="148"/>
      <c r="M17" s="148"/>
    </row>
    <row r="18" spans="1:13" x14ac:dyDescent="0.25">
      <c r="A18" s="101" t="s">
        <v>290</v>
      </c>
      <c r="B18" s="1"/>
      <c r="C18" s="146"/>
      <c r="D18" s="1">
        <v>4</v>
      </c>
      <c r="E18" s="146"/>
      <c r="F18" s="38" t="s">
        <v>287</v>
      </c>
      <c r="G18" s="45"/>
      <c r="H18" s="102"/>
      <c r="I18" s="1"/>
      <c r="J18" s="1"/>
      <c r="K18" s="1"/>
      <c r="L18" s="148"/>
      <c r="M18" s="148"/>
    </row>
    <row r="19" spans="1:13" ht="15.75" thickBot="1" x14ac:dyDescent="0.3">
      <c r="A19" s="101" t="s">
        <v>291</v>
      </c>
      <c r="B19" s="1"/>
      <c r="C19" s="146"/>
      <c r="D19" s="1">
        <v>4</v>
      </c>
      <c r="E19" s="146"/>
      <c r="F19" s="38" t="s">
        <v>287</v>
      </c>
      <c r="G19" s="45"/>
      <c r="H19" s="102"/>
      <c r="I19" s="1"/>
      <c r="J19" s="1"/>
      <c r="K19" s="1"/>
      <c r="L19" s="148"/>
      <c r="M19" s="148"/>
    </row>
    <row r="20" spans="1:13" s="4" customFormat="1" ht="15.75" thickBot="1" x14ac:dyDescent="0.3">
      <c r="A20" s="103" t="s">
        <v>292</v>
      </c>
      <c r="B20" s="149"/>
      <c r="C20" s="149"/>
      <c r="D20" s="149"/>
      <c r="E20" s="149"/>
      <c r="F20" s="104"/>
      <c r="G20" s="150"/>
      <c r="H20" s="105">
        <f>SUBTOTAL(109,Table112[Line Price])</f>
        <v>347</v>
      </c>
    </row>
    <row r="21" spans="1:13" s="4" customFormat="1" x14ac:dyDescent="0.25">
      <c r="A21" s="93"/>
      <c r="B21" s="151"/>
      <c r="D21" s="151"/>
      <c r="F21" s="94"/>
      <c r="G21" s="152"/>
      <c r="H21" s="152"/>
    </row>
    <row r="22" spans="1:13" x14ac:dyDescent="0.25">
      <c r="A22" s="25" t="s">
        <v>293</v>
      </c>
      <c r="B22" s="148"/>
      <c r="D22" s="148"/>
      <c r="F22" s="146"/>
      <c r="G22" s="146"/>
      <c r="I22" s="148"/>
      <c r="J22" s="148"/>
      <c r="K22" s="148"/>
      <c r="L22" s="148"/>
      <c r="M22" s="148"/>
    </row>
    <row r="23" spans="1:13" x14ac:dyDescent="0.25">
      <c r="A23" s="26" t="s">
        <v>294</v>
      </c>
      <c r="B23" s="148"/>
      <c r="D23" s="148"/>
      <c r="F23" s="146"/>
      <c r="G23" s="146"/>
      <c r="I23" s="148"/>
      <c r="J23" s="148"/>
      <c r="K23" s="148"/>
      <c r="L23" s="148"/>
      <c r="M23" s="148"/>
    </row>
    <row r="24" spans="1:13" x14ac:dyDescent="0.25">
      <c r="A24" s="26" t="s">
        <v>295</v>
      </c>
      <c r="B24" s="148"/>
      <c r="D24" s="148"/>
      <c r="F24" s="146"/>
      <c r="G24" s="146"/>
      <c r="I24" s="148"/>
      <c r="J24" s="148"/>
      <c r="K24" s="148"/>
      <c r="L24" s="148"/>
      <c r="M24" s="148"/>
    </row>
    <row r="25" spans="1:13" x14ac:dyDescent="0.25">
      <c r="A25" s="26" t="s">
        <v>296</v>
      </c>
      <c r="B25" s="148"/>
      <c r="D25" s="148"/>
      <c r="F25" s="146"/>
      <c r="G25" s="146"/>
      <c r="I25" s="148"/>
      <c r="J25" s="148"/>
      <c r="K25" s="148"/>
      <c r="L25" s="148"/>
      <c r="M25" s="148"/>
    </row>
    <row r="27" spans="1:13" x14ac:dyDescent="0.25">
      <c r="A27" s="24" t="s">
        <v>297</v>
      </c>
      <c r="B27" s="148"/>
      <c r="D27" s="148"/>
      <c r="F27" s="146"/>
      <c r="G27" s="146"/>
      <c r="I27" s="148"/>
      <c r="J27" s="148"/>
      <c r="K27" s="148"/>
      <c r="L27" s="148"/>
      <c r="M27" s="148"/>
    </row>
    <row r="28" spans="1:13" x14ac:dyDescent="0.25">
      <c r="A28" s="148" t="s">
        <v>298</v>
      </c>
      <c r="B28" s="148" t="s">
        <v>299</v>
      </c>
      <c r="D28" s="146"/>
      <c r="E28" s="146"/>
      <c r="F28" s="23"/>
      <c r="G28" s="148"/>
      <c r="H28" s="148"/>
      <c r="I28" s="148"/>
      <c r="J28" s="148"/>
      <c r="K28" s="148"/>
      <c r="L28" s="148"/>
      <c r="M28" s="148"/>
    </row>
    <row r="29" spans="1:13" x14ac:dyDescent="0.25">
      <c r="A29" s="148" t="s">
        <v>300</v>
      </c>
      <c r="B29" s="148" t="s">
        <v>301</v>
      </c>
      <c r="D29" s="146"/>
      <c r="E29" s="146"/>
      <c r="F29" s="23"/>
      <c r="G29" s="148"/>
      <c r="H29" s="148"/>
      <c r="I29" s="148"/>
      <c r="J29" s="148"/>
      <c r="K29" s="148"/>
      <c r="L29" s="148"/>
      <c r="M29" s="148"/>
    </row>
    <row r="30" spans="1:13" x14ac:dyDescent="0.25">
      <c r="A30" s="148" t="s">
        <v>302</v>
      </c>
      <c r="B30" s="148" t="s">
        <v>303</v>
      </c>
      <c r="D30" s="146"/>
      <c r="E30" s="146"/>
      <c r="F30" s="23"/>
      <c r="G30" s="148"/>
      <c r="H30" s="148"/>
      <c r="I30" s="148"/>
      <c r="J30" s="148"/>
      <c r="K30" s="148"/>
      <c r="L30" s="148"/>
      <c r="M30" s="148"/>
    </row>
  </sheetData>
  <hyperlinks>
    <hyperlink ref="F3" r:id="rId1" xr:uid="{00000000-0004-0000-0100-000000000000}"/>
    <hyperlink ref="F2" r:id="rId2" display="Color: 420 mm" xr:uid="{00000000-0004-0000-0100-000001000000}"/>
    <hyperlink ref="F4" r:id="rId3" display="Color: L 368mm - 2020" xr:uid="{37C8548F-E667-4811-BC99-B6CB78F9D10C}"/>
    <hyperlink ref="F5" r:id="rId4" display="Color: 420 mm" xr:uid="{1FD08F8E-0388-4C89-ABAA-D14879244B62}"/>
    <hyperlink ref="F6" r:id="rId5" display="Color: 420 mm" xr:uid="{E5424433-EC34-4180-BA24-23EE3604F957}"/>
    <hyperlink ref="F7" r:id="rId6" display="Color: 420 mm" xr:uid="{C3348BCC-4BE9-4B08-9F2C-7265DAB2EE69}"/>
    <hyperlink ref="A23" r:id="rId7" xr:uid="{CD174873-4876-4D82-8FD3-C3275181847A}"/>
    <hyperlink ref="A24" r:id="rId8" xr:uid="{36BCB8B2-AC17-4FE6-9344-669D692717D5}"/>
    <hyperlink ref="A25" r:id="rId9" xr:uid="{C939FF3F-751D-4A6F-934B-74413B537290}"/>
    <hyperlink ref="F9" r:id="rId10" display="Color: 1x2020 (4pcs)" xr:uid="{0D5F4A2C-C07F-48AC-BE68-22412B365DD3}"/>
    <hyperlink ref="F8" r:id="rId11" display="Color: 4x10PCS 2028 Silver" xr:uid="{C22286B1-7BBB-4870-A737-AE20B5C2ED4D}"/>
  </hyperlinks>
  <pageMargins left="0.7" right="0.7" top="0.75" bottom="0.75" header="0.3" footer="0.3"/>
  <pageSetup paperSize="9" orientation="landscape" r:id="rId12"/>
  <headerFooter>
    <oddHeader>&amp;C&amp;"Aptos Black,Regular"&amp;14VALKYRIE V2 - FRAME BOM</oddHeader>
    <oddFooter>&amp;CBETA PRELEASE</oddFooter>
  </headerFooter>
  <drawing r:id="rId13"/>
  <tableParts count="1">
    <tablePart r:id="rId1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7FF31-85FB-4A31-AEF5-1275190E33B8}">
  <sheetPr>
    <tabColor rgb="FF00B050"/>
    <pageSetUpPr fitToPage="1"/>
  </sheetPr>
  <dimension ref="A1:G50"/>
  <sheetViews>
    <sheetView view="pageLayout" zoomScaleNormal="100" workbookViewId="0">
      <selection activeCell="E8" sqref="E8"/>
    </sheetView>
  </sheetViews>
  <sheetFormatPr defaultColWidth="11.42578125" defaultRowHeight="15" x14ac:dyDescent="0.25"/>
  <cols>
    <col min="1" max="1" width="25.85546875" style="4" customWidth="1"/>
    <col min="2" max="2" width="14.28515625" style="4" bestFit="1" customWidth="1"/>
    <col min="3" max="3" width="11" style="4" bestFit="1" customWidth="1"/>
    <col min="4" max="4" width="10.42578125" style="4" customWidth="1"/>
    <col min="5" max="5" width="29" style="4" bestFit="1" customWidth="1"/>
    <col min="6" max="6" width="8.5703125" style="4" customWidth="1"/>
    <col min="7" max="7" width="7.7109375" style="4" customWidth="1"/>
    <col min="8" max="16365" width="11.42578125" style="4"/>
    <col min="16366" max="16371" width="11.42578125" style="4" bestFit="1" customWidth="1"/>
    <col min="16372" max="16384" width="11.42578125" style="4"/>
  </cols>
  <sheetData>
    <row r="1" spans="1:7" ht="30" customHeight="1" x14ac:dyDescent="0.25">
      <c r="A1" s="20" t="s">
        <v>270</v>
      </c>
      <c r="B1" s="153" t="s">
        <v>1</v>
      </c>
      <c r="C1" s="153" t="s">
        <v>271</v>
      </c>
      <c r="D1" s="153" t="s">
        <v>304</v>
      </c>
      <c r="E1" s="153" t="s">
        <v>8</v>
      </c>
      <c r="F1" s="153" t="s">
        <v>274</v>
      </c>
      <c r="G1" s="153" t="s">
        <v>275</v>
      </c>
    </row>
    <row r="2" spans="1:7" x14ac:dyDescent="0.25">
      <c r="A2" s="144" t="s">
        <v>16</v>
      </c>
      <c r="B2" s="144"/>
      <c r="C2" s="32">
        <v>2</v>
      </c>
      <c r="D2" s="32">
        <v>1</v>
      </c>
      <c r="E2" s="33" t="e">
        <f>#REF!</f>
        <v>#REF!</v>
      </c>
      <c r="F2" s="45">
        <v>5</v>
      </c>
      <c r="G2" s="45">
        <f>Table9[[#This Row],[Unit Price]]*Table9[[#This Row],[Pack Order Quantity]]</f>
        <v>5</v>
      </c>
    </row>
    <row r="3" spans="1:7" x14ac:dyDescent="0.25">
      <c r="A3" s="144" t="s">
        <v>305</v>
      </c>
      <c r="B3" s="144"/>
      <c r="C3" s="32">
        <v>36</v>
      </c>
      <c r="D3" s="32">
        <v>1</v>
      </c>
      <c r="E3" s="31" t="e">
        <f>#REF!</f>
        <v>#REF!</v>
      </c>
      <c r="F3" s="45">
        <v>4</v>
      </c>
      <c r="G3" s="45">
        <f>Table9[[#This Row],[Unit Price]]*Table9[[#This Row],[Pack Order Quantity]]</f>
        <v>4</v>
      </c>
    </row>
    <row r="4" spans="1:7" x14ac:dyDescent="0.25">
      <c r="A4" s="144" t="s">
        <v>23</v>
      </c>
      <c r="B4" s="144"/>
      <c r="C4" s="32">
        <v>24</v>
      </c>
      <c r="D4" s="32">
        <v>3</v>
      </c>
      <c r="E4" s="30" t="e">
        <f>#REF!</f>
        <v>#REF!</v>
      </c>
      <c r="F4" s="45">
        <v>9</v>
      </c>
      <c r="G4" s="45">
        <f>Table9[[#This Row],[Unit Price]]*Table9[[#This Row],[Pack Order Quantity]]</f>
        <v>27</v>
      </c>
    </row>
    <row r="5" spans="1:7" x14ac:dyDescent="0.25">
      <c r="A5" s="144" t="s">
        <v>241</v>
      </c>
      <c r="B5" s="144"/>
      <c r="C5" s="32">
        <v>4</v>
      </c>
      <c r="D5" s="32">
        <v>1</v>
      </c>
      <c r="E5" s="33" t="e">
        <f>#REF!</f>
        <v>#REF!</v>
      </c>
      <c r="F5" s="45">
        <v>7</v>
      </c>
      <c r="G5" s="45">
        <f>Table9[[#This Row],[Unit Price]]*Table9[[#This Row],[Pack Order Quantity]]</f>
        <v>7</v>
      </c>
    </row>
    <row r="6" spans="1:7" x14ac:dyDescent="0.25">
      <c r="A6" s="144" t="s">
        <v>243</v>
      </c>
      <c r="B6" s="144"/>
      <c r="C6" s="32">
        <v>8</v>
      </c>
      <c r="D6" s="32">
        <v>1</v>
      </c>
      <c r="E6" s="33" t="e">
        <f>#REF!</f>
        <v>#REF!</v>
      </c>
      <c r="F6" s="45">
        <v>9</v>
      </c>
      <c r="G6" s="45">
        <f>Table9[[#This Row],[Unit Price]]*Table9[[#This Row],[Pack Order Quantity]]</f>
        <v>9</v>
      </c>
    </row>
    <row r="7" spans="1:7" x14ac:dyDescent="0.25">
      <c r="A7" s="144" t="s">
        <v>306</v>
      </c>
      <c r="B7" s="144"/>
      <c r="C7" s="32">
        <v>1</v>
      </c>
      <c r="D7" s="32">
        <v>1</v>
      </c>
      <c r="E7" s="33" t="e">
        <f>#REF!</f>
        <v>#REF!</v>
      </c>
      <c r="F7" s="45">
        <v>3</v>
      </c>
      <c r="G7" s="45">
        <f>Table9[[#This Row],[Unit Price]]*Table9[[#This Row],[Pack Order Quantity]]</f>
        <v>3</v>
      </c>
    </row>
    <row r="8" spans="1:7" x14ac:dyDescent="0.25">
      <c r="A8" t="s">
        <v>307</v>
      </c>
      <c r="B8"/>
      <c r="C8" s="32">
        <v>2</v>
      </c>
      <c r="D8" s="32">
        <v>2</v>
      </c>
      <c r="E8" s="33" t="e">
        <f>#REF!</f>
        <v>#REF!</v>
      </c>
      <c r="F8" s="45">
        <v>2</v>
      </c>
      <c r="G8" s="45">
        <f>Table9[[#This Row],[Unit Price]]*Table9[[#This Row],[Pack Order Quantity]]</f>
        <v>4</v>
      </c>
    </row>
    <row r="9" spans="1:7" x14ac:dyDescent="0.25">
      <c r="A9" s="1" t="s">
        <v>308</v>
      </c>
      <c r="B9" s="1"/>
      <c r="C9" s="32">
        <v>5</v>
      </c>
      <c r="D9" s="32">
        <v>1</v>
      </c>
      <c r="E9" s="33" t="e">
        <f>#REF!</f>
        <v>#REF!</v>
      </c>
      <c r="F9" s="45">
        <v>26</v>
      </c>
      <c r="G9" s="45">
        <f>Table9[[#This Row],[Unit Price]]*Table9[[#This Row],[Pack Order Quantity]]</f>
        <v>26</v>
      </c>
    </row>
    <row r="10" spans="1:7" x14ac:dyDescent="0.25">
      <c r="A10" s="4" t="s">
        <v>309</v>
      </c>
      <c r="C10" s="32">
        <v>52</v>
      </c>
      <c r="D10" s="32"/>
      <c r="E10" s="38" t="s">
        <v>284</v>
      </c>
      <c r="F10" s="45"/>
      <c r="G10" s="45"/>
    </row>
    <row r="11" spans="1:7" x14ac:dyDescent="0.25">
      <c r="A11" s="144" t="s">
        <v>310</v>
      </c>
      <c r="B11" s="144"/>
      <c r="C11" s="32">
        <v>8</v>
      </c>
      <c r="D11" s="32"/>
      <c r="E11" s="38" t="s">
        <v>284</v>
      </c>
      <c r="F11" s="45"/>
      <c r="G11" s="45"/>
    </row>
    <row r="12" spans="1:7" x14ac:dyDescent="0.25">
      <c r="A12" s="144" t="s">
        <v>311</v>
      </c>
      <c r="B12" s="144"/>
      <c r="C12" s="32">
        <v>8</v>
      </c>
      <c r="D12" s="32"/>
      <c r="E12" s="38" t="s">
        <v>284</v>
      </c>
      <c r="F12" s="45"/>
      <c r="G12" s="45"/>
    </row>
    <row r="13" spans="1:7" x14ac:dyDescent="0.25">
      <c r="A13" s="4" t="s">
        <v>192</v>
      </c>
      <c r="C13" s="32">
        <v>8</v>
      </c>
      <c r="D13" s="32"/>
      <c r="E13" s="38" t="s">
        <v>284</v>
      </c>
      <c r="F13" s="45"/>
      <c r="G13" s="45"/>
    </row>
    <row r="14" spans="1:7" x14ac:dyDescent="0.25">
      <c r="A14" s="4" t="s">
        <v>195</v>
      </c>
      <c r="C14" s="32">
        <v>52</v>
      </c>
      <c r="D14" s="32"/>
      <c r="E14" s="38" t="s">
        <v>284</v>
      </c>
      <c r="F14" s="45"/>
      <c r="G14" s="45"/>
    </row>
    <row r="15" spans="1:7" x14ac:dyDescent="0.25">
      <c r="A15" s="4" t="s">
        <v>197</v>
      </c>
      <c r="C15" s="32">
        <v>8</v>
      </c>
      <c r="D15" s="32"/>
      <c r="E15" s="38" t="s">
        <v>284</v>
      </c>
      <c r="F15" s="45"/>
      <c r="G15" s="45"/>
    </row>
    <row r="16" spans="1:7" x14ac:dyDescent="0.25">
      <c r="A16" s="4" t="s">
        <v>312</v>
      </c>
      <c r="C16" s="32">
        <v>4</v>
      </c>
      <c r="D16" s="32"/>
      <c r="E16" s="38" t="s">
        <v>284</v>
      </c>
      <c r="F16" s="45"/>
      <c r="G16" s="45"/>
    </row>
    <row r="17" spans="1:7" x14ac:dyDescent="0.25">
      <c r="A17" s="4" t="s">
        <v>313</v>
      </c>
      <c r="C17" s="32">
        <v>2</v>
      </c>
      <c r="D17" s="32"/>
      <c r="E17" s="38" t="s">
        <v>284</v>
      </c>
      <c r="F17" s="45"/>
      <c r="G17" s="45"/>
    </row>
    <row r="18" spans="1:7" x14ac:dyDescent="0.25">
      <c r="A18" s="4" t="s">
        <v>314</v>
      </c>
      <c r="C18" s="32">
        <v>11</v>
      </c>
      <c r="D18" s="32"/>
      <c r="E18" s="38" t="s">
        <v>284</v>
      </c>
      <c r="F18" s="45"/>
      <c r="G18" s="45"/>
    </row>
    <row r="19" spans="1:7" x14ac:dyDescent="0.25">
      <c r="A19" s="4" t="s">
        <v>283</v>
      </c>
      <c r="C19" s="32">
        <v>19</v>
      </c>
      <c r="D19" s="32"/>
      <c r="E19" s="38" t="s">
        <v>284</v>
      </c>
      <c r="F19" s="45"/>
      <c r="G19" s="45"/>
    </row>
    <row r="20" spans="1:7" x14ac:dyDescent="0.25">
      <c r="A20" s="4" t="s">
        <v>285</v>
      </c>
      <c r="C20" s="32">
        <v>4</v>
      </c>
      <c r="D20" s="32"/>
      <c r="E20" s="38" t="s">
        <v>284</v>
      </c>
      <c r="F20" s="45"/>
      <c r="G20" s="45"/>
    </row>
    <row r="21" spans="1:7" x14ac:dyDescent="0.25">
      <c r="A21" s="4" t="s">
        <v>217</v>
      </c>
      <c r="C21" s="32">
        <v>27</v>
      </c>
      <c r="D21" s="32"/>
      <c r="E21" s="38" t="s">
        <v>284</v>
      </c>
      <c r="F21" s="45"/>
      <c r="G21" s="45"/>
    </row>
    <row r="22" spans="1:7" x14ac:dyDescent="0.25">
      <c r="A22" s="4" t="s">
        <v>221</v>
      </c>
      <c r="C22" s="32">
        <v>4</v>
      </c>
      <c r="D22" s="32"/>
      <c r="E22" s="38" t="s">
        <v>284</v>
      </c>
      <c r="F22" s="45"/>
      <c r="G22" s="45"/>
    </row>
    <row r="23" spans="1:7" x14ac:dyDescent="0.25">
      <c r="A23" s="4" t="s">
        <v>227</v>
      </c>
      <c r="C23" s="32">
        <v>2</v>
      </c>
      <c r="D23" s="32"/>
      <c r="E23" s="38" t="s">
        <v>284</v>
      </c>
      <c r="F23" s="45"/>
      <c r="G23" s="45"/>
    </row>
    <row r="24" spans="1:7" x14ac:dyDescent="0.25">
      <c r="A24" s="144" t="s">
        <v>315</v>
      </c>
      <c r="B24" s="144"/>
      <c r="C24" s="32">
        <v>2</v>
      </c>
      <c r="D24" s="32">
        <v>2</v>
      </c>
      <c r="E24" s="33" t="e">
        <f>#REF!</f>
        <v>#REF!</v>
      </c>
      <c r="F24" s="45">
        <v>36</v>
      </c>
      <c r="G24" s="45">
        <f>Table9[[#This Row],[Unit Price]]*Table9[[#This Row],[Pack Order Quantity]]</f>
        <v>72</v>
      </c>
    </row>
    <row r="25" spans="1:7" x14ac:dyDescent="0.25">
      <c r="A25" s="144" t="s">
        <v>316</v>
      </c>
      <c r="B25" s="144"/>
      <c r="C25" s="32">
        <v>1</v>
      </c>
      <c r="D25" s="151">
        <v>1</v>
      </c>
      <c r="E25" s="33" t="e">
        <f>#REF!</f>
        <v>#REF!</v>
      </c>
      <c r="F25" s="45">
        <v>34</v>
      </c>
      <c r="G25" s="45">
        <f>Table9[[#This Row],[Unit Price]]*Table9[[#This Row],[Pack Order Quantity]]</f>
        <v>34</v>
      </c>
    </row>
    <row r="26" spans="1:7" x14ac:dyDescent="0.25">
      <c r="A26" s="4" t="s">
        <v>317</v>
      </c>
      <c r="C26" s="32">
        <v>2</v>
      </c>
      <c r="D26" s="32">
        <v>2</v>
      </c>
      <c r="E26" s="33" t="e">
        <f>#REF!</f>
        <v>#REF!</v>
      </c>
      <c r="F26" s="45">
        <v>14</v>
      </c>
      <c r="G26" s="45">
        <f>Table9[[#This Row],[Unit Price]]*Table9[[#This Row],[Pack Order Quantity]]</f>
        <v>28</v>
      </c>
    </row>
    <row r="27" spans="1:7" x14ac:dyDescent="0.25">
      <c r="A27" s="4" t="s">
        <v>318</v>
      </c>
      <c r="C27" s="32">
        <v>1</v>
      </c>
      <c r="D27" s="32"/>
      <c r="E27" s="39" t="s">
        <v>287</v>
      </c>
      <c r="F27" s="45"/>
      <c r="G27" s="45"/>
    </row>
    <row r="28" spans="1:7" x14ac:dyDescent="0.25">
      <c r="A28" s="4" t="s">
        <v>319</v>
      </c>
      <c r="C28" s="32">
        <v>4</v>
      </c>
      <c r="D28" s="32"/>
      <c r="E28" s="39" t="s">
        <v>287</v>
      </c>
      <c r="F28" s="45"/>
      <c r="G28" s="45"/>
    </row>
    <row r="29" spans="1:7" x14ac:dyDescent="0.25">
      <c r="A29" s="4" t="s">
        <v>320</v>
      </c>
      <c r="C29" s="32">
        <v>2</v>
      </c>
      <c r="D29" s="32"/>
      <c r="E29" s="39" t="s">
        <v>287</v>
      </c>
      <c r="F29" s="45"/>
      <c r="G29" s="45"/>
    </row>
    <row r="30" spans="1:7" x14ac:dyDescent="0.25">
      <c r="A30" s="4" t="s">
        <v>321</v>
      </c>
      <c r="C30" s="32">
        <v>1</v>
      </c>
      <c r="D30" s="32"/>
      <c r="E30" s="39" t="s">
        <v>287</v>
      </c>
      <c r="F30" s="45"/>
      <c r="G30" s="45"/>
    </row>
    <row r="31" spans="1:7" x14ac:dyDescent="0.25">
      <c r="A31" s="4" t="s">
        <v>322</v>
      </c>
      <c r="C31" s="32">
        <v>1</v>
      </c>
      <c r="D31" s="32"/>
      <c r="E31" s="39" t="s">
        <v>287</v>
      </c>
      <c r="F31" s="45"/>
      <c r="G31" s="45"/>
    </row>
    <row r="32" spans="1:7" x14ac:dyDescent="0.25">
      <c r="A32" s="4" t="s">
        <v>323</v>
      </c>
      <c r="C32" s="32">
        <v>2</v>
      </c>
      <c r="D32" s="32"/>
      <c r="E32" s="39" t="s">
        <v>287</v>
      </c>
      <c r="F32" s="45"/>
      <c r="G32" s="45"/>
    </row>
    <row r="33" spans="1:7" x14ac:dyDescent="0.25">
      <c r="A33" s="4" t="s">
        <v>324</v>
      </c>
      <c r="C33" s="32">
        <v>1</v>
      </c>
      <c r="D33" s="32"/>
      <c r="E33" s="39" t="s">
        <v>287</v>
      </c>
      <c r="F33" s="45"/>
      <c r="G33" s="45"/>
    </row>
    <row r="34" spans="1:7" x14ac:dyDescent="0.25">
      <c r="A34" s="4" t="s">
        <v>325</v>
      </c>
      <c r="C34" s="32">
        <v>1</v>
      </c>
      <c r="D34" s="32"/>
      <c r="E34" s="39" t="s">
        <v>287</v>
      </c>
      <c r="F34" s="45"/>
      <c r="G34" s="45"/>
    </row>
    <row r="35" spans="1:7" x14ac:dyDescent="0.25">
      <c r="A35" s="4" t="s">
        <v>326</v>
      </c>
      <c r="C35" s="32">
        <v>1</v>
      </c>
      <c r="D35" s="32"/>
      <c r="E35" s="39" t="s">
        <v>287</v>
      </c>
      <c r="F35" s="45"/>
      <c r="G35" s="45"/>
    </row>
    <row r="36" spans="1:7" x14ac:dyDescent="0.25">
      <c r="A36" s="4" t="s">
        <v>327</v>
      </c>
      <c r="C36" s="32">
        <v>2</v>
      </c>
      <c r="D36" s="32"/>
      <c r="E36" s="39" t="s">
        <v>287</v>
      </c>
      <c r="F36" s="45"/>
      <c r="G36" s="45"/>
    </row>
    <row r="37" spans="1:7" x14ac:dyDescent="0.25">
      <c r="A37" s="144" t="s">
        <v>328</v>
      </c>
      <c r="B37" s="144"/>
      <c r="C37" s="32">
        <v>1</v>
      </c>
      <c r="D37" s="32"/>
      <c r="E37" s="39" t="s">
        <v>329</v>
      </c>
      <c r="F37" s="45"/>
      <c r="G37" s="45"/>
    </row>
    <row r="38" spans="1:7" x14ac:dyDescent="0.25">
      <c r="A38" s="4" t="s">
        <v>330</v>
      </c>
      <c r="C38" s="32">
        <v>1</v>
      </c>
      <c r="D38" s="32"/>
      <c r="E38" s="39" t="s">
        <v>287</v>
      </c>
      <c r="F38" s="45"/>
      <c r="G38" s="45"/>
    </row>
    <row r="39" spans="1:7" ht="15.75" thickBot="1" x14ac:dyDescent="0.3">
      <c r="A39" s="4" t="s">
        <v>331</v>
      </c>
      <c r="C39" s="32">
        <v>1</v>
      </c>
      <c r="D39" s="32"/>
      <c r="E39" s="39" t="s">
        <v>287</v>
      </c>
      <c r="F39" s="45"/>
      <c r="G39" s="45"/>
    </row>
    <row r="40" spans="1:7" ht="15.75" thickBot="1" x14ac:dyDescent="0.3">
      <c r="A40" s="95" t="s">
        <v>332</v>
      </c>
      <c r="B40" s="99"/>
      <c r="C40" s="154"/>
      <c r="D40" s="154"/>
      <c r="E40" s="96"/>
      <c r="F40" s="96"/>
      <c r="G40" s="97">
        <f>SUBTOTAL(109,G4:G39)</f>
        <v>210</v>
      </c>
    </row>
    <row r="41" spans="1:7" x14ac:dyDescent="0.25">
      <c r="A41" s="93"/>
      <c r="B41" s="93"/>
      <c r="C41" s="151"/>
      <c r="D41" s="151"/>
      <c r="E41" s="94"/>
      <c r="F41" s="152"/>
      <c r="G41" s="152"/>
    </row>
    <row r="42" spans="1:7" x14ac:dyDescent="0.25">
      <c r="A42" s="25" t="s">
        <v>293</v>
      </c>
      <c r="B42" s="25"/>
      <c r="C42" s="148"/>
    </row>
    <row r="43" spans="1:7" x14ac:dyDescent="0.25">
      <c r="A43" s="26" t="s">
        <v>294</v>
      </c>
      <c r="B43" s="26"/>
      <c r="C43" s="148"/>
    </row>
    <row r="44" spans="1:7" x14ac:dyDescent="0.25">
      <c r="A44" s="26" t="s">
        <v>295</v>
      </c>
      <c r="B44" s="26"/>
      <c r="C44" s="148"/>
    </row>
    <row r="45" spans="1:7" x14ac:dyDescent="0.25">
      <c r="A45" s="26" t="s">
        <v>296</v>
      </c>
      <c r="B45" s="26"/>
      <c r="C45" s="148"/>
    </row>
    <row r="46" spans="1:7" x14ac:dyDescent="0.25">
      <c r="A46" s="148"/>
      <c r="B46" s="148"/>
      <c r="C46" s="148"/>
    </row>
    <row r="47" spans="1:7" x14ac:dyDescent="0.25">
      <c r="A47" s="24" t="s">
        <v>297</v>
      </c>
      <c r="B47" s="24"/>
      <c r="C47" s="148"/>
    </row>
    <row r="48" spans="1:7" x14ac:dyDescent="0.25">
      <c r="A48" s="148" t="s">
        <v>298</v>
      </c>
      <c r="B48" s="148"/>
      <c r="C48" s="148" t="s">
        <v>299</v>
      </c>
    </row>
    <row r="49" spans="1:3" x14ac:dyDescent="0.25">
      <c r="A49" s="148" t="s">
        <v>300</v>
      </c>
      <c r="B49" s="148"/>
      <c r="C49" s="148" t="s">
        <v>301</v>
      </c>
    </row>
    <row r="50" spans="1:3" x14ac:dyDescent="0.25">
      <c r="A50" s="148" t="s">
        <v>302</v>
      </c>
      <c r="B50" s="148"/>
      <c r="C50" s="148" t="s">
        <v>303</v>
      </c>
    </row>
  </sheetData>
  <hyperlinks>
    <hyperlink ref="E24" r:id="rId1" display="Color: L400 - MGN12H" xr:uid="{75480ED0-43EB-4E73-A285-2AB05641807C}"/>
    <hyperlink ref="E25" r:id="rId2" display="Color: L400 - MGN12H" xr:uid="{996E2B09-0691-4BEC-AAF6-1BC50620D8EC}"/>
    <hyperlink ref="E8" r:id="rId3" display="5mm-Pulley 26T" xr:uid="{0335C69A-2DFF-46F0-A770-9A22CFF5CB9D}"/>
    <hyperlink ref="E9" r:id="rId4" display="9mm-EPDM 5M" xr:uid="{DE2134EE-F97B-4BA1-84EE-4F662B1FACDF}"/>
    <hyperlink ref="E2" r:id="rId5" display="625ZZ - 10PCS" xr:uid="{C2009FF6-9A01-4A04-90A7-C0F49A8B6A61}"/>
    <hyperlink ref="E3" r:id="rId6" display="M6x12x1mm" xr:uid="{195828E6-7AA5-464D-95AC-0AC7794F1E8F}"/>
    <hyperlink ref="E4" r:id="rId7" display="F606ZZ" xr:uid="{374EB117-6CF8-459A-9DE8-4890624496FF}"/>
    <hyperlink ref="E5" r:id="rId8" display="6x25 - 20PCS" xr:uid="{3E3F2742-AC55-4904-BB14-22236A8FC7F5}"/>
    <hyperlink ref="E6" r:id="rId9" display="6x25 - 20PCS" xr:uid="{BCF65959-8933-45D9-A05C-1EBE7E025E4A}"/>
    <hyperlink ref="A43" r:id="rId10" xr:uid="{2009DF3D-DD51-47A1-835D-0ABB3A7F3A45}"/>
    <hyperlink ref="A44" r:id="rId11" xr:uid="{73A5FE40-F87C-4195-8852-9831B7B1B27D}"/>
    <hyperlink ref="A45" r:id="rId12" xr:uid="{B33AAD69-ADDC-4298-992F-99C4AB211BF2}"/>
    <hyperlink ref="E26" r:id="rId13" display="https://s.click.aliexpress.com/e/_c3Urz7qN" xr:uid="{F79930DD-8126-4509-9A37-0339833B3348}"/>
  </hyperlinks>
  <pageMargins left="0.7" right="0.7" top="0.75" bottom="0.75" header="0.3" footer="0.3"/>
  <pageSetup paperSize="9" scale="81" orientation="portrait" r:id="rId14"/>
  <headerFooter>
    <oddHeader>&amp;C&amp;"Aptos Black,Regular"&amp;14VALKYRIE V2 - AB GANTRY BOM</oddHeader>
    <oddFooter>&amp;CBETA PRELEASE</oddFooter>
  </headerFooter>
  <drawing r:id="rId15"/>
  <tableParts count="1">
    <tablePart r:id="rId1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C4D36-4232-4B9C-91F0-670E656621F4}">
  <sheetPr>
    <tabColor rgb="FF00B050"/>
    <pageSetUpPr fitToPage="1"/>
  </sheetPr>
  <dimension ref="A1:G52"/>
  <sheetViews>
    <sheetView view="pageLayout" topLeftCell="A13" zoomScaleNormal="100" workbookViewId="0"/>
  </sheetViews>
  <sheetFormatPr defaultColWidth="11.42578125" defaultRowHeight="15" x14ac:dyDescent="0.25"/>
  <cols>
    <col min="1" max="1" width="29.85546875" style="4" customWidth="1"/>
    <col min="2" max="2" width="14.5703125" style="4" bestFit="1" customWidth="1"/>
    <col min="3" max="3" width="11" style="4" bestFit="1" customWidth="1"/>
    <col min="4" max="4" width="10.42578125" style="4" customWidth="1"/>
    <col min="5" max="5" width="20.5703125" style="4" bestFit="1" customWidth="1"/>
    <col min="6" max="6" width="7.42578125" style="4" customWidth="1"/>
    <col min="7" max="7" width="8" style="4" customWidth="1"/>
    <col min="8" max="16363" width="11.42578125" style="4"/>
    <col min="16364" max="16369" width="11.42578125" style="4" bestFit="1" customWidth="1"/>
    <col min="16370" max="16384" width="11.42578125" style="4"/>
  </cols>
  <sheetData>
    <row r="1" spans="1:7" ht="30" customHeight="1" x14ac:dyDescent="0.25">
      <c r="A1" s="20" t="s">
        <v>270</v>
      </c>
      <c r="B1" s="153" t="s">
        <v>1</v>
      </c>
      <c r="C1" s="153" t="s">
        <v>271</v>
      </c>
      <c r="D1" s="153" t="s">
        <v>304</v>
      </c>
      <c r="E1" s="153" t="s">
        <v>8</v>
      </c>
      <c r="F1" s="153" t="s">
        <v>274</v>
      </c>
      <c r="G1" s="153" t="s">
        <v>275</v>
      </c>
    </row>
    <row r="2" spans="1:7" x14ac:dyDescent="0.25">
      <c r="A2" s="137" t="s">
        <v>102</v>
      </c>
      <c r="B2" s="137"/>
      <c r="C2" s="32">
        <v>1</v>
      </c>
      <c r="D2" s="32">
        <v>1</v>
      </c>
      <c r="E2" s="31" t="s">
        <v>103</v>
      </c>
      <c r="F2" s="45">
        <v>40</v>
      </c>
      <c r="G2" s="45">
        <f>Table916[[#This Row],[Unit Price]]*Table916[[#This Row],[Pack Order Quantity]]</f>
        <v>40</v>
      </c>
    </row>
    <row r="3" spans="1:7" x14ac:dyDescent="0.25">
      <c r="A3" s="137" t="s">
        <v>333</v>
      </c>
      <c r="B3" s="137"/>
      <c r="C3" s="32">
        <v>1</v>
      </c>
      <c r="D3" s="32">
        <v>1</v>
      </c>
      <c r="E3" s="31" t="s">
        <v>136</v>
      </c>
      <c r="F3" s="45">
        <v>13</v>
      </c>
      <c r="G3" s="45">
        <f>Table916[[#This Row],[Unit Price]]*Table916[[#This Row],[Pack Order Quantity]]</f>
        <v>13</v>
      </c>
    </row>
    <row r="4" spans="1:7" x14ac:dyDescent="0.25">
      <c r="A4" t="s">
        <v>65</v>
      </c>
      <c r="B4"/>
      <c r="C4" s="32">
        <v>1</v>
      </c>
      <c r="D4" s="32">
        <v>1</v>
      </c>
      <c r="E4" s="31" t="s">
        <v>66</v>
      </c>
      <c r="F4" s="45">
        <v>10</v>
      </c>
      <c r="G4" s="45">
        <f>Table916[[#This Row],[Unit Price]]*Table916[[#This Row],[Pack Order Quantity]]</f>
        <v>10</v>
      </c>
    </row>
    <row r="5" spans="1:7" x14ac:dyDescent="0.25">
      <c r="A5" s="121" t="s">
        <v>334</v>
      </c>
      <c r="B5" s="13"/>
      <c r="C5" s="122">
        <v>1</v>
      </c>
      <c r="D5" s="122">
        <v>1</v>
      </c>
      <c r="E5" s="123"/>
      <c r="F5" s="124"/>
      <c r="G5" s="124"/>
    </row>
    <row r="6" spans="1:7" x14ac:dyDescent="0.25">
      <c r="A6" s="121" t="s">
        <v>335</v>
      </c>
      <c r="B6" s="13"/>
      <c r="C6" s="122"/>
      <c r="D6" s="122"/>
      <c r="E6" s="123" t="s">
        <v>336</v>
      </c>
      <c r="F6" s="124"/>
      <c r="G6" s="124"/>
    </row>
    <row r="7" spans="1:7" x14ac:dyDescent="0.25">
      <c r="A7" s="127" t="s">
        <v>337</v>
      </c>
      <c r="B7" s="13"/>
      <c r="C7" s="122">
        <v>1</v>
      </c>
      <c r="D7" s="122"/>
      <c r="E7" s="123" t="s">
        <v>284</v>
      </c>
      <c r="F7" s="124"/>
      <c r="G7" s="124"/>
    </row>
    <row r="8" spans="1:7" x14ac:dyDescent="0.25">
      <c r="A8" s="126" t="s">
        <v>338</v>
      </c>
      <c r="B8" s="5"/>
      <c r="C8" s="32">
        <v>9</v>
      </c>
      <c r="D8" s="32"/>
      <c r="E8" t="s">
        <v>284</v>
      </c>
      <c r="F8" s="45"/>
      <c r="G8" s="45"/>
    </row>
    <row r="9" spans="1:7" x14ac:dyDescent="0.25">
      <c r="A9" t="s">
        <v>339</v>
      </c>
      <c r="B9"/>
      <c r="C9" s="32">
        <v>2</v>
      </c>
      <c r="D9" s="32"/>
      <c r="E9" s="38" t="s">
        <v>284</v>
      </c>
      <c r="F9" s="45"/>
      <c r="G9" s="45"/>
    </row>
    <row r="10" spans="1:7" x14ac:dyDescent="0.25">
      <c r="A10" s="1" t="s">
        <v>340</v>
      </c>
      <c r="B10" s="1"/>
      <c r="C10" s="32">
        <v>7</v>
      </c>
      <c r="D10" s="32"/>
      <c r="E10" s="38" t="s">
        <v>284</v>
      </c>
      <c r="F10" s="45"/>
      <c r="G10" s="45"/>
    </row>
    <row r="11" spans="1:7" x14ac:dyDescent="0.25">
      <c r="A11" t="s">
        <v>194</v>
      </c>
      <c r="B11"/>
      <c r="C11" s="32">
        <v>6</v>
      </c>
      <c r="D11" s="32"/>
      <c r="E11" s="38" t="s">
        <v>284</v>
      </c>
      <c r="F11" s="45"/>
      <c r="G11" s="45"/>
    </row>
    <row r="12" spans="1:7" x14ac:dyDescent="0.25">
      <c r="A12" s="1" t="s">
        <v>341</v>
      </c>
      <c r="B12" s="1"/>
      <c r="C12" s="32">
        <v>2</v>
      </c>
      <c r="D12" s="32"/>
      <c r="E12" s="38" t="s">
        <v>284</v>
      </c>
      <c r="F12" s="45"/>
      <c r="G12" s="45"/>
    </row>
    <row r="13" spans="1:7" x14ac:dyDescent="0.25">
      <c r="A13" s="1" t="s">
        <v>342</v>
      </c>
      <c r="B13" s="1"/>
      <c r="C13" s="32">
        <v>10</v>
      </c>
      <c r="D13" s="32"/>
      <c r="E13" s="38" t="s">
        <v>284</v>
      </c>
      <c r="F13" s="45"/>
      <c r="G13" s="45"/>
    </row>
    <row r="14" spans="1:7" x14ac:dyDescent="0.25">
      <c r="A14" t="s">
        <v>343</v>
      </c>
      <c r="B14" s="1"/>
      <c r="C14" s="32">
        <v>1</v>
      </c>
      <c r="D14" s="32"/>
      <c r="E14" s="38" t="s">
        <v>284</v>
      </c>
      <c r="F14" s="45"/>
      <c r="G14" s="45">
        <f>Table916[[#This Row],[Unit Price]]*Table916[[#This Row],[Pack Order Quantity]]</f>
        <v>0</v>
      </c>
    </row>
    <row r="15" spans="1:7" x14ac:dyDescent="0.25">
      <c r="A15" s="1" t="s">
        <v>344</v>
      </c>
      <c r="B15" s="1"/>
      <c r="C15" s="32">
        <v>1</v>
      </c>
      <c r="D15" s="32"/>
      <c r="E15" s="38" t="s">
        <v>284</v>
      </c>
      <c r="F15" s="45"/>
      <c r="G15" s="45"/>
    </row>
    <row r="16" spans="1:7" x14ac:dyDescent="0.25">
      <c r="A16" s="28" t="s">
        <v>95</v>
      </c>
      <c r="B16" s="28"/>
      <c r="C16" s="32">
        <v>4</v>
      </c>
      <c r="D16" s="32"/>
      <c r="E16" s="38" t="s">
        <v>284</v>
      </c>
      <c r="F16" s="45"/>
      <c r="G16" s="45"/>
    </row>
    <row r="17" spans="1:7" x14ac:dyDescent="0.25">
      <c r="A17" s="28" t="s">
        <v>345</v>
      </c>
      <c r="B17" s="28"/>
      <c r="C17" s="32">
        <v>2</v>
      </c>
      <c r="D17" s="32"/>
      <c r="E17" s="38" t="s">
        <v>284</v>
      </c>
      <c r="F17" s="45"/>
      <c r="G17" s="45"/>
    </row>
    <row r="18" spans="1:7" x14ac:dyDescent="0.25">
      <c r="A18" s="98" t="s">
        <v>346</v>
      </c>
      <c r="B18" s="98"/>
      <c r="C18" s="32">
        <v>1</v>
      </c>
      <c r="D18" s="32"/>
      <c r="E18" s="38" t="s">
        <v>287</v>
      </c>
      <c r="F18" s="45"/>
      <c r="G18" s="45"/>
    </row>
    <row r="19" spans="1:7" x14ac:dyDescent="0.25">
      <c r="A19" s="155" t="s">
        <v>347</v>
      </c>
      <c r="B19" s="155"/>
      <c r="C19" s="32">
        <v>1</v>
      </c>
      <c r="D19" s="32"/>
      <c r="E19" s="38" t="s">
        <v>287</v>
      </c>
      <c r="F19" s="45"/>
      <c r="G19" s="45"/>
    </row>
    <row r="20" spans="1:7" x14ac:dyDescent="0.25">
      <c r="A20" s="5" t="s">
        <v>348</v>
      </c>
      <c r="B20" s="5"/>
      <c r="C20" s="32">
        <v>1</v>
      </c>
      <c r="D20" s="32"/>
      <c r="E20" s="38" t="s">
        <v>287</v>
      </c>
      <c r="F20" s="45"/>
      <c r="G20" s="45"/>
    </row>
    <row r="21" spans="1:7" x14ac:dyDescent="0.25">
      <c r="A21" s="155" t="s">
        <v>349</v>
      </c>
      <c r="B21" s="155"/>
      <c r="C21" s="32">
        <v>1</v>
      </c>
      <c r="D21" s="32"/>
      <c r="E21" s="38" t="s">
        <v>287</v>
      </c>
      <c r="F21" s="45"/>
      <c r="G21" s="45"/>
    </row>
    <row r="22" spans="1:7" x14ac:dyDescent="0.25">
      <c r="A22" s="5" t="s">
        <v>350</v>
      </c>
      <c r="B22" s="5"/>
      <c r="C22" s="32">
        <v>1</v>
      </c>
      <c r="D22" s="32"/>
      <c r="E22" s="38" t="s">
        <v>287</v>
      </c>
      <c r="F22" s="45"/>
      <c r="G22" s="45"/>
    </row>
    <row r="23" spans="1:7" x14ac:dyDescent="0.25">
      <c r="A23" s="6" t="s">
        <v>351</v>
      </c>
      <c r="B23" s="6"/>
      <c r="C23" s="32">
        <v>1</v>
      </c>
      <c r="D23" s="32"/>
      <c r="E23" s="38" t="s">
        <v>287</v>
      </c>
      <c r="F23" s="45"/>
      <c r="G23" s="45"/>
    </row>
    <row r="24" spans="1:7" ht="15.75" thickBot="1" x14ac:dyDescent="0.3">
      <c r="A24" s="5" t="s">
        <v>352</v>
      </c>
      <c r="B24" s="5"/>
      <c r="C24" s="32">
        <v>1</v>
      </c>
      <c r="D24" s="32"/>
      <c r="E24" s="38" t="s">
        <v>287</v>
      </c>
      <c r="F24" s="45"/>
      <c r="G24" s="45"/>
    </row>
    <row r="25" spans="1:7" ht="15.75" thickBot="1" x14ac:dyDescent="0.3">
      <c r="A25" s="95" t="s">
        <v>353</v>
      </c>
      <c r="B25" s="99"/>
      <c r="C25" s="154"/>
      <c r="D25" s="154"/>
      <c r="E25" s="96"/>
      <c r="F25" s="96"/>
      <c r="G25" s="97">
        <f>SUBTOTAL(109,G2:G24)</f>
        <v>63</v>
      </c>
    </row>
    <row r="26" spans="1:7" x14ac:dyDescent="0.25">
      <c r="A26" s="93"/>
      <c r="B26" s="93"/>
      <c r="C26" s="151"/>
      <c r="D26" s="151"/>
      <c r="E26" s="94"/>
      <c r="F26" s="152"/>
      <c r="G26" s="152"/>
    </row>
    <row r="27" spans="1:7" x14ac:dyDescent="0.25">
      <c r="A27" s="25" t="s">
        <v>293</v>
      </c>
      <c r="B27" s="25"/>
      <c r="C27" s="148"/>
    </row>
    <row r="28" spans="1:7" x14ac:dyDescent="0.25">
      <c r="A28" s="26" t="s">
        <v>294</v>
      </c>
      <c r="B28" s="26"/>
      <c r="C28" s="148"/>
    </row>
    <row r="29" spans="1:7" x14ac:dyDescent="0.25">
      <c r="A29" s="26" t="s">
        <v>295</v>
      </c>
      <c r="B29" s="26"/>
      <c r="C29" s="148"/>
    </row>
    <row r="30" spans="1:7" x14ac:dyDescent="0.25">
      <c r="A30" s="26" t="s">
        <v>296</v>
      </c>
      <c r="B30" s="26"/>
      <c r="C30" s="148"/>
    </row>
    <row r="31" spans="1:7" x14ac:dyDescent="0.25">
      <c r="A31" s="148"/>
      <c r="B31" s="148"/>
      <c r="C31" s="148"/>
    </row>
    <row r="32" spans="1:7" x14ac:dyDescent="0.25">
      <c r="A32" s="24" t="s">
        <v>297</v>
      </c>
      <c r="B32" s="24"/>
      <c r="C32" s="148"/>
    </row>
    <row r="33" spans="1:7" x14ac:dyDescent="0.25">
      <c r="A33" s="148" t="s">
        <v>298</v>
      </c>
      <c r="B33" s="148"/>
      <c r="C33" s="148" t="s">
        <v>299</v>
      </c>
    </row>
    <row r="34" spans="1:7" x14ac:dyDescent="0.25">
      <c r="A34" s="148" t="s">
        <v>300</v>
      </c>
      <c r="B34" s="148"/>
      <c r="C34" s="148" t="s">
        <v>301</v>
      </c>
    </row>
    <row r="35" spans="1:7" x14ac:dyDescent="0.25">
      <c r="A35" s="148" t="s">
        <v>302</v>
      </c>
      <c r="B35" s="148"/>
      <c r="C35" s="148" t="s">
        <v>303</v>
      </c>
    </row>
    <row r="36" spans="1:7" ht="15.75" thickBot="1" x14ac:dyDescent="0.3">
      <c r="A36" s="148"/>
      <c r="B36" s="148"/>
      <c r="C36" s="148"/>
    </row>
    <row r="37" spans="1:7" ht="18.75" x14ac:dyDescent="0.3">
      <c r="A37" s="106" t="s">
        <v>354</v>
      </c>
      <c r="B37" s="107"/>
      <c r="C37" s="107"/>
      <c r="D37" s="107"/>
      <c r="E37" s="40"/>
      <c r="F37" s="40"/>
      <c r="G37" s="41"/>
    </row>
    <row r="38" spans="1:7" ht="30" customHeight="1" x14ac:dyDescent="0.25">
      <c r="A38" s="108" t="s">
        <v>270</v>
      </c>
      <c r="B38" s="153" t="s">
        <v>1</v>
      </c>
      <c r="C38" s="153" t="s">
        <v>271</v>
      </c>
      <c r="D38" s="153" t="s">
        <v>304</v>
      </c>
      <c r="E38" s="153" t="s">
        <v>8</v>
      </c>
      <c r="F38" s="153" t="s">
        <v>274</v>
      </c>
      <c r="G38" s="156" t="s">
        <v>275</v>
      </c>
    </row>
    <row r="39" spans="1:7" x14ac:dyDescent="0.25">
      <c r="A39" s="101" t="s">
        <v>355</v>
      </c>
      <c r="B39" s="1"/>
      <c r="C39" s="32">
        <v>1</v>
      </c>
      <c r="D39" s="32">
        <v>1</v>
      </c>
      <c r="E39" s="33" t="s">
        <v>356</v>
      </c>
      <c r="F39" s="45">
        <v>18</v>
      </c>
      <c r="G39" s="102">
        <f>Table91629[[#This Row],[Unit Price]]*Table91629[[#This Row],[Pack Order Quantity]]</f>
        <v>18</v>
      </c>
    </row>
    <row r="40" spans="1:7" x14ac:dyDescent="0.25">
      <c r="A40" s="101" t="s">
        <v>357</v>
      </c>
      <c r="B40"/>
      <c r="C40" s="32">
        <v>1</v>
      </c>
      <c r="D40" s="32">
        <v>1</v>
      </c>
      <c r="E40" s="33" t="s">
        <v>358</v>
      </c>
      <c r="F40" s="45">
        <v>4</v>
      </c>
      <c r="G40" s="102">
        <f>Table91629[[#This Row],[Unit Price]]*Table91629[[#This Row],[Pack Order Quantity]]</f>
        <v>4</v>
      </c>
    </row>
    <row r="41" spans="1:7" x14ac:dyDescent="0.25">
      <c r="A41" s="101" t="s">
        <v>359</v>
      </c>
      <c r="B41" s="1"/>
      <c r="C41" s="32">
        <v>2</v>
      </c>
      <c r="D41" s="32">
        <v>2</v>
      </c>
      <c r="E41" s="33" t="s">
        <v>360</v>
      </c>
      <c r="F41" s="45">
        <v>3</v>
      </c>
      <c r="G41" s="102">
        <f>Table91629[[#This Row],[Unit Price]]*Table91629[[#This Row],[Pack Order Quantity]]</f>
        <v>6</v>
      </c>
    </row>
    <row r="42" spans="1:7" x14ac:dyDescent="0.25">
      <c r="A42" s="109" t="s">
        <v>361</v>
      </c>
      <c r="B42" s="5"/>
      <c r="C42" s="32">
        <v>1</v>
      </c>
      <c r="D42" s="32">
        <v>1</v>
      </c>
      <c r="E42" s="33" t="e">
        <f>#REF!</f>
        <v>#REF!</v>
      </c>
      <c r="F42" s="45">
        <v>3</v>
      </c>
      <c r="G42" s="102">
        <f>Table91629[[#This Row],[Unit Price]]*Table91629[[#This Row],[Pack Order Quantity]]</f>
        <v>3</v>
      </c>
    </row>
    <row r="43" spans="1:7" x14ac:dyDescent="0.25">
      <c r="A43" s="42" t="s">
        <v>362</v>
      </c>
      <c r="B43" s="28"/>
      <c r="C43" s="32">
        <v>1</v>
      </c>
      <c r="D43" s="32">
        <v>1</v>
      </c>
      <c r="E43" s="119" t="s">
        <v>363</v>
      </c>
      <c r="F43" s="45">
        <v>48</v>
      </c>
      <c r="G43" s="102">
        <f>Table91629[[#This Row],[Unit Price]]*Table91629[[#This Row],[Pack Order Quantity]]</f>
        <v>48</v>
      </c>
    </row>
    <row r="44" spans="1:7" x14ac:dyDescent="0.25">
      <c r="A44" s="118" t="s">
        <v>364</v>
      </c>
      <c r="B44" s="98"/>
      <c r="C44" s="32">
        <v>1</v>
      </c>
      <c r="D44" s="32">
        <v>1</v>
      </c>
      <c r="E44" s="119" t="s">
        <v>365</v>
      </c>
      <c r="F44" s="45">
        <v>2</v>
      </c>
      <c r="G44" s="102">
        <f>Table91629[[#This Row],[Unit Price]]*Table91629[[#This Row],[Pack Order Quantity]]</f>
        <v>2</v>
      </c>
    </row>
    <row r="45" spans="1:7" x14ac:dyDescent="0.25">
      <c r="A45" s="120" t="s">
        <v>366</v>
      </c>
      <c r="B45" s="155"/>
      <c r="C45" s="32">
        <v>1</v>
      </c>
      <c r="D45" s="32">
        <v>1</v>
      </c>
      <c r="E45" s="119" t="s">
        <v>367</v>
      </c>
      <c r="F45" s="45">
        <v>3</v>
      </c>
      <c r="G45" s="102">
        <f>Table91629[[#This Row],[Unit Price]]*Table91629[[#This Row],[Pack Order Quantity]]</f>
        <v>3</v>
      </c>
    </row>
    <row r="46" spans="1:7" x14ac:dyDescent="0.25">
      <c r="A46" s="42" t="s">
        <v>368</v>
      </c>
      <c r="B46" s="28"/>
      <c r="C46" s="32">
        <v>1</v>
      </c>
      <c r="D46" s="32">
        <v>1</v>
      </c>
      <c r="E46" s="33" t="s">
        <v>369</v>
      </c>
      <c r="F46" s="45">
        <v>13</v>
      </c>
      <c r="G46" s="102">
        <f>Table91629[[#This Row],[Unit Price]]*Table91629[[#This Row],[Pack Order Quantity]]</f>
        <v>13</v>
      </c>
    </row>
    <row r="47" spans="1:7" x14ac:dyDescent="0.25">
      <c r="A47" s="101" t="s">
        <v>370</v>
      </c>
      <c r="B47" s="1"/>
      <c r="C47" s="32">
        <v>1</v>
      </c>
      <c r="D47" s="32">
        <v>1</v>
      </c>
      <c r="E47" s="33" t="s">
        <v>371</v>
      </c>
      <c r="F47" s="45">
        <v>8</v>
      </c>
      <c r="G47" s="102">
        <f>Table91629[[#This Row],[Unit Price]]*Table91629[[#This Row],[Pack Order Quantity]]</f>
        <v>8</v>
      </c>
    </row>
    <row r="48" spans="1:7" ht="15.75" thickBot="1" x14ac:dyDescent="0.3">
      <c r="A48" s="101" t="s">
        <v>372</v>
      </c>
      <c r="B48" s="1"/>
      <c r="C48" s="32">
        <v>1</v>
      </c>
      <c r="D48" s="32">
        <v>1</v>
      </c>
      <c r="E48" s="33" t="s">
        <v>373</v>
      </c>
      <c r="F48" s="45">
        <v>3</v>
      </c>
      <c r="G48" s="102">
        <f>Table91629[[#This Row],[Unit Price]]*Table91629[[#This Row],[Pack Order Quantity]]</f>
        <v>3</v>
      </c>
    </row>
    <row r="49" spans="1:7" ht="15.75" thickBot="1" x14ac:dyDescent="0.3">
      <c r="A49" s="95" t="s">
        <v>374</v>
      </c>
      <c r="B49" s="99"/>
      <c r="C49" s="154"/>
      <c r="D49" s="154"/>
      <c r="E49" s="96"/>
      <c r="F49" s="96"/>
      <c r="G49" s="97">
        <f>SUBTOTAL(109,G39:G48)</f>
        <v>108</v>
      </c>
    </row>
    <row r="50" spans="1:7" ht="15.75" thickBot="1" x14ac:dyDescent="0.3">
      <c r="A50" s="157" t="s">
        <v>375</v>
      </c>
      <c r="B50" s="114"/>
      <c r="C50" s="114"/>
      <c r="D50" s="114"/>
      <c r="E50" s="114"/>
      <c r="F50" s="114"/>
      <c r="G50" s="115">
        <f>G25+G49</f>
        <v>171</v>
      </c>
    </row>
    <row r="52" spans="1:7" ht="120" x14ac:dyDescent="0.25">
      <c r="C52" s="125" t="s">
        <v>376</v>
      </c>
    </row>
  </sheetData>
  <hyperlinks>
    <hyperlink ref="E9" r:id="rId1" display="5mm-Pulley 26T" xr:uid="{00540DB0-AA73-4EB0-8B65-E97234A7A868}"/>
    <hyperlink ref="E10" r:id="rId2" display="9mm-EPDM 5M" xr:uid="{52C20ABA-C85B-47D3-8E02-2F3A9BB347E8}"/>
    <hyperlink ref="E15" r:id="rId3" display="625ZZ - 10PCS" xr:uid="{B66F0F76-CBAE-41DB-9956-90085C632DDC}"/>
    <hyperlink ref="E16" r:id="rId4" display="6x25 - 20PCS" xr:uid="{5E9FE5F0-CCE3-4A2B-AA06-61F99510353E}"/>
    <hyperlink ref="A28" r:id="rId5" xr:uid="{155E2BFD-75D5-4302-8B35-91C69409EDC3}"/>
    <hyperlink ref="A29" r:id="rId6" xr:uid="{C797E11F-3640-4C29-906E-B1297730A2AC}"/>
    <hyperlink ref="A30" r:id="rId7" xr:uid="{32A8E47E-ACC7-47E5-AD18-C96D8D8947AD}"/>
    <hyperlink ref="E46" r:id="rId8" display="Hardened Steel V6 Nozzle" xr:uid="{A1C5DE4F-3A81-45A4-965E-763ED682818D}"/>
    <hyperlink ref="E42" r:id="rId9" display="https://www.aliexpress.com/item/1005003788713178.html" xr:uid="{59090462-ABA4-4771-A4E6-E1D32C02E864}"/>
    <hyperlink ref="E40" r:id="rId10" display="C: 1PC 24V 70W" xr:uid="{788A874D-B306-4AF8-B3EA-209EA3437D0E}"/>
    <hyperlink ref="E41" r:id="rId11" display="C: WX-KPC4-M5" xr:uid="{E9F3D2C9-EE02-4BD7-90BA-F6AF261AD298}"/>
    <hyperlink ref="E48" r:id="rId12" xr:uid="{949DECA0-23A3-44D8-9BDE-289773AF812C}"/>
    <hyperlink ref="E47" r:id="rId13" display="https://s.click.aliexpress.com/e/_c348aGWh" xr:uid="{D7FA2820-1D8F-44C6-8F31-B55F638D5B45}"/>
    <hyperlink ref="E43" r:id="rId14" xr:uid="{2D1BA085-9548-4447-B3B4-2CCFD4BB4CFC}"/>
    <hyperlink ref="E39" r:id="rId15" xr:uid="{698C389A-C1A2-4671-865A-C52B78E534B5}"/>
    <hyperlink ref="E2" r:id="rId16" xr:uid="{1A31396A-F566-4CB8-8FF4-7B3180F81E59}"/>
    <hyperlink ref="E3" r:id="rId17" display="C: 30x30" xr:uid="{200A2C85-D5E2-4670-A2AF-E4BD81BDC694}"/>
    <hyperlink ref="E4" r:id="rId18" display="https://www.aliexpress.com/item/1005003495377989.html" xr:uid="{4828E757-9CFD-4F9D-B53D-FBF9AE34729C}"/>
    <hyperlink ref="E45" r:id="rId19" xr:uid="{D33392A6-D9E2-44F9-B210-9FC66DD7BAAD}"/>
    <hyperlink ref="E44" r:id="rId20" display="Color: SET2" xr:uid="{2E1E73DC-5BBB-421A-BE68-B0E893587C73}"/>
  </hyperlinks>
  <pageMargins left="0.7" right="0.7" top="0.75" bottom="0.75" header="0.3" footer="0.3"/>
  <pageSetup paperSize="9" scale="82" orientation="portrait" r:id="rId21"/>
  <headerFooter>
    <oddHeader>&amp;C&amp;"Aptos Black,Regular"&amp;14VALKYRIE V2 - TOOLHEAD BOM</oddHeader>
    <oddFooter>&amp;CBETA PRELEASE</oddFooter>
  </headerFooter>
  <drawing r:id="rId22"/>
  <tableParts count="2">
    <tablePart r:id="rId23"/>
    <tablePart r:id="rId2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F21DF-9FE7-4E8A-99F7-ADAD3966DA06}">
  <sheetPr>
    <tabColor rgb="FF00B050"/>
    <pageSetUpPr fitToPage="1"/>
  </sheetPr>
  <dimension ref="A1:G56"/>
  <sheetViews>
    <sheetView view="pageLayout" topLeftCell="A13" zoomScaleNormal="100" workbookViewId="0">
      <selection activeCell="J8" sqref="J8"/>
    </sheetView>
  </sheetViews>
  <sheetFormatPr defaultColWidth="11.42578125" defaultRowHeight="15" x14ac:dyDescent="0.25"/>
  <cols>
    <col min="1" max="1" width="29.85546875" style="4" customWidth="1"/>
    <col min="2" max="2" width="14.28515625" style="4" bestFit="1" customWidth="1"/>
    <col min="3" max="3" width="11" style="4" bestFit="1" customWidth="1"/>
    <col min="4" max="4" width="10.42578125" style="4" customWidth="1"/>
    <col min="5" max="5" width="33.85546875" style="4" bestFit="1" customWidth="1"/>
    <col min="6" max="6" width="8.5703125" style="4" customWidth="1"/>
    <col min="7" max="7" width="7.7109375" style="4" customWidth="1"/>
    <col min="8" max="16365" width="11.42578125" style="4"/>
    <col min="16366" max="16371" width="11.42578125" style="4" bestFit="1" customWidth="1"/>
    <col min="16372" max="16384" width="11.42578125" style="4"/>
  </cols>
  <sheetData>
    <row r="1" spans="1:7" ht="30" customHeight="1" x14ac:dyDescent="0.25">
      <c r="A1" s="20" t="s">
        <v>270</v>
      </c>
      <c r="B1" s="153" t="s">
        <v>1</v>
      </c>
      <c r="C1" s="153" t="s">
        <v>271</v>
      </c>
      <c r="D1" s="153" t="s">
        <v>304</v>
      </c>
      <c r="E1" s="153" t="s">
        <v>8</v>
      </c>
      <c r="F1" s="153" t="s">
        <v>274</v>
      </c>
      <c r="G1" s="153" t="s">
        <v>275</v>
      </c>
    </row>
    <row r="2" spans="1:7" x14ac:dyDescent="0.25">
      <c r="A2" s="144" t="s">
        <v>377</v>
      </c>
      <c r="B2" s="144"/>
      <c r="C2" s="32">
        <v>12</v>
      </c>
      <c r="D2" s="32"/>
      <c r="E2" s="38" t="s">
        <v>284</v>
      </c>
      <c r="F2" s="45"/>
      <c r="G2" s="45"/>
    </row>
    <row r="3" spans="1:7" x14ac:dyDescent="0.25">
      <c r="A3" s="144" t="s">
        <v>236</v>
      </c>
      <c r="B3" s="144"/>
      <c r="C3" s="32">
        <v>3</v>
      </c>
      <c r="D3" s="32"/>
      <c r="E3" s="38" t="s">
        <v>284</v>
      </c>
      <c r="F3" s="45"/>
      <c r="G3" s="45"/>
    </row>
    <row r="4" spans="1:7" x14ac:dyDescent="0.25">
      <c r="A4" s="144" t="s">
        <v>239</v>
      </c>
      <c r="B4" s="144"/>
      <c r="C4" s="32">
        <v>6</v>
      </c>
      <c r="D4" s="32"/>
      <c r="E4" s="38" t="s">
        <v>284</v>
      </c>
      <c r="F4" s="45"/>
      <c r="G4" s="45"/>
    </row>
    <row r="5" spans="1:7" x14ac:dyDescent="0.25">
      <c r="A5" s="138" t="s">
        <v>131</v>
      </c>
      <c r="B5" s="144"/>
      <c r="C5" s="32">
        <v>1</v>
      </c>
      <c r="D5" s="32"/>
      <c r="E5" s="38" t="s">
        <v>284</v>
      </c>
      <c r="F5" s="45"/>
      <c r="G5" s="45"/>
    </row>
    <row r="6" spans="1:7" x14ac:dyDescent="0.25">
      <c r="A6" s="144" t="s">
        <v>378</v>
      </c>
      <c r="B6" s="144"/>
      <c r="C6" s="32">
        <v>1</v>
      </c>
      <c r="D6" s="32"/>
      <c r="E6" s="38" t="s">
        <v>284</v>
      </c>
      <c r="F6" s="45"/>
      <c r="G6" s="45"/>
    </row>
    <row r="7" spans="1:7" x14ac:dyDescent="0.25">
      <c r="A7" s="144" t="s">
        <v>87</v>
      </c>
      <c r="B7" s="144"/>
      <c r="C7" s="32">
        <v>6</v>
      </c>
      <c r="D7" s="32"/>
      <c r="E7" s="38" t="s">
        <v>284</v>
      </c>
      <c r="F7" s="45"/>
      <c r="G7" s="45"/>
    </row>
    <row r="8" spans="1:7" x14ac:dyDescent="0.25">
      <c r="A8" t="s">
        <v>379</v>
      </c>
      <c r="B8"/>
      <c r="C8" s="32">
        <v>3</v>
      </c>
      <c r="D8" s="32"/>
      <c r="E8" s="38" t="s">
        <v>284</v>
      </c>
      <c r="F8" s="45"/>
      <c r="G8" s="45"/>
    </row>
    <row r="9" spans="1:7" x14ac:dyDescent="0.25">
      <c r="A9" s="1" t="s">
        <v>380</v>
      </c>
      <c r="B9" s="1"/>
      <c r="C9" s="32">
        <v>3</v>
      </c>
      <c r="D9" s="32"/>
      <c r="E9" s="38" t="s">
        <v>284</v>
      </c>
      <c r="F9" s="45"/>
      <c r="G9" s="45"/>
    </row>
    <row r="10" spans="1:7" x14ac:dyDescent="0.25">
      <c r="A10" s="4" t="s">
        <v>381</v>
      </c>
      <c r="C10" s="32">
        <v>3</v>
      </c>
      <c r="D10" s="32"/>
      <c r="E10" s="38" t="s">
        <v>284</v>
      </c>
      <c r="F10" s="45"/>
      <c r="G10" s="45"/>
    </row>
    <row r="11" spans="1:7" x14ac:dyDescent="0.25">
      <c r="A11" s="138" t="s">
        <v>51</v>
      </c>
      <c r="B11" s="144"/>
      <c r="C11" s="32">
        <v>1</v>
      </c>
      <c r="D11" s="32">
        <v>1</v>
      </c>
      <c r="E11" s="31" t="s">
        <v>382</v>
      </c>
      <c r="F11" s="45">
        <v>80</v>
      </c>
      <c r="G11" s="45">
        <f>Table913[[#This Row],[Unit Price]]*Table913[[#This Row],[Pack Order Quantity]]</f>
        <v>80</v>
      </c>
    </row>
    <row r="12" spans="1:7" x14ac:dyDescent="0.25">
      <c r="A12" s="144" t="s">
        <v>309</v>
      </c>
      <c r="B12" s="144"/>
      <c r="C12" s="32">
        <v>42</v>
      </c>
      <c r="D12" s="32"/>
      <c r="E12" s="38" t="s">
        <v>284</v>
      </c>
      <c r="F12" s="45"/>
      <c r="G12" s="45"/>
    </row>
    <row r="13" spans="1:7" x14ac:dyDescent="0.25">
      <c r="A13" s="4" t="s">
        <v>383</v>
      </c>
      <c r="C13" s="32">
        <v>3</v>
      </c>
      <c r="D13" s="32"/>
      <c r="E13" s="38" t="s">
        <v>284</v>
      </c>
      <c r="F13" s="45"/>
      <c r="G13" s="45"/>
    </row>
    <row r="14" spans="1:7" x14ac:dyDescent="0.25">
      <c r="A14" s="4" t="s">
        <v>384</v>
      </c>
      <c r="C14" s="32">
        <v>27</v>
      </c>
      <c r="D14" s="32"/>
      <c r="E14" s="38" t="s">
        <v>284</v>
      </c>
      <c r="F14" s="45"/>
      <c r="G14" s="45"/>
    </row>
    <row r="15" spans="1:7" x14ac:dyDescent="0.25">
      <c r="A15" s="4" t="s">
        <v>195</v>
      </c>
      <c r="C15" s="32">
        <v>54</v>
      </c>
      <c r="D15" s="32"/>
      <c r="E15" s="38" t="s">
        <v>284</v>
      </c>
      <c r="F15" s="45"/>
      <c r="G15" s="45"/>
    </row>
    <row r="16" spans="1:7" x14ac:dyDescent="0.25">
      <c r="A16" s="4" t="s">
        <v>197</v>
      </c>
      <c r="C16" s="32">
        <v>8</v>
      </c>
      <c r="D16" s="32"/>
      <c r="E16" s="38" t="s">
        <v>284</v>
      </c>
      <c r="F16" s="45"/>
      <c r="G16" s="45"/>
    </row>
    <row r="17" spans="1:7" x14ac:dyDescent="0.25">
      <c r="A17" s="4" t="s">
        <v>385</v>
      </c>
      <c r="C17" s="32">
        <v>7</v>
      </c>
      <c r="D17" s="32"/>
      <c r="E17" s="38" t="s">
        <v>284</v>
      </c>
      <c r="F17" s="45"/>
      <c r="G17" s="45"/>
    </row>
    <row r="18" spans="1:7" x14ac:dyDescent="0.25">
      <c r="A18" s="4" t="s">
        <v>386</v>
      </c>
      <c r="C18" s="32">
        <v>3</v>
      </c>
      <c r="D18" s="32"/>
      <c r="E18" s="38" t="s">
        <v>284</v>
      </c>
      <c r="F18" s="45"/>
      <c r="G18" s="45"/>
    </row>
    <row r="19" spans="1:7" x14ac:dyDescent="0.25">
      <c r="A19" s="4" t="s">
        <v>387</v>
      </c>
      <c r="C19" s="32">
        <v>3</v>
      </c>
      <c r="D19" s="32"/>
      <c r="E19" s="38" t="s">
        <v>284</v>
      </c>
      <c r="F19" s="45"/>
      <c r="G19" s="45"/>
    </row>
    <row r="20" spans="1:7" x14ac:dyDescent="0.25">
      <c r="A20" s="4" t="s">
        <v>388</v>
      </c>
      <c r="C20" s="32">
        <v>3</v>
      </c>
      <c r="D20" s="32"/>
      <c r="E20" s="38" t="s">
        <v>284</v>
      </c>
      <c r="F20" s="45"/>
      <c r="G20" s="45"/>
    </row>
    <row r="21" spans="1:7" x14ac:dyDescent="0.25">
      <c r="A21" s="4" t="s">
        <v>209</v>
      </c>
      <c r="C21" s="32">
        <v>3</v>
      </c>
      <c r="D21" s="32"/>
      <c r="E21" s="38" t="s">
        <v>284</v>
      </c>
      <c r="F21" s="45"/>
      <c r="G21" s="45"/>
    </row>
    <row r="22" spans="1:7" x14ac:dyDescent="0.25">
      <c r="A22" s="4" t="s">
        <v>313</v>
      </c>
      <c r="C22" s="32">
        <v>3</v>
      </c>
      <c r="D22" s="32"/>
      <c r="E22" s="38" t="s">
        <v>284</v>
      </c>
      <c r="F22" s="45"/>
      <c r="G22" s="45"/>
    </row>
    <row r="23" spans="1:7" x14ac:dyDescent="0.25">
      <c r="A23" s="4" t="s">
        <v>283</v>
      </c>
      <c r="C23" s="32">
        <v>24</v>
      </c>
      <c r="D23" s="32"/>
      <c r="E23" s="38" t="s">
        <v>284</v>
      </c>
      <c r="F23" s="45"/>
      <c r="G23" s="45"/>
    </row>
    <row r="24" spans="1:7" x14ac:dyDescent="0.25">
      <c r="A24" s="144" t="s">
        <v>285</v>
      </c>
      <c r="B24" s="144"/>
      <c r="C24" s="32">
        <v>6</v>
      </c>
      <c r="D24" s="32"/>
      <c r="E24" s="38" t="s">
        <v>284</v>
      </c>
      <c r="F24" s="45"/>
      <c r="G24" s="45"/>
    </row>
    <row r="25" spans="1:7" x14ac:dyDescent="0.25">
      <c r="A25" s="144" t="s">
        <v>217</v>
      </c>
      <c r="B25" s="144"/>
      <c r="C25" s="32">
        <v>21</v>
      </c>
      <c r="D25" s="151"/>
      <c r="E25" s="38" t="s">
        <v>284</v>
      </c>
      <c r="F25" s="45"/>
      <c r="G25" s="45"/>
    </row>
    <row r="26" spans="1:7" x14ac:dyDescent="0.25">
      <c r="A26" s="4" t="s">
        <v>219</v>
      </c>
      <c r="C26" s="32">
        <v>3</v>
      </c>
      <c r="D26" s="32"/>
      <c r="E26" s="38" t="s">
        <v>284</v>
      </c>
      <c r="F26" s="45"/>
      <c r="G26" s="45"/>
    </row>
    <row r="27" spans="1:7" x14ac:dyDescent="0.25">
      <c r="A27" s="4" t="s">
        <v>389</v>
      </c>
      <c r="C27" s="32">
        <v>3</v>
      </c>
      <c r="D27" s="32"/>
      <c r="E27" s="38" t="s">
        <v>284</v>
      </c>
      <c r="F27" s="45"/>
      <c r="G27" s="45"/>
    </row>
    <row r="28" spans="1:7" x14ac:dyDescent="0.25">
      <c r="A28" s="4" t="s">
        <v>390</v>
      </c>
      <c r="C28" s="32">
        <v>12</v>
      </c>
      <c r="D28" s="32"/>
      <c r="E28" s="38" t="s">
        <v>284</v>
      </c>
      <c r="F28" s="45"/>
      <c r="G28" s="45"/>
    </row>
    <row r="29" spans="1:7" x14ac:dyDescent="0.25">
      <c r="A29" s="4" t="s">
        <v>391</v>
      </c>
      <c r="C29" s="32">
        <v>3</v>
      </c>
      <c r="D29" s="32">
        <v>3</v>
      </c>
      <c r="E29" s="31" t="s">
        <v>29</v>
      </c>
      <c r="F29" s="45">
        <v>40</v>
      </c>
      <c r="G29" s="45">
        <f>Table913[[#This Row],[Unit Price]]*Table913[[#This Row],[Pack Order Quantity]]</f>
        <v>120</v>
      </c>
    </row>
    <row r="30" spans="1:7" x14ac:dyDescent="0.25">
      <c r="A30" s="4" t="s">
        <v>392</v>
      </c>
      <c r="C30" s="32">
        <v>3</v>
      </c>
      <c r="D30" s="32">
        <v>1</v>
      </c>
      <c r="E30" s="31" t="s">
        <v>69</v>
      </c>
      <c r="F30" s="45">
        <v>53</v>
      </c>
      <c r="G30" s="45">
        <f>Table913[[#This Row],[Unit Price]]*Table913[[#This Row],[Pack Order Quantity]]</f>
        <v>53</v>
      </c>
    </row>
    <row r="31" spans="1:7" x14ac:dyDescent="0.25">
      <c r="A31" s="4" t="s">
        <v>393</v>
      </c>
      <c r="C31" s="32">
        <v>1</v>
      </c>
      <c r="D31" s="32"/>
      <c r="E31" s="38" t="s">
        <v>287</v>
      </c>
      <c r="F31" s="45"/>
      <c r="G31" s="45"/>
    </row>
    <row r="32" spans="1:7" x14ac:dyDescent="0.25">
      <c r="A32" s="4" t="s">
        <v>394</v>
      </c>
      <c r="C32" s="32">
        <v>1</v>
      </c>
      <c r="D32" s="32"/>
      <c r="E32" s="38" t="s">
        <v>287</v>
      </c>
      <c r="F32" s="45"/>
      <c r="G32" s="45"/>
    </row>
    <row r="33" spans="1:7" x14ac:dyDescent="0.25">
      <c r="A33" s="4" t="s">
        <v>395</v>
      </c>
      <c r="C33" s="32">
        <v>1</v>
      </c>
      <c r="D33" s="32"/>
      <c r="E33" s="38" t="s">
        <v>287</v>
      </c>
      <c r="F33" s="45"/>
      <c r="G33" s="45"/>
    </row>
    <row r="34" spans="1:7" x14ac:dyDescent="0.25">
      <c r="A34" s="4" t="s">
        <v>396</v>
      </c>
      <c r="C34" s="32">
        <v>2</v>
      </c>
      <c r="D34" s="32"/>
      <c r="E34" s="38" t="s">
        <v>287</v>
      </c>
      <c r="F34" s="45"/>
      <c r="G34" s="45"/>
    </row>
    <row r="35" spans="1:7" x14ac:dyDescent="0.25">
      <c r="A35" s="4" t="s">
        <v>397</v>
      </c>
      <c r="C35" s="32">
        <v>1</v>
      </c>
      <c r="D35" s="32"/>
      <c r="E35" s="38" t="s">
        <v>287</v>
      </c>
      <c r="F35" s="45"/>
      <c r="G35" s="45"/>
    </row>
    <row r="36" spans="1:7" x14ac:dyDescent="0.25">
      <c r="A36" s="4" t="s">
        <v>398</v>
      </c>
      <c r="C36" s="32">
        <v>1</v>
      </c>
      <c r="D36" s="32"/>
      <c r="E36" s="38" t="s">
        <v>287</v>
      </c>
      <c r="F36" s="45"/>
      <c r="G36" s="45"/>
    </row>
    <row r="37" spans="1:7" x14ac:dyDescent="0.25">
      <c r="A37" s="144" t="s">
        <v>399</v>
      </c>
      <c r="B37" s="144"/>
      <c r="C37" s="32">
        <v>1</v>
      </c>
      <c r="D37" s="32"/>
      <c r="E37" s="38" t="s">
        <v>287</v>
      </c>
      <c r="F37" s="45"/>
      <c r="G37" s="45"/>
    </row>
    <row r="38" spans="1:7" x14ac:dyDescent="0.25">
      <c r="A38" s="4" t="s">
        <v>400</v>
      </c>
      <c r="C38" s="32">
        <v>1</v>
      </c>
      <c r="D38" s="32"/>
      <c r="E38" s="38" t="s">
        <v>287</v>
      </c>
      <c r="F38" s="45"/>
      <c r="G38" s="45"/>
    </row>
    <row r="39" spans="1:7" x14ac:dyDescent="0.25">
      <c r="A39" s="4" t="s">
        <v>401</v>
      </c>
      <c r="C39" s="32">
        <v>1</v>
      </c>
      <c r="D39" s="32"/>
      <c r="E39" s="38" t="s">
        <v>287</v>
      </c>
      <c r="F39" s="45"/>
      <c r="G39" s="45"/>
    </row>
    <row r="40" spans="1:7" x14ac:dyDescent="0.25">
      <c r="A40" s="4" t="s">
        <v>402</v>
      </c>
      <c r="C40" s="32">
        <v>1</v>
      </c>
      <c r="D40" s="32"/>
      <c r="E40" s="38" t="s">
        <v>287</v>
      </c>
      <c r="F40" s="110"/>
      <c r="G40" s="45"/>
    </row>
    <row r="41" spans="1:7" x14ac:dyDescent="0.25">
      <c r="A41" s="4" t="s">
        <v>403</v>
      </c>
      <c r="C41" s="32">
        <v>1</v>
      </c>
      <c r="D41" s="32"/>
      <c r="E41" s="38" t="s">
        <v>287</v>
      </c>
      <c r="F41" s="110"/>
      <c r="G41" s="45"/>
    </row>
    <row r="42" spans="1:7" x14ac:dyDescent="0.25">
      <c r="A42" s="4" t="s">
        <v>404</v>
      </c>
      <c r="C42" s="32">
        <v>3</v>
      </c>
      <c r="D42" s="32"/>
      <c r="E42" s="38" t="s">
        <v>287</v>
      </c>
      <c r="F42" s="110"/>
      <c r="G42" s="45"/>
    </row>
    <row r="43" spans="1:7" x14ac:dyDescent="0.25">
      <c r="A43" s="4" t="s">
        <v>405</v>
      </c>
      <c r="C43" s="32">
        <v>1</v>
      </c>
      <c r="D43" s="32"/>
      <c r="E43" s="38" t="s">
        <v>287</v>
      </c>
      <c r="F43" s="110"/>
      <c r="G43" s="45"/>
    </row>
    <row r="44" spans="1:7" x14ac:dyDescent="0.25">
      <c r="A44" s="4" t="s">
        <v>406</v>
      </c>
      <c r="C44" s="32">
        <v>1</v>
      </c>
      <c r="D44" s="32"/>
      <c r="E44" s="38" t="s">
        <v>287</v>
      </c>
      <c r="F44" s="110"/>
      <c r="G44" s="45"/>
    </row>
    <row r="45" spans="1:7" ht="15.75" thickBot="1" x14ac:dyDescent="0.3">
      <c r="A45" s="4" t="s">
        <v>407</v>
      </c>
      <c r="C45" s="32">
        <v>1</v>
      </c>
      <c r="D45" s="32"/>
      <c r="E45" s="38" t="s">
        <v>287</v>
      </c>
      <c r="F45" s="110"/>
      <c r="G45" s="45"/>
    </row>
    <row r="46" spans="1:7" ht="15.75" thickBot="1" x14ac:dyDescent="0.3">
      <c r="A46" s="95" t="s">
        <v>408</v>
      </c>
      <c r="B46" s="99"/>
      <c r="C46" s="154"/>
      <c r="D46" s="154"/>
      <c r="E46" s="96"/>
      <c r="F46" s="96"/>
      <c r="G46" s="97">
        <f>SUBTOTAL(109,G4:G45)</f>
        <v>253</v>
      </c>
    </row>
    <row r="47" spans="1:7" x14ac:dyDescent="0.25">
      <c r="A47" s="93"/>
      <c r="B47" s="93"/>
      <c r="C47" s="151"/>
      <c r="D47" s="151"/>
      <c r="E47" s="94"/>
      <c r="F47" s="152"/>
      <c r="G47" s="152"/>
    </row>
    <row r="48" spans="1:7" x14ac:dyDescent="0.25">
      <c r="A48" s="25" t="s">
        <v>293</v>
      </c>
      <c r="B48" s="25"/>
      <c r="C48" s="148"/>
    </row>
    <row r="49" spans="1:3" x14ac:dyDescent="0.25">
      <c r="A49" s="26" t="s">
        <v>294</v>
      </c>
      <c r="B49" s="26"/>
      <c r="C49" s="148"/>
    </row>
    <row r="50" spans="1:3" x14ac:dyDescent="0.25">
      <c r="A50" s="26" t="s">
        <v>295</v>
      </c>
      <c r="B50" s="26"/>
      <c r="C50" s="148"/>
    </row>
    <row r="51" spans="1:3" x14ac:dyDescent="0.25">
      <c r="A51" s="26" t="s">
        <v>296</v>
      </c>
      <c r="B51" s="26"/>
      <c r="C51" s="148"/>
    </row>
    <row r="52" spans="1:3" x14ac:dyDescent="0.25">
      <c r="A52" s="148"/>
      <c r="B52" s="148"/>
      <c r="C52" s="148"/>
    </row>
    <row r="53" spans="1:3" x14ac:dyDescent="0.25">
      <c r="A53" s="24" t="s">
        <v>297</v>
      </c>
      <c r="B53" s="24"/>
      <c r="C53" s="148"/>
    </row>
    <row r="54" spans="1:3" x14ac:dyDescent="0.25">
      <c r="A54" s="148" t="s">
        <v>298</v>
      </c>
      <c r="B54" s="148"/>
      <c r="C54" s="148" t="s">
        <v>299</v>
      </c>
    </row>
    <row r="55" spans="1:3" x14ac:dyDescent="0.25">
      <c r="A55" s="148" t="s">
        <v>300</v>
      </c>
      <c r="B55" s="148"/>
      <c r="C55" s="148" t="s">
        <v>301</v>
      </c>
    </row>
    <row r="56" spans="1:3" x14ac:dyDescent="0.25">
      <c r="A56" s="148" t="s">
        <v>302</v>
      </c>
      <c r="B56" s="148"/>
      <c r="C56" s="148" t="s">
        <v>303</v>
      </c>
    </row>
  </sheetData>
  <hyperlinks>
    <hyperlink ref="E24" r:id="rId1" display="Color: L400 - MGN12H" xr:uid="{BF4CF68B-82C2-4886-B31A-45604E2EFA3D}"/>
    <hyperlink ref="E25" r:id="rId2" display="Color: L400 - MGN12H" xr:uid="{05F846CC-C83E-4CCB-910B-1E02971CFEC5}"/>
    <hyperlink ref="E8" r:id="rId3" display="5mm-Pulley 26T" xr:uid="{896C3790-CCC7-4703-AED8-9BC36122AB10}"/>
    <hyperlink ref="E9" r:id="rId4" display="9mm-EPDM 5M" xr:uid="{5BA7097C-4D13-4DCD-8387-871C81E2D931}"/>
    <hyperlink ref="E2" r:id="rId5" display="625ZZ - 10PCS" xr:uid="{F48EDE7F-367F-4DD5-8E5F-1766D43C9B41}"/>
    <hyperlink ref="E3" r:id="rId6" display="M6x12x1mm" xr:uid="{6C57189E-EDCE-4D42-9162-E0C37FC23A48}"/>
    <hyperlink ref="E4" r:id="rId7" display="F606ZZ" xr:uid="{8F3ED359-6073-452D-B027-0EFC45058DD2}"/>
    <hyperlink ref="E5" r:id="rId8" display="6x25 - 20PCS" xr:uid="{3BD3B0B7-D3FF-4A31-BBE6-FD2549F0036E}"/>
    <hyperlink ref="E6" r:id="rId9" display="6x25 - 20PCS" xr:uid="{6FDEAB9A-7B34-4AE8-8683-CE099557E421}"/>
    <hyperlink ref="A49" r:id="rId10" xr:uid="{7C883343-C593-4F8B-925F-5F39D66607CF}"/>
    <hyperlink ref="A50" r:id="rId11" xr:uid="{C6AEB9DD-BCF0-4DB5-9302-9F5979DFF189}"/>
    <hyperlink ref="A51" r:id="rId12" xr:uid="{91E1D902-4EC0-4AD4-8A00-3E98C4D7FEAD}"/>
    <hyperlink ref="E26" r:id="rId13" display="https://s.click.aliexpress.com/e/_c3Urz7qN" xr:uid="{B821CF06-A349-45B3-A76D-A09EBF069384}"/>
    <hyperlink ref="E11" r:id="rId14" display="300x300 750W - 120V/220V - NO GLUE!" xr:uid="{B23435F3-623B-4A82-8E38-F76654E39D7E}"/>
    <hyperlink ref="E29" r:id="rId15" display="Color: L400 - MGN12H" xr:uid="{AD2A2C0A-802D-4549-8D93-B51F9C65D4F2}"/>
    <hyperlink ref="E30" r:id="rId16" display="Color: 17HS16 2004S1" xr:uid="{C6D107B9-14BD-4D0E-8382-A6DCADDFF6DA}"/>
  </hyperlinks>
  <pageMargins left="0.7" right="0.7" top="0.75" bottom="0.75" header="0.3" footer="0.3"/>
  <pageSetup paperSize="9" scale="75" orientation="portrait" r:id="rId17"/>
  <headerFooter>
    <oddHeader>&amp;C&amp;"Aptos Black,Regular"&amp;14VALKYRIE V2 - Z SYSTEM BOM</oddHeader>
    <oddFooter>&amp;CBETA PRELEASE</oddFooter>
  </headerFooter>
  <drawing r:id="rId18"/>
  <tableParts count="1">
    <tablePart r:id="rId1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E66A9-2DE8-4309-B046-5549D41C73FC}">
  <sheetPr>
    <tabColor rgb="FF00B050"/>
    <pageSetUpPr fitToPage="1"/>
  </sheetPr>
  <dimension ref="C1:I85"/>
  <sheetViews>
    <sheetView tabSelected="1" view="pageLayout" zoomScaleNormal="100" workbookViewId="0">
      <selection activeCell="C1" sqref="C1"/>
    </sheetView>
  </sheetViews>
  <sheetFormatPr defaultColWidth="11.42578125" defaultRowHeight="15" x14ac:dyDescent="0.25"/>
  <cols>
    <col min="1" max="1" width="8.28515625" style="4" customWidth="1"/>
    <col min="2" max="2" width="11.42578125" style="4"/>
    <col min="3" max="3" width="42.140625" style="4" bestFit="1" customWidth="1"/>
    <col min="4" max="4" width="21.7109375" style="4" bestFit="1" customWidth="1"/>
    <col min="5" max="5" width="11" style="4" bestFit="1" customWidth="1"/>
    <col min="6" max="6" width="10.42578125" style="4" customWidth="1"/>
    <col min="7" max="7" width="19.7109375" style="4" bestFit="1" customWidth="1"/>
    <col min="8" max="8" width="8.5703125" style="4" customWidth="1"/>
    <col min="9" max="9" width="7.7109375" style="4" customWidth="1"/>
    <col min="10" max="16356" width="11.42578125" style="4"/>
    <col min="16357" max="16362" width="11.42578125" style="4" bestFit="1" customWidth="1"/>
    <col min="16363" max="16384" width="11.42578125" style="4"/>
  </cols>
  <sheetData>
    <row r="1" spans="3:9" ht="30" customHeight="1" x14ac:dyDescent="0.25">
      <c r="C1" s="177" t="s">
        <v>270</v>
      </c>
      <c r="D1" s="178" t="s">
        <v>1</v>
      </c>
      <c r="E1" s="178" t="s">
        <v>271</v>
      </c>
      <c r="F1" s="178" t="s">
        <v>304</v>
      </c>
      <c r="G1" s="178" t="s">
        <v>8</v>
      </c>
      <c r="H1" s="178" t="s">
        <v>274</v>
      </c>
      <c r="I1" s="178" t="s">
        <v>275</v>
      </c>
    </row>
    <row r="2" spans="3:9" x14ac:dyDescent="0.25">
      <c r="C2" s="169" t="s">
        <v>666</v>
      </c>
      <c r="D2" s="163" t="s">
        <v>410</v>
      </c>
      <c r="E2" s="164">
        <v>12</v>
      </c>
      <c r="F2" s="164"/>
      <c r="G2" s="165" t="s">
        <v>284</v>
      </c>
      <c r="H2" s="166"/>
      <c r="I2" s="166">
        <f>Table91317[[#This Row],[Unit Price]]*Table91317[[#This Row],[Pack Order Quantity]]</f>
        <v>0</v>
      </c>
    </row>
    <row r="3" spans="3:9" x14ac:dyDescent="0.25">
      <c r="C3" s="165" t="s">
        <v>658</v>
      </c>
      <c r="D3" s="163" t="s">
        <v>410</v>
      </c>
      <c r="E3" s="164">
        <v>13</v>
      </c>
      <c r="F3" s="164"/>
      <c r="G3" s="165" t="s">
        <v>284</v>
      </c>
      <c r="H3" s="166"/>
      <c r="I3" s="166">
        <f>Table91317[[#This Row],[Unit Price]]*Table91317[[#This Row],[Pack Order Quantity]]</f>
        <v>0</v>
      </c>
    </row>
    <row r="4" spans="3:9" x14ac:dyDescent="0.25">
      <c r="C4" s="169" t="s">
        <v>667</v>
      </c>
      <c r="D4" s="163" t="s">
        <v>410</v>
      </c>
      <c r="E4" s="164">
        <v>2</v>
      </c>
      <c r="F4" s="164"/>
      <c r="G4" s="38" t="s">
        <v>284</v>
      </c>
      <c r="H4" s="166"/>
      <c r="I4" s="166">
        <f>Table91317[[#This Row],[Unit Price]]*Table91317[[#This Row],[Pack Order Quantity]]</f>
        <v>0</v>
      </c>
    </row>
    <row r="5" spans="3:9" x14ac:dyDescent="0.25">
      <c r="C5" s="165" t="s">
        <v>659</v>
      </c>
      <c r="D5" s="163" t="s">
        <v>410</v>
      </c>
      <c r="E5" s="164">
        <v>2</v>
      </c>
      <c r="F5" s="164"/>
      <c r="G5" s="165" t="s">
        <v>284</v>
      </c>
      <c r="H5" s="166"/>
      <c r="I5" s="166">
        <f>Table91317[[#This Row],[Unit Price]]*Table91317[[#This Row],[Pack Order Quantity]]</f>
        <v>0</v>
      </c>
    </row>
    <row r="6" spans="3:9" x14ac:dyDescent="0.25">
      <c r="C6" s="163" t="s">
        <v>409</v>
      </c>
      <c r="D6" s="163" t="s">
        <v>410</v>
      </c>
      <c r="E6" s="164">
        <v>1</v>
      </c>
      <c r="F6" s="164"/>
      <c r="G6" s="165" t="s">
        <v>284</v>
      </c>
      <c r="H6" s="166"/>
      <c r="I6" s="166">
        <f>Table91317[[#This Row],[Unit Price]]*Table91317[[#This Row],[Pack Order Quantity]]</f>
        <v>0</v>
      </c>
    </row>
    <row r="7" spans="3:9" x14ac:dyDescent="0.25">
      <c r="C7" s="163" t="s">
        <v>411</v>
      </c>
      <c r="D7" s="163" t="s">
        <v>410</v>
      </c>
      <c r="E7" s="164">
        <v>4</v>
      </c>
      <c r="F7" s="164"/>
      <c r="G7" s="165" t="s">
        <v>284</v>
      </c>
      <c r="H7" s="166"/>
      <c r="I7" s="166">
        <f>Table91317[[#This Row],[Unit Price]]*Table91317[[#This Row],[Pack Order Quantity]]</f>
        <v>0</v>
      </c>
    </row>
    <row r="8" spans="3:9" x14ac:dyDescent="0.25">
      <c r="C8" s="179" t="s">
        <v>674</v>
      </c>
      <c r="D8" s="167" t="s">
        <v>412</v>
      </c>
      <c r="E8" s="164">
        <v>2</v>
      </c>
      <c r="F8" s="164">
        <v>1</v>
      </c>
      <c r="G8" s="33" t="s">
        <v>128</v>
      </c>
      <c r="H8" s="168">
        <v>10</v>
      </c>
      <c r="I8" s="168">
        <f>Table91317[[#This Row],[Unit Price]]*Table91317[[#This Row],[Pack Order Quantity]]</f>
        <v>10</v>
      </c>
    </row>
    <row r="9" spans="3:9" x14ac:dyDescent="0.25">
      <c r="C9" s="179" t="s">
        <v>672</v>
      </c>
      <c r="D9" s="169" t="s">
        <v>675</v>
      </c>
      <c r="E9" s="164">
        <v>1</v>
      </c>
      <c r="F9" s="164">
        <v>1</v>
      </c>
      <c r="G9" s="33" t="s">
        <v>673</v>
      </c>
      <c r="H9" s="168">
        <v>42</v>
      </c>
      <c r="I9" s="168">
        <f>Table91317[[#This Row],[Unit Price]]*Table91317[[#This Row],[Pack Order Quantity]]</f>
        <v>42</v>
      </c>
    </row>
    <row r="10" spans="3:9" x14ac:dyDescent="0.25">
      <c r="C10" s="163" t="s">
        <v>57</v>
      </c>
      <c r="D10" s="163" t="s">
        <v>410</v>
      </c>
      <c r="E10" s="164">
        <v>1</v>
      </c>
      <c r="F10" s="164"/>
      <c r="G10" s="165" t="s">
        <v>284</v>
      </c>
      <c r="H10" s="166"/>
      <c r="I10" s="166">
        <f>Table91317[[#This Row],[Unit Price]]*Table91317[[#This Row],[Pack Order Quantity]]</f>
        <v>0</v>
      </c>
    </row>
    <row r="11" spans="3:9" x14ac:dyDescent="0.25">
      <c r="C11" s="163" t="s">
        <v>60</v>
      </c>
      <c r="D11" s="163" t="s">
        <v>410</v>
      </c>
      <c r="E11" s="164">
        <v>1</v>
      </c>
      <c r="F11" s="164"/>
      <c r="G11" s="38" t="s">
        <v>284</v>
      </c>
      <c r="H11" s="166"/>
      <c r="I11" s="166">
        <f>Table91317[[#This Row],[Unit Price]]*Table91317[[#This Row],[Pack Order Quantity]]</f>
        <v>0</v>
      </c>
    </row>
    <row r="12" spans="3:9" x14ac:dyDescent="0.25">
      <c r="C12" s="165" t="s">
        <v>338</v>
      </c>
      <c r="D12" s="170" t="s">
        <v>410</v>
      </c>
      <c r="E12" s="164">
        <v>33</v>
      </c>
      <c r="F12" s="164"/>
      <c r="G12" s="165" t="s">
        <v>284</v>
      </c>
      <c r="H12" s="166"/>
      <c r="I12" s="166">
        <f>Table91317[[#This Row],[Unit Price]]*Table91317[[#This Row],[Pack Order Quantity]]</f>
        <v>0</v>
      </c>
    </row>
    <row r="13" spans="3:9" x14ac:dyDescent="0.25">
      <c r="C13" s="165" t="s">
        <v>660</v>
      </c>
      <c r="D13" s="170" t="s">
        <v>410</v>
      </c>
      <c r="E13" s="164">
        <v>19</v>
      </c>
      <c r="F13" s="164"/>
      <c r="G13" s="165" t="s">
        <v>284</v>
      </c>
      <c r="H13" s="166"/>
      <c r="I13" s="166">
        <f>Table91317[[#This Row],[Unit Price]]*Table91317[[#This Row],[Pack Order Quantity]]</f>
        <v>0</v>
      </c>
    </row>
    <row r="14" spans="3:9" x14ac:dyDescent="0.25">
      <c r="C14" s="165" t="s">
        <v>661</v>
      </c>
      <c r="D14" s="163" t="s">
        <v>410</v>
      </c>
      <c r="E14" s="164">
        <v>8</v>
      </c>
      <c r="F14" s="164"/>
      <c r="G14" s="38" t="s">
        <v>284</v>
      </c>
      <c r="H14" s="166"/>
      <c r="I14" s="166">
        <f>Table91317[[#This Row],[Unit Price]]*Table91317[[#This Row],[Pack Order Quantity]]</f>
        <v>0</v>
      </c>
    </row>
    <row r="15" spans="3:9" x14ac:dyDescent="0.25">
      <c r="C15" s="167" t="s">
        <v>341</v>
      </c>
      <c r="D15" s="163" t="s">
        <v>410</v>
      </c>
      <c r="E15" s="164">
        <v>19</v>
      </c>
      <c r="F15" s="164"/>
      <c r="G15" s="38" t="s">
        <v>284</v>
      </c>
      <c r="H15" s="166"/>
      <c r="I15" s="166">
        <f>Table91317[[#This Row],[Unit Price]]*Table91317[[#This Row],[Pack Order Quantity]]</f>
        <v>0</v>
      </c>
    </row>
    <row r="16" spans="3:9" x14ac:dyDescent="0.25">
      <c r="C16" s="180" t="s">
        <v>413</v>
      </c>
      <c r="D16" s="163" t="s">
        <v>410</v>
      </c>
      <c r="E16" s="164">
        <v>6</v>
      </c>
      <c r="F16" s="164"/>
      <c r="G16" s="165" t="s">
        <v>284</v>
      </c>
      <c r="H16" s="166"/>
      <c r="I16" s="166">
        <f>Table91317[[#This Row],[Unit Price]]*Table91317[[#This Row],[Pack Order Quantity]]</f>
        <v>0</v>
      </c>
    </row>
    <row r="17" spans="3:9" x14ac:dyDescent="0.25">
      <c r="C17" s="167" t="s">
        <v>387</v>
      </c>
      <c r="D17" s="163" t="s">
        <v>410</v>
      </c>
      <c r="E17" s="164">
        <v>14</v>
      </c>
      <c r="F17" s="164"/>
      <c r="G17" s="38" t="s">
        <v>284</v>
      </c>
      <c r="H17" s="166"/>
      <c r="I17" s="166">
        <f>Table91317[[#This Row],[Unit Price]]*Table91317[[#This Row],[Pack Order Quantity]]</f>
        <v>0</v>
      </c>
    </row>
    <row r="18" spans="3:9" x14ac:dyDescent="0.25">
      <c r="C18" s="169" t="s">
        <v>663</v>
      </c>
      <c r="D18" s="163" t="s">
        <v>410</v>
      </c>
      <c r="E18" s="164">
        <v>4</v>
      </c>
      <c r="F18" s="164"/>
      <c r="G18" s="38" t="s">
        <v>284</v>
      </c>
      <c r="H18" s="166"/>
      <c r="I18" s="166">
        <f>Table91317[[#This Row],[Unit Price]]*Table91317[[#This Row],[Pack Order Quantity]]</f>
        <v>0</v>
      </c>
    </row>
    <row r="19" spans="3:9" x14ac:dyDescent="0.25">
      <c r="C19" s="169" t="s">
        <v>664</v>
      </c>
      <c r="D19" s="163" t="s">
        <v>410</v>
      </c>
      <c r="E19" s="164">
        <v>6</v>
      </c>
      <c r="F19" s="164"/>
      <c r="G19" s="38" t="s">
        <v>284</v>
      </c>
      <c r="H19" s="166"/>
      <c r="I19" s="166">
        <f>Table91317[[#This Row],[Unit Price]]*Table91317[[#This Row],[Pack Order Quantity]]</f>
        <v>0</v>
      </c>
    </row>
    <row r="20" spans="3:9" x14ac:dyDescent="0.25">
      <c r="C20" s="167" t="s">
        <v>415</v>
      </c>
      <c r="D20" s="163" t="s">
        <v>410</v>
      </c>
      <c r="E20" s="164">
        <v>4</v>
      </c>
      <c r="F20" s="164"/>
      <c r="G20" s="38" t="s">
        <v>284</v>
      </c>
      <c r="H20" s="166"/>
      <c r="I20" s="166">
        <f>Table91317[[#This Row],[Unit Price]]*Table91317[[#This Row],[Pack Order Quantity]]</f>
        <v>0</v>
      </c>
    </row>
    <row r="21" spans="3:9" x14ac:dyDescent="0.25">
      <c r="C21" s="165" t="s">
        <v>662</v>
      </c>
      <c r="D21" s="163" t="s">
        <v>410</v>
      </c>
      <c r="E21" s="164">
        <v>6</v>
      </c>
      <c r="F21" s="164"/>
      <c r="G21" s="38" t="s">
        <v>284</v>
      </c>
      <c r="H21" s="166"/>
      <c r="I21" s="166">
        <f>Table91317[[#This Row],[Unit Price]]*Table91317[[#This Row],[Pack Order Quantity]]</f>
        <v>0</v>
      </c>
    </row>
    <row r="22" spans="3:9" x14ac:dyDescent="0.25">
      <c r="C22" s="167" t="s">
        <v>416</v>
      </c>
      <c r="D22" s="163" t="s">
        <v>410</v>
      </c>
      <c r="E22" s="164">
        <v>4</v>
      </c>
      <c r="F22" s="164"/>
      <c r="G22" s="38" t="s">
        <v>284</v>
      </c>
      <c r="H22" s="166"/>
      <c r="I22" s="166">
        <f>Table91317[[#This Row],[Unit Price]]*Table91317[[#This Row],[Pack Order Quantity]]</f>
        <v>0</v>
      </c>
    </row>
    <row r="23" spans="3:9" x14ac:dyDescent="0.25">
      <c r="C23" s="167" t="s">
        <v>417</v>
      </c>
      <c r="D23" s="163" t="s">
        <v>410</v>
      </c>
      <c r="E23" s="164">
        <v>4</v>
      </c>
      <c r="F23" s="164"/>
      <c r="G23" s="38" t="s">
        <v>284</v>
      </c>
      <c r="H23" s="166"/>
      <c r="I23" s="166">
        <f>Table91317[[#This Row],[Unit Price]]*Table91317[[#This Row],[Pack Order Quantity]]</f>
        <v>0</v>
      </c>
    </row>
    <row r="24" spans="3:9" x14ac:dyDescent="0.25">
      <c r="C24" s="169" t="s">
        <v>665</v>
      </c>
      <c r="D24" s="169" t="s">
        <v>410</v>
      </c>
      <c r="E24" s="164">
        <v>1</v>
      </c>
      <c r="F24" s="164"/>
      <c r="G24" s="38" t="s">
        <v>284</v>
      </c>
      <c r="H24" s="166"/>
      <c r="I24" s="166">
        <f>Table91317[[#This Row],[Unit Price]]*Table91317[[#This Row],[Pack Order Quantity]]</f>
        <v>0</v>
      </c>
    </row>
    <row r="25" spans="3:9" x14ac:dyDescent="0.25">
      <c r="C25" s="169" t="s">
        <v>122</v>
      </c>
      <c r="D25" s="163" t="s">
        <v>410</v>
      </c>
      <c r="E25" s="164">
        <v>16</v>
      </c>
      <c r="F25" s="164"/>
      <c r="G25" s="38" t="s">
        <v>284</v>
      </c>
      <c r="H25" s="166"/>
      <c r="I25" s="166">
        <f>Table91317[[#This Row],[Unit Price]]*Table91317[[#This Row],[Pack Order Quantity]]</f>
        <v>0</v>
      </c>
    </row>
    <row r="26" spans="3:9" x14ac:dyDescent="0.25">
      <c r="C26" s="167" t="s">
        <v>283</v>
      </c>
      <c r="D26" s="163" t="s">
        <v>410</v>
      </c>
      <c r="E26" s="164">
        <v>54</v>
      </c>
      <c r="F26" s="164"/>
      <c r="G26" s="38" t="s">
        <v>284</v>
      </c>
      <c r="H26" s="166"/>
      <c r="I26" s="166">
        <f>Table91317[[#This Row],[Unit Price]]*Table91317[[#This Row],[Pack Order Quantity]]</f>
        <v>0</v>
      </c>
    </row>
    <row r="27" spans="3:9" x14ac:dyDescent="0.25">
      <c r="C27" s="167" t="s">
        <v>285</v>
      </c>
      <c r="D27" s="163" t="s">
        <v>410</v>
      </c>
      <c r="E27" s="164">
        <v>77</v>
      </c>
      <c r="F27" s="164"/>
      <c r="G27" s="38" t="s">
        <v>284</v>
      </c>
      <c r="H27" s="166"/>
      <c r="I27" s="166">
        <f>Table91317[[#This Row],[Unit Price]]*Table91317[[#This Row],[Pack Order Quantity]]</f>
        <v>0</v>
      </c>
    </row>
    <row r="28" spans="3:9" x14ac:dyDescent="0.25">
      <c r="C28" s="167" t="s">
        <v>217</v>
      </c>
      <c r="D28" s="163" t="s">
        <v>410</v>
      </c>
      <c r="E28" s="164">
        <v>16</v>
      </c>
      <c r="F28" s="164"/>
      <c r="G28" s="38" t="s">
        <v>284</v>
      </c>
      <c r="H28" s="166"/>
      <c r="I28" s="166">
        <f>Table91317[[#This Row],[Unit Price]]*Table91317[[#This Row],[Pack Order Quantity]]</f>
        <v>0</v>
      </c>
    </row>
    <row r="29" spans="3:9" x14ac:dyDescent="0.25">
      <c r="C29" s="163" t="s">
        <v>418</v>
      </c>
      <c r="D29" s="163" t="s">
        <v>410</v>
      </c>
      <c r="E29" s="164">
        <v>44</v>
      </c>
      <c r="F29" s="164"/>
      <c r="G29" s="165" t="s">
        <v>284</v>
      </c>
      <c r="H29" s="166"/>
      <c r="I29" s="166">
        <f>Table91317[[#This Row],[Unit Price]]*Table91317[[#This Row],[Pack Order Quantity]]</f>
        <v>0</v>
      </c>
    </row>
    <row r="30" spans="3:9" x14ac:dyDescent="0.25">
      <c r="C30" s="163" t="s">
        <v>419</v>
      </c>
      <c r="D30" s="163" t="s">
        <v>410</v>
      </c>
      <c r="E30" s="164">
        <v>17</v>
      </c>
      <c r="F30" s="171"/>
      <c r="G30" s="165" t="s">
        <v>284</v>
      </c>
      <c r="H30" s="166"/>
      <c r="I30" s="166">
        <f>Table91317[[#This Row],[Unit Price]]*Table91317[[#This Row],[Pack Order Quantity]]</f>
        <v>0</v>
      </c>
    </row>
    <row r="31" spans="3:9" x14ac:dyDescent="0.25">
      <c r="C31" s="167" t="s">
        <v>92</v>
      </c>
      <c r="D31" s="163" t="s">
        <v>410</v>
      </c>
      <c r="E31" s="164">
        <v>6</v>
      </c>
      <c r="F31" s="164"/>
      <c r="G31" s="38" t="s">
        <v>284</v>
      </c>
      <c r="H31" s="166"/>
      <c r="I31" s="166">
        <f>Table91317[[#This Row],[Unit Price]]*Table91317[[#This Row],[Pack Order Quantity]]</f>
        <v>0</v>
      </c>
    </row>
    <row r="32" spans="3:9" x14ac:dyDescent="0.25">
      <c r="C32" s="167" t="s">
        <v>98</v>
      </c>
      <c r="D32" s="163" t="s">
        <v>410</v>
      </c>
      <c r="E32" s="164">
        <v>6</v>
      </c>
      <c r="F32" s="164"/>
      <c r="G32" s="38" t="s">
        <v>284</v>
      </c>
      <c r="H32" s="166"/>
      <c r="I32" s="166">
        <f>Table91317[[#This Row],[Unit Price]]*Table91317[[#This Row],[Pack Order Quantity]]</f>
        <v>0</v>
      </c>
    </row>
    <row r="33" spans="3:9" x14ac:dyDescent="0.25">
      <c r="C33" s="167" t="s">
        <v>420</v>
      </c>
      <c r="D33" s="167" t="s">
        <v>421</v>
      </c>
      <c r="E33" s="164">
        <v>1</v>
      </c>
      <c r="F33" s="164"/>
      <c r="G33" s="165" t="s">
        <v>287</v>
      </c>
      <c r="H33" s="166"/>
      <c r="I33" s="166">
        <f>Table91317[[#This Row],[Unit Price]]*Table91317[[#This Row],[Pack Order Quantity]]</f>
        <v>0</v>
      </c>
    </row>
    <row r="34" spans="3:9" x14ac:dyDescent="0.25">
      <c r="C34" s="163" t="s">
        <v>422</v>
      </c>
      <c r="D34" s="167" t="s">
        <v>423</v>
      </c>
      <c r="E34" s="164">
        <v>1</v>
      </c>
      <c r="F34" s="164"/>
      <c r="G34" s="38" t="s">
        <v>424</v>
      </c>
      <c r="H34" s="166"/>
      <c r="I34" s="166">
        <f>Table91317[[#This Row],[Unit Price]]*Table91317[[#This Row],[Pack Order Quantity]]</f>
        <v>0</v>
      </c>
    </row>
    <row r="35" spans="3:9" x14ac:dyDescent="0.25">
      <c r="C35" s="167" t="s">
        <v>425</v>
      </c>
      <c r="D35" s="167" t="s">
        <v>421</v>
      </c>
      <c r="E35" s="164">
        <v>2</v>
      </c>
      <c r="F35" s="164"/>
      <c r="G35" s="38" t="s">
        <v>287</v>
      </c>
      <c r="H35" s="166"/>
      <c r="I35" s="166">
        <f>Table91317[[#This Row],[Unit Price]]*Table91317[[#This Row],[Pack Order Quantity]]</f>
        <v>0</v>
      </c>
    </row>
    <row r="36" spans="3:9" x14ac:dyDescent="0.25">
      <c r="C36" s="167" t="s">
        <v>426</v>
      </c>
      <c r="D36" s="167" t="s">
        <v>421</v>
      </c>
      <c r="E36" s="164">
        <v>1</v>
      </c>
      <c r="F36" s="164"/>
      <c r="G36" s="38" t="s">
        <v>287</v>
      </c>
      <c r="H36" s="166"/>
      <c r="I36" s="166">
        <f>Table91317[[#This Row],[Unit Price]]*Table91317[[#This Row],[Pack Order Quantity]]</f>
        <v>0</v>
      </c>
    </row>
    <row r="37" spans="3:9" x14ac:dyDescent="0.25">
      <c r="C37" s="167" t="s">
        <v>427</v>
      </c>
      <c r="D37" s="167" t="s">
        <v>421</v>
      </c>
      <c r="E37" s="164">
        <v>1</v>
      </c>
      <c r="F37" s="164"/>
      <c r="G37" s="38" t="s">
        <v>287</v>
      </c>
      <c r="H37" s="166"/>
      <c r="I37" s="166">
        <f>Table91317[[#This Row],[Unit Price]]*Table91317[[#This Row],[Pack Order Quantity]]</f>
        <v>0</v>
      </c>
    </row>
    <row r="38" spans="3:9" x14ac:dyDescent="0.25">
      <c r="C38" s="167" t="s">
        <v>428</v>
      </c>
      <c r="D38" s="167" t="s">
        <v>421</v>
      </c>
      <c r="E38" s="164">
        <v>4</v>
      </c>
      <c r="F38" s="164"/>
      <c r="G38" s="38" t="s">
        <v>287</v>
      </c>
      <c r="H38" s="166"/>
      <c r="I38" s="166">
        <f>Table91317[[#This Row],[Unit Price]]*Table91317[[#This Row],[Pack Order Quantity]]</f>
        <v>0</v>
      </c>
    </row>
    <row r="39" spans="3:9" x14ac:dyDescent="0.25">
      <c r="C39" s="163" t="s">
        <v>429</v>
      </c>
      <c r="D39" s="167" t="s">
        <v>421</v>
      </c>
      <c r="E39" s="164">
        <v>2</v>
      </c>
      <c r="F39" s="164"/>
      <c r="G39" s="38" t="s">
        <v>287</v>
      </c>
      <c r="H39" s="166"/>
      <c r="I39" s="166">
        <f>Table91317[[#This Row],[Unit Price]]*Table91317[[#This Row],[Pack Order Quantity]]</f>
        <v>0</v>
      </c>
    </row>
    <row r="40" spans="3:9" x14ac:dyDescent="0.25">
      <c r="C40" s="167" t="s">
        <v>430</v>
      </c>
      <c r="D40" s="167" t="s">
        <v>421</v>
      </c>
      <c r="E40" s="164">
        <v>1</v>
      </c>
      <c r="F40" s="164"/>
      <c r="G40" s="38" t="s">
        <v>287</v>
      </c>
      <c r="H40" s="166"/>
      <c r="I40" s="166">
        <f>Table91317[[#This Row],[Unit Price]]*Table91317[[#This Row],[Pack Order Quantity]]</f>
        <v>0</v>
      </c>
    </row>
    <row r="41" spans="3:9" x14ac:dyDescent="0.25">
      <c r="C41" s="167" t="s">
        <v>431</v>
      </c>
      <c r="D41" s="167" t="s">
        <v>421</v>
      </c>
      <c r="E41" s="164">
        <v>1</v>
      </c>
      <c r="F41" s="164"/>
      <c r="G41" s="38" t="s">
        <v>287</v>
      </c>
      <c r="H41" s="166"/>
      <c r="I41" s="166">
        <f>Table91317[[#This Row],[Unit Price]]*Table91317[[#This Row],[Pack Order Quantity]]</f>
        <v>0</v>
      </c>
    </row>
    <row r="42" spans="3:9" x14ac:dyDescent="0.25">
      <c r="C42" s="167" t="s">
        <v>432</v>
      </c>
      <c r="D42" s="167" t="s">
        <v>421</v>
      </c>
      <c r="E42" s="164">
        <v>1</v>
      </c>
      <c r="F42" s="164"/>
      <c r="G42" s="38" t="s">
        <v>287</v>
      </c>
      <c r="H42" s="168"/>
      <c r="I42" s="166">
        <f>Table91317[[#This Row],[Unit Price]]*Table91317[[#This Row],[Pack Order Quantity]]</f>
        <v>0</v>
      </c>
    </row>
    <row r="43" spans="3:9" x14ac:dyDescent="0.25">
      <c r="C43" s="167" t="s">
        <v>433</v>
      </c>
      <c r="D43" s="167" t="s">
        <v>421</v>
      </c>
      <c r="E43" s="164">
        <v>1</v>
      </c>
      <c r="F43" s="164"/>
      <c r="G43" s="38" t="s">
        <v>287</v>
      </c>
      <c r="H43" s="168"/>
      <c r="I43" s="166">
        <f>Table91317[[#This Row],[Unit Price]]*Table91317[[#This Row],[Pack Order Quantity]]</f>
        <v>0</v>
      </c>
    </row>
    <row r="44" spans="3:9" x14ac:dyDescent="0.25">
      <c r="C44" s="167" t="s">
        <v>434</v>
      </c>
      <c r="D44" s="167" t="s">
        <v>421</v>
      </c>
      <c r="E44" s="164">
        <v>2</v>
      </c>
      <c r="F44" s="164"/>
      <c r="G44" s="38" t="s">
        <v>287</v>
      </c>
      <c r="H44" s="168"/>
      <c r="I44" s="166">
        <f>Table91317[[#This Row],[Unit Price]]*Table91317[[#This Row],[Pack Order Quantity]]</f>
        <v>0</v>
      </c>
    </row>
    <row r="45" spans="3:9" x14ac:dyDescent="0.25">
      <c r="C45" s="167" t="s">
        <v>435</v>
      </c>
      <c r="D45" s="167" t="s">
        <v>421</v>
      </c>
      <c r="E45" s="164">
        <v>1</v>
      </c>
      <c r="F45" s="164"/>
      <c r="G45" s="38" t="s">
        <v>287</v>
      </c>
      <c r="H45" s="168"/>
      <c r="I45" s="166">
        <f>Table91317[[#This Row],[Unit Price]]*Table91317[[#This Row],[Pack Order Quantity]]</f>
        <v>0</v>
      </c>
    </row>
    <row r="46" spans="3:9" x14ac:dyDescent="0.25">
      <c r="C46" s="167" t="s">
        <v>436</v>
      </c>
      <c r="D46" s="167" t="s">
        <v>421</v>
      </c>
      <c r="E46" s="164">
        <v>1</v>
      </c>
      <c r="F46" s="164"/>
      <c r="G46" s="38" t="s">
        <v>287</v>
      </c>
      <c r="H46" s="168"/>
      <c r="I46" s="168">
        <f>Table91317[[#This Row],[Unit Price]]*Table91317[[#This Row],[Pack Order Quantity]]</f>
        <v>0</v>
      </c>
    </row>
    <row r="47" spans="3:9" x14ac:dyDescent="0.25">
      <c r="C47" s="167" t="s">
        <v>437</v>
      </c>
      <c r="D47" s="167" t="s">
        <v>421</v>
      </c>
      <c r="E47" s="164">
        <v>1</v>
      </c>
      <c r="F47" s="164"/>
      <c r="G47" s="38" t="s">
        <v>287</v>
      </c>
      <c r="H47" s="168"/>
      <c r="I47" s="168">
        <f>Table91317[[#This Row],[Unit Price]]*Table91317[[#This Row],[Pack Order Quantity]]</f>
        <v>0</v>
      </c>
    </row>
    <row r="48" spans="3:9" x14ac:dyDescent="0.25">
      <c r="C48" s="167" t="s">
        <v>438</v>
      </c>
      <c r="D48" s="167" t="s">
        <v>421</v>
      </c>
      <c r="E48" s="164">
        <v>1</v>
      </c>
      <c r="F48" s="164"/>
      <c r="G48" s="38" t="s">
        <v>287</v>
      </c>
      <c r="H48" s="168"/>
      <c r="I48" s="168">
        <f>Table91317[[#This Row],[Unit Price]]*Table91317[[#This Row],[Pack Order Quantity]]</f>
        <v>0</v>
      </c>
    </row>
    <row r="49" spans="3:9" x14ac:dyDescent="0.25">
      <c r="C49" s="169" t="s">
        <v>668</v>
      </c>
      <c r="D49" s="167" t="s">
        <v>421</v>
      </c>
      <c r="E49" s="164">
        <v>1</v>
      </c>
      <c r="F49" s="164"/>
      <c r="G49" s="38" t="s">
        <v>287</v>
      </c>
      <c r="H49" s="168"/>
      <c r="I49" s="166">
        <f>Table91317[[#This Row],[Unit Price]]*Table91317[[#This Row],[Pack Order Quantity]]</f>
        <v>0</v>
      </c>
    </row>
    <row r="50" spans="3:9" x14ac:dyDescent="0.25">
      <c r="C50" s="169" t="s">
        <v>669</v>
      </c>
      <c r="D50" s="167" t="s">
        <v>421</v>
      </c>
      <c r="E50" s="164">
        <v>1</v>
      </c>
      <c r="F50" s="164"/>
      <c r="G50" s="38" t="s">
        <v>287</v>
      </c>
      <c r="H50" s="168"/>
      <c r="I50" s="166">
        <f>Table91317[[#This Row],[Unit Price]]*Table91317[[#This Row],[Pack Order Quantity]]</f>
        <v>0</v>
      </c>
    </row>
    <row r="51" spans="3:9" x14ac:dyDescent="0.25">
      <c r="C51" s="167" t="s">
        <v>439</v>
      </c>
      <c r="D51" s="167" t="s">
        <v>421</v>
      </c>
      <c r="E51" s="164">
        <v>1</v>
      </c>
      <c r="F51" s="164"/>
      <c r="G51" s="38" t="s">
        <v>287</v>
      </c>
      <c r="H51" s="168"/>
      <c r="I51" s="168">
        <f>Table91317[[#This Row],[Unit Price]]*Table91317[[#This Row],[Pack Order Quantity]]</f>
        <v>0</v>
      </c>
    </row>
    <row r="52" spans="3:9" x14ac:dyDescent="0.25">
      <c r="C52" s="167" t="s">
        <v>440</v>
      </c>
      <c r="D52" s="167" t="s">
        <v>421</v>
      </c>
      <c r="E52" s="164">
        <v>1</v>
      </c>
      <c r="F52" s="164"/>
      <c r="G52" s="38" t="s">
        <v>287</v>
      </c>
      <c r="H52" s="168"/>
      <c r="I52" s="168">
        <f>Table91317[[#This Row],[Unit Price]]*Table91317[[#This Row],[Pack Order Quantity]]</f>
        <v>0</v>
      </c>
    </row>
    <row r="53" spans="3:9" x14ac:dyDescent="0.25">
      <c r="C53" s="167" t="s">
        <v>441</v>
      </c>
      <c r="D53" s="167" t="s">
        <v>442</v>
      </c>
      <c r="E53" s="164">
        <v>1</v>
      </c>
      <c r="F53" s="164"/>
      <c r="G53" s="38" t="s">
        <v>424</v>
      </c>
      <c r="H53" s="168"/>
      <c r="I53" s="168">
        <f>Table91317[[#This Row],[Unit Price]]*Table91317[[#This Row],[Pack Order Quantity]]</f>
        <v>0</v>
      </c>
    </row>
    <row r="54" spans="3:9" x14ac:dyDescent="0.25">
      <c r="C54" s="167" t="s">
        <v>443</v>
      </c>
      <c r="D54" s="167" t="s">
        <v>442</v>
      </c>
      <c r="E54" s="164">
        <v>1</v>
      </c>
      <c r="F54" s="164"/>
      <c r="G54" s="38" t="s">
        <v>424</v>
      </c>
      <c r="H54" s="168"/>
      <c r="I54" s="168">
        <f>Table91317[[#This Row],[Unit Price]]*Table91317[[#This Row],[Pack Order Quantity]]</f>
        <v>0</v>
      </c>
    </row>
    <row r="55" spans="3:9" x14ac:dyDescent="0.25">
      <c r="C55" s="167" t="s">
        <v>444</v>
      </c>
      <c r="D55" s="167" t="s">
        <v>442</v>
      </c>
      <c r="E55" s="164">
        <v>1</v>
      </c>
      <c r="F55" s="164"/>
      <c r="G55" s="38" t="s">
        <v>424</v>
      </c>
      <c r="H55" s="168"/>
      <c r="I55" s="168">
        <f>Table91317[[#This Row],[Unit Price]]*Table91317[[#This Row],[Pack Order Quantity]]</f>
        <v>0</v>
      </c>
    </row>
    <row r="56" spans="3:9" x14ac:dyDescent="0.25">
      <c r="C56" s="167" t="s">
        <v>445</v>
      </c>
      <c r="D56" s="167" t="s">
        <v>442</v>
      </c>
      <c r="E56" s="164">
        <v>1</v>
      </c>
      <c r="F56" s="164"/>
      <c r="G56" s="38" t="s">
        <v>424</v>
      </c>
      <c r="H56" s="168"/>
      <c r="I56" s="168">
        <f>Table91317[[#This Row],[Unit Price]]*Table91317[[#This Row],[Pack Order Quantity]]</f>
        <v>0</v>
      </c>
    </row>
    <row r="57" spans="3:9" x14ac:dyDescent="0.25">
      <c r="C57" s="167" t="s">
        <v>446</v>
      </c>
      <c r="D57" s="167" t="s">
        <v>442</v>
      </c>
      <c r="E57" s="164">
        <v>1</v>
      </c>
      <c r="F57" s="164"/>
      <c r="G57" s="38" t="s">
        <v>424</v>
      </c>
      <c r="H57" s="168"/>
      <c r="I57" s="168">
        <f>Table91317[[#This Row],[Unit Price]]*Table91317[[#This Row],[Pack Order Quantity]]</f>
        <v>0</v>
      </c>
    </row>
    <row r="58" spans="3:9" x14ac:dyDescent="0.25">
      <c r="C58" s="167" t="s">
        <v>447</v>
      </c>
      <c r="D58" s="167" t="s">
        <v>442</v>
      </c>
      <c r="E58" s="164">
        <v>1</v>
      </c>
      <c r="F58" s="164"/>
      <c r="G58" s="38" t="s">
        <v>424</v>
      </c>
      <c r="H58" s="168"/>
      <c r="I58" s="168">
        <f>Table91317[[#This Row],[Unit Price]]*Table91317[[#This Row],[Pack Order Quantity]]</f>
        <v>0</v>
      </c>
    </row>
    <row r="59" spans="3:9" x14ac:dyDescent="0.25">
      <c r="C59" s="167" t="s">
        <v>448</v>
      </c>
      <c r="D59" s="167" t="s">
        <v>449</v>
      </c>
      <c r="E59" s="164">
        <v>1</v>
      </c>
      <c r="F59" s="164"/>
      <c r="G59" s="38" t="s">
        <v>424</v>
      </c>
      <c r="H59" s="168"/>
      <c r="I59" s="168">
        <f>Table91317[[#This Row],[Unit Price]]*Table91317[[#This Row],[Pack Order Quantity]]</f>
        <v>0</v>
      </c>
    </row>
    <row r="60" spans="3:9" x14ac:dyDescent="0.25">
      <c r="C60" s="167" t="s">
        <v>450</v>
      </c>
      <c r="D60" s="167" t="s">
        <v>449</v>
      </c>
      <c r="E60" s="164">
        <v>2</v>
      </c>
      <c r="F60" s="164"/>
      <c r="G60" s="38" t="s">
        <v>424</v>
      </c>
      <c r="H60" s="168"/>
      <c r="I60" s="168">
        <f>Table91317[[#This Row],[Unit Price]]*Table91317[[#This Row],[Pack Order Quantity]]</f>
        <v>0</v>
      </c>
    </row>
    <row r="61" spans="3:9" x14ac:dyDescent="0.25">
      <c r="C61" s="167" t="s">
        <v>451</v>
      </c>
      <c r="D61" s="167" t="s">
        <v>449</v>
      </c>
      <c r="E61" s="164">
        <v>1</v>
      </c>
      <c r="F61" s="164"/>
      <c r="G61" s="38" t="s">
        <v>424</v>
      </c>
      <c r="H61" s="168"/>
      <c r="I61" s="168">
        <f>Table91317[[#This Row],[Unit Price]]*Table91317[[#This Row],[Pack Order Quantity]]</f>
        <v>0</v>
      </c>
    </row>
    <row r="62" spans="3:9" x14ac:dyDescent="0.25">
      <c r="C62" s="167" t="s">
        <v>452</v>
      </c>
      <c r="D62" s="167" t="s">
        <v>449</v>
      </c>
      <c r="E62" s="164">
        <v>1</v>
      </c>
      <c r="F62" s="164"/>
      <c r="G62" s="38" t="s">
        <v>424</v>
      </c>
      <c r="H62" s="168"/>
      <c r="I62" s="168">
        <f>Table91317[[#This Row],[Unit Price]]*Table91317[[#This Row],[Pack Order Quantity]]</f>
        <v>0</v>
      </c>
    </row>
    <row r="63" spans="3:9" x14ac:dyDescent="0.25">
      <c r="C63" s="167" t="s">
        <v>453</v>
      </c>
      <c r="D63" s="167" t="s">
        <v>449</v>
      </c>
      <c r="E63" s="164">
        <v>1</v>
      </c>
      <c r="F63" s="164"/>
      <c r="G63" s="38" t="s">
        <v>424</v>
      </c>
      <c r="H63" s="168"/>
      <c r="I63" s="168">
        <f>Table91317[[#This Row],[Unit Price]]*Table91317[[#This Row],[Pack Order Quantity]]</f>
        <v>0</v>
      </c>
    </row>
    <row r="64" spans="3:9" x14ac:dyDescent="0.25">
      <c r="C64" s="167" t="s">
        <v>454</v>
      </c>
      <c r="D64" s="167" t="s">
        <v>449</v>
      </c>
      <c r="E64" s="164">
        <v>1</v>
      </c>
      <c r="F64" s="164"/>
      <c r="G64" s="38" t="s">
        <v>424</v>
      </c>
      <c r="H64" s="168"/>
      <c r="I64" s="168">
        <f>Table91317[[#This Row],[Unit Price]]*Table91317[[#This Row],[Pack Order Quantity]]</f>
        <v>0</v>
      </c>
    </row>
    <row r="65" spans="3:9" x14ac:dyDescent="0.25">
      <c r="C65" s="167" t="s">
        <v>455</v>
      </c>
      <c r="D65" s="167" t="s">
        <v>449</v>
      </c>
      <c r="E65" s="164">
        <v>1</v>
      </c>
      <c r="F65" s="164"/>
      <c r="G65" s="38" t="s">
        <v>424</v>
      </c>
      <c r="H65" s="168"/>
      <c r="I65" s="168">
        <f>Table91317[[#This Row],[Unit Price]]*Table91317[[#This Row],[Pack Order Quantity]]</f>
        <v>0</v>
      </c>
    </row>
    <row r="66" spans="3:9" x14ac:dyDescent="0.25">
      <c r="C66" s="167" t="s">
        <v>456</v>
      </c>
      <c r="D66" s="167" t="s">
        <v>449</v>
      </c>
      <c r="E66" s="164">
        <v>1</v>
      </c>
      <c r="F66" s="164"/>
      <c r="G66" s="38" t="s">
        <v>424</v>
      </c>
      <c r="H66" s="168"/>
      <c r="I66" s="168">
        <f>Table91317[[#This Row],[Unit Price]]*Table91317[[#This Row],[Pack Order Quantity]]</f>
        <v>0</v>
      </c>
    </row>
    <row r="67" spans="3:9" x14ac:dyDescent="0.25">
      <c r="C67" s="167" t="s">
        <v>457</v>
      </c>
      <c r="D67" s="167" t="s">
        <v>449</v>
      </c>
      <c r="E67" s="164">
        <v>1</v>
      </c>
      <c r="F67" s="164"/>
      <c r="G67" s="38" t="s">
        <v>424</v>
      </c>
      <c r="H67" s="168"/>
      <c r="I67" s="168">
        <f>Table91317[[#This Row],[Unit Price]]*Table91317[[#This Row],[Pack Order Quantity]]</f>
        <v>0</v>
      </c>
    </row>
    <row r="68" spans="3:9" x14ac:dyDescent="0.25">
      <c r="C68" s="163" t="s">
        <v>458</v>
      </c>
      <c r="D68" s="167" t="s">
        <v>421</v>
      </c>
      <c r="E68" s="164">
        <v>6</v>
      </c>
      <c r="F68" s="164"/>
      <c r="G68" s="38" t="s">
        <v>287</v>
      </c>
      <c r="H68" s="168"/>
      <c r="I68" s="168">
        <f>Table91317[[#This Row],[Unit Price]]*Table91317[[#This Row],[Pack Order Quantity]]</f>
        <v>0</v>
      </c>
    </row>
    <row r="69" spans="3:9" x14ac:dyDescent="0.25">
      <c r="C69" s="167" t="s">
        <v>459</v>
      </c>
      <c r="D69" s="167" t="s">
        <v>449</v>
      </c>
      <c r="E69" s="164">
        <v>1</v>
      </c>
      <c r="F69" s="164"/>
      <c r="G69" s="113" t="s">
        <v>424</v>
      </c>
      <c r="H69" s="168"/>
      <c r="I69" s="168">
        <f>Table91317[[#This Row],[Unit Price]]*Table91317[[#This Row],[Pack Order Quantity]]</f>
        <v>0</v>
      </c>
    </row>
    <row r="70" spans="3:9" x14ac:dyDescent="0.25">
      <c r="C70" s="165" t="s">
        <v>670</v>
      </c>
      <c r="D70" s="169" t="s">
        <v>421</v>
      </c>
      <c r="E70" s="164">
        <v>2</v>
      </c>
      <c r="F70" s="164"/>
      <c r="G70" s="38" t="s">
        <v>287</v>
      </c>
      <c r="H70" s="168"/>
      <c r="I70" s="168">
        <f>Table91317[[#This Row],[Unit Price]]*Table91317[[#This Row],[Pack Order Quantity]]</f>
        <v>0</v>
      </c>
    </row>
    <row r="71" spans="3:9" x14ac:dyDescent="0.25">
      <c r="C71" s="170" t="s">
        <v>676</v>
      </c>
      <c r="D71" s="169" t="s">
        <v>421</v>
      </c>
      <c r="E71" s="164">
        <v>1</v>
      </c>
      <c r="F71" s="164"/>
      <c r="G71" s="38" t="s">
        <v>287</v>
      </c>
      <c r="H71" s="168"/>
      <c r="I71" s="168">
        <f>Table91317[[#This Row],[Unit Price]]*Table91317[[#This Row],[Pack Order Quantity]]</f>
        <v>0</v>
      </c>
    </row>
    <row r="72" spans="3:9" x14ac:dyDescent="0.25">
      <c r="C72" s="165" t="s">
        <v>671</v>
      </c>
      <c r="D72" s="169" t="s">
        <v>421</v>
      </c>
      <c r="E72" s="164">
        <v>2</v>
      </c>
      <c r="F72" s="164"/>
      <c r="G72" s="38" t="s">
        <v>287</v>
      </c>
      <c r="H72" s="168"/>
      <c r="I72" s="168">
        <f>Table91317[[#This Row],[Unit Price]]*Table91317[[#This Row],[Pack Order Quantity]]</f>
        <v>0</v>
      </c>
    </row>
    <row r="73" spans="3:9" x14ac:dyDescent="0.25">
      <c r="C73" s="167" t="s">
        <v>460</v>
      </c>
      <c r="D73" s="167" t="s">
        <v>421</v>
      </c>
      <c r="E73" s="164">
        <v>2</v>
      </c>
      <c r="F73" s="164"/>
      <c r="G73" s="38" t="s">
        <v>287</v>
      </c>
      <c r="H73" s="168"/>
      <c r="I73" s="168">
        <f>Table91317[[#This Row],[Unit Price]]*Table91317[[#This Row],[Pack Order Quantity]]</f>
        <v>0</v>
      </c>
    </row>
    <row r="74" spans="3:9" x14ac:dyDescent="0.25">
      <c r="C74" s="167" t="s">
        <v>461</v>
      </c>
      <c r="D74" s="167" t="s">
        <v>421</v>
      </c>
      <c r="E74" s="164">
        <v>1</v>
      </c>
      <c r="F74" s="164"/>
      <c r="G74" s="38" t="s">
        <v>287</v>
      </c>
      <c r="H74" s="168"/>
      <c r="I74" s="168">
        <f>Table91317[[#This Row],[Unit Price]]*Table91317[[#This Row],[Pack Order Quantity]]</f>
        <v>0</v>
      </c>
    </row>
    <row r="75" spans="3:9" ht="15.75" thickBot="1" x14ac:dyDescent="0.3">
      <c r="C75" s="172" t="s">
        <v>408</v>
      </c>
      <c r="D75" s="173"/>
      <c r="E75" s="174"/>
      <c r="F75" s="174"/>
      <c r="G75" s="175"/>
      <c r="H75" s="175"/>
      <c r="I75" s="176">
        <f>SUBTOTAL(109,Table91317[Line Price])</f>
        <v>52</v>
      </c>
    </row>
    <row r="76" spans="3:9" x14ac:dyDescent="0.25">
      <c r="C76" s="93"/>
      <c r="D76" s="93"/>
      <c r="E76" s="151"/>
      <c r="F76" s="151"/>
      <c r="G76" s="94"/>
      <c r="H76" s="152"/>
      <c r="I76" s="152"/>
    </row>
    <row r="77" spans="3:9" x14ac:dyDescent="0.25">
      <c r="C77" s="25" t="s">
        <v>293</v>
      </c>
      <c r="D77" s="25"/>
      <c r="E77" s="148"/>
    </row>
    <row r="78" spans="3:9" x14ac:dyDescent="0.25">
      <c r="C78" s="26" t="s">
        <v>294</v>
      </c>
      <c r="D78" s="26"/>
      <c r="E78" s="148"/>
    </row>
    <row r="79" spans="3:9" x14ac:dyDescent="0.25">
      <c r="C79" s="26" t="s">
        <v>295</v>
      </c>
      <c r="D79" s="26"/>
      <c r="E79" s="148"/>
    </row>
    <row r="80" spans="3:9" x14ac:dyDescent="0.25">
      <c r="C80" s="26" t="s">
        <v>296</v>
      </c>
      <c r="D80" s="26"/>
      <c r="E80" s="148"/>
    </row>
    <row r="81" spans="3:5" x14ac:dyDescent="0.25">
      <c r="C81" s="148"/>
      <c r="D81" s="148"/>
      <c r="E81" s="148"/>
    </row>
    <row r="82" spans="3:5" x14ac:dyDescent="0.25">
      <c r="C82" s="24" t="s">
        <v>297</v>
      </c>
      <c r="D82" s="24"/>
      <c r="E82" s="148"/>
    </row>
    <row r="83" spans="3:5" x14ac:dyDescent="0.25">
      <c r="C83" s="148" t="s">
        <v>298</v>
      </c>
      <c r="D83" s="148"/>
      <c r="E83" s="148" t="s">
        <v>299</v>
      </c>
    </row>
    <row r="84" spans="3:5" x14ac:dyDescent="0.25">
      <c r="C84" s="148" t="s">
        <v>300</v>
      </c>
      <c r="D84" s="148"/>
      <c r="E84" s="148" t="s">
        <v>301</v>
      </c>
    </row>
    <row r="85" spans="3:5" x14ac:dyDescent="0.25">
      <c r="C85" s="148" t="s">
        <v>302</v>
      </c>
      <c r="D85" s="148"/>
      <c r="E85" s="148" t="s">
        <v>303</v>
      </c>
    </row>
  </sheetData>
  <hyperlinks>
    <hyperlink ref="C78" r:id="rId1" xr:uid="{D107209A-6101-4C31-B53C-6E10604DFF0C}"/>
    <hyperlink ref="C79" r:id="rId2" xr:uid="{E4E10CD9-D3EB-42B1-8470-0DC8A8AE22F0}"/>
    <hyperlink ref="C80" r:id="rId3" xr:uid="{A4ED6380-5003-48D7-8576-86BDB4250366}"/>
    <hyperlink ref="G8" r:id="rId4" display="https://s.click.aliexpress.com/e/_c3suoWc5" xr:uid="{6C836249-CB1F-474D-BD34-0FCE69E6553D}"/>
    <hyperlink ref="G9" r:id="rId5" xr:uid="{AC391CE6-B141-4127-9C1E-99FC7393592E}"/>
  </hyperlinks>
  <pageMargins left="0.19685039370078741" right="0.19685039370078741" top="0.39370078740157483" bottom="0.39370078740157483" header="0.19685039370078741" footer="0.19685039370078741"/>
  <pageSetup paperSize="9" scale="62" orientation="portrait" r:id="rId6"/>
  <headerFooter>
    <oddHeader>&amp;C&amp;"Aptos Black,Regular"&amp;14VALKYRIE V2 - ENCLOSURE BOM</oddHeader>
    <oddFooter>&amp;CBETA PRELEASE</oddFooter>
  </headerFooter>
  <drawing r:id="rId7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6C79-BDB9-4C39-93AD-8B127B4C8773}">
  <sheetPr>
    <tabColor rgb="FFFFC000"/>
    <pageSetUpPr fitToPage="1"/>
  </sheetPr>
  <dimension ref="A1:G61"/>
  <sheetViews>
    <sheetView view="pageLayout" topLeftCell="A8" zoomScaleNormal="100" workbookViewId="0">
      <selection activeCell="H27" sqref="H27"/>
    </sheetView>
  </sheetViews>
  <sheetFormatPr defaultColWidth="11.42578125" defaultRowHeight="15" x14ac:dyDescent="0.25"/>
  <cols>
    <col min="1" max="1" width="42.140625" style="4" bestFit="1" customWidth="1"/>
    <col min="2" max="2" width="14" style="4" bestFit="1" customWidth="1"/>
    <col min="3" max="3" width="11" style="4" bestFit="1" customWidth="1"/>
    <col min="4" max="4" width="10.42578125" style="4" customWidth="1"/>
    <col min="5" max="5" width="14" style="4" bestFit="1" customWidth="1"/>
    <col min="6" max="6" width="8.5703125" style="4" customWidth="1"/>
    <col min="7" max="7" width="7.7109375" style="4" customWidth="1"/>
    <col min="8" max="16365" width="11.42578125" style="4"/>
    <col min="16366" max="16371" width="11.42578125" style="4" bestFit="1" customWidth="1"/>
    <col min="16372" max="16384" width="11.42578125" style="4"/>
  </cols>
  <sheetData>
    <row r="1" spans="1:7" ht="30" customHeight="1" x14ac:dyDescent="0.25">
      <c r="A1" s="20" t="s">
        <v>270</v>
      </c>
      <c r="B1" s="153" t="s">
        <v>1</v>
      </c>
      <c r="C1" s="153" t="s">
        <v>271</v>
      </c>
      <c r="D1" s="153" t="s">
        <v>304</v>
      </c>
      <c r="E1" s="153" t="s">
        <v>8</v>
      </c>
      <c r="F1" s="153" t="s">
        <v>274</v>
      </c>
      <c r="G1" s="153" t="s">
        <v>275</v>
      </c>
    </row>
    <row r="2" spans="1:7" x14ac:dyDescent="0.25">
      <c r="A2" s="28" t="s">
        <v>258</v>
      </c>
      <c r="C2" s="144">
        <v>1</v>
      </c>
      <c r="D2" s="32"/>
      <c r="E2" s="38" t="s">
        <v>284</v>
      </c>
      <c r="F2" s="45"/>
      <c r="G2" s="45"/>
    </row>
    <row r="3" spans="1:7" x14ac:dyDescent="0.25">
      <c r="A3" s="144" t="s">
        <v>39</v>
      </c>
      <c r="C3" s="144">
        <v>1</v>
      </c>
      <c r="D3" s="32"/>
      <c r="E3" s="38" t="s">
        <v>284</v>
      </c>
      <c r="F3" s="45"/>
      <c r="G3" s="45"/>
    </row>
    <row r="4" spans="1:7" x14ac:dyDescent="0.25">
      <c r="A4" s="144" t="s">
        <v>236</v>
      </c>
      <c r="C4" s="144">
        <v>3</v>
      </c>
      <c r="D4" s="32"/>
      <c r="E4" s="38" t="s">
        <v>284</v>
      </c>
      <c r="F4" s="45"/>
      <c r="G4" s="45"/>
    </row>
    <row r="5" spans="1:7" x14ac:dyDescent="0.25">
      <c r="A5" s="144" t="s">
        <v>462</v>
      </c>
      <c r="C5" s="144">
        <v>3</v>
      </c>
      <c r="D5" s="32"/>
      <c r="E5" s="38" t="s">
        <v>284</v>
      </c>
      <c r="F5" s="45"/>
      <c r="G5" s="45"/>
    </row>
    <row r="6" spans="1:7" x14ac:dyDescent="0.25">
      <c r="A6" s="144" t="s">
        <v>463</v>
      </c>
      <c r="B6" s="144" t="s">
        <v>464</v>
      </c>
      <c r="C6" s="144">
        <v>1</v>
      </c>
      <c r="D6" s="32"/>
      <c r="E6" s="38" t="s">
        <v>465</v>
      </c>
      <c r="F6" s="45"/>
      <c r="G6" s="45"/>
    </row>
    <row r="7" spans="1:7" x14ac:dyDescent="0.25">
      <c r="A7" s="144" t="s">
        <v>466</v>
      </c>
      <c r="C7" s="4">
        <v>2</v>
      </c>
      <c r="D7" s="32"/>
      <c r="E7" s="38" t="s">
        <v>284</v>
      </c>
      <c r="F7" s="45"/>
      <c r="G7" s="45"/>
    </row>
    <row r="8" spans="1:7" x14ac:dyDescent="0.25">
      <c r="A8" s="144" t="s">
        <v>467</v>
      </c>
      <c r="B8" s="144" t="s">
        <v>464</v>
      </c>
      <c r="C8" s="144">
        <v>1</v>
      </c>
      <c r="D8" s="32"/>
      <c r="E8" s="38" t="s">
        <v>465</v>
      </c>
      <c r="F8" s="45"/>
      <c r="G8" s="45"/>
    </row>
    <row r="9" spans="1:7" x14ac:dyDescent="0.25">
      <c r="A9" t="s">
        <v>468</v>
      </c>
      <c r="C9" s="1">
        <v>1</v>
      </c>
      <c r="D9" s="32"/>
      <c r="E9" s="38" t="s">
        <v>465</v>
      </c>
      <c r="F9" s="45"/>
      <c r="G9" s="45"/>
    </row>
    <row r="10" spans="1:7" x14ac:dyDescent="0.25">
      <c r="A10" s="1" t="s">
        <v>469</v>
      </c>
      <c r="C10" s="1">
        <v>1</v>
      </c>
      <c r="D10" s="32"/>
      <c r="E10" s="38" t="s">
        <v>465</v>
      </c>
      <c r="F10" s="45"/>
      <c r="G10" s="45"/>
    </row>
    <row r="11" spans="1:7" x14ac:dyDescent="0.25">
      <c r="A11" s="4" t="s">
        <v>470</v>
      </c>
      <c r="C11" s="144">
        <v>1</v>
      </c>
      <c r="D11" s="32"/>
      <c r="E11" s="38" t="s">
        <v>465</v>
      </c>
      <c r="F11" s="45"/>
      <c r="G11" s="45"/>
    </row>
    <row r="12" spans="1:7" x14ac:dyDescent="0.25">
      <c r="A12" s="138" t="s">
        <v>471</v>
      </c>
      <c r="C12" s="144">
        <v>1</v>
      </c>
      <c r="D12" s="32"/>
      <c r="E12" s="38" t="s">
        <v>465</v>
      </c>
      <c r="F12" s="45"/>
      <c r="G12" s="45"/>
    </row>
    <row r="13" spans="1:7" x14ac:dyDescent="0.25">
      <c r="A13" s="144" t="s">
        <v>472</v>
      </c>
      <c r="C13" s="144">
        <v>2</v>
      </c>
      <c r="D13" s="32"/>
      <c r="E13" s="38" t="s">
        <v>465</v>
      </c>
      <c r="F13" s="45"/>
      <c r="G13" s="45"/>
    </row>
    <row r="14" spans="1:7" x14ac:dyDescent="0.25">
      <c r="A14" s="4" t="s">
        <v>473</v>
      </c>
      <c r="B14" s="144" t="s">
        <v>464</v>
      </c>
      <c r="C14" s="144">
        <v>1</v>
      </c>
      <c r="D14" s="32"/>
      <c r="E14" s="38" t="s">
        <v>465</v>
      </c>
      <c r="F14" s="45"/>
      <c r="G14" s="45"/>
    </row>
    <row r="15" spans="1:7" x14ac:dyDescent="0.25">
      <c r="A15" s="4" t="s">
        <v>474</v>
      </c>
      <c r="B15" s="144" t="s">
        <v>464</v>
      </c>
      <c r="C15" s="144">
        <v>1</v>
      </c>
      <c r="D15" s="32"/>
      <c r="E15" s="38" t="s">
        <v>465</v>
      </c>
      <c r="F15" s="45"/>
      <c r="G15" s="45"/>
    </row>
    <row r="16" spans="1:7" x14ac:dyDescent="0.25">
      <c r="A16" s="4" t="s">
        <v>475</v>
      </c>
      <c r="B16" s="144" t="s">
        <v>464</v>
      </c>
      <c r="C16" s="144">
        <v>2</v>
      </c>
      <c r="D16" s="32"/>
      <c r="E16" s="38" t="s">
        <v>465</v>
      </c>
      <c r="F16" s="45"/>
      <c r="G16" s="45"/>
    </row>
    <row r="17" spans="1:7" x14ac:dyDescent="0.25">
      <c r="A17" s="4" t="s">
        <v>476</v>
      </c>
      <c r="C17" s="144">
        <v>1</v>
      </c>
      <c r="D17" s="32"/>
      <c r="E17" s="38" t="s">
        <v>284</v>
      </c>
      <c r="F17" s="45"/>
      <c r="G17" s="45"/>
    </row>
    <row r="18" spans="1:7" x14ac:dyDescent="0.25">
      <c r="A18" s="4" t="s">
        <v>477</v>
      </c>
      <c r="C18" s="144">
        <v>1</v>
      </c>
      <c r="D18" s="32"/>
      <c r="E18" s="38" t="s">
        <v>284</v>
      </c>
      <c r="F18" s="45"/>
      <c r="G18" s="45"/>
    </row>
    <row r="19" spans="1:7" x14ac:dyDescent="0.25">
      <c r="A19" s="4" t="s">
        <v>478</v>
      </c>
      <c r="C19" s="144">
        <v>1</v>
      </c>
      <c r="D19" s="32"/>
      <c r="E19" s="38" t="s">
        <v>284</v>
      </c>
      <c r="F19" s="45"/>
      <c r="G19" s="45"/>
    </row>
    <row r="20" spans="1:7" x14ac:dyDescent="0.25">
      <c r="A20" s="4" t="s">
        <v>43</v>
      </c>
      <c r="C20" s="144">
        <v>1</v>
      </c>
      <c r="D20" s="32"/>
      <c r="E20" s="38" t="s">
        <v>284</v>
      </c>
      <c r="F20" s="45"/>
      <c r="G20" s="45"/>
    </row>
    <row r="21" spans="1:7" x14ac:dyDescent="0.25">
      <c r="A21" s="4" t="s">
        <v>479</v>
      </c>
      <c r="C21" s="144">
        <v>1</v>
      </c>
      <c r="D21" s="32"/>
      <c r="E21" s="38" t="s">
        <v>284</v>
      </c>
      <c r="F21" s="45"/>
      <c r="G21" s="45"/>
    </row>
    <row r="22" spans="1:7" x14ac:dyDescent="0.25">
      <c r="A22" s="4" t="s">
        <v>480</v>
      </c>
      <c r="C22" s="144">
        <v>1</v>
      </c>
      <c r="D22" s="32"/>
      <c r="E22" s="38" t="s">
        <v>284</v>
      </c>
      <c r="F22" s="45"/>
      <c r="G22" s="45"/>
    </row>
    <row r="23" spans="1:7" x14ac:dyDescent="0.25">
      <c r="A23" s="4" t="s">
        <v>194</v>
      </c>
      <c r="C23" s="144">
        <v>10</v>
      </c>
      <c r="D23" s="32"/>
      <c r="E23" s="38" t="s">
        <v>284</v>
      </c>
      <c r="F23" s="45"/>
      <c r="G23" s="45"/>
    </row>
    <row r="24" spans="1:7" x14ac:dyDescent="0.25">
      <c r="A24" s="144" t="s">
        <v>197</v>
      </c>
      <c r="C24" s="144">
        <v>1</v>
      </c>
      <c r="D24" s="32"/>
      <c r="E24" s="38" t="s">
        <v>284</v>
      </c>
      <c r="F24" s="45"/>
      <c r="G24" s="45"/>
    </row>
    <row r="25" spans="1:7" x14ac:dyDescent="0.25">
      <c r="A25" s="144" t="s">
        <v>386</v>
      </c>
      <c r="C25" s="144">
        <v>1</v>
      </c>
      <c r="D25" s="151"/>
      <c r="E25" s="38" t="s">
        <v>284</v>
      </c>
      <c r="F25" s="45"/>
      <c r="G25" s="45"/>
    </row>
    <row r="26" spans="1:7" x14ac:dyDescent="0.25">
      <c r="A26" s="4" t="s">
        <v>414</v>
      </c>
      <c r="C26" s="144">
        <v>4</v>
      </c>
      <c r="D26" s="32"/>
      <c r="E26" s="38" t="s">
        <v>284</v>
      </c>
      <c r="F26" s="45"/>
      <c r="G26" s="45"/>
    </row>
    <row r="27" spans="1:7" x14ac:dyDescent="0.25">
      <c r="A27" s="4" t="s">
        <v>481</v>
      </c>
      <c r="C27" s="144">
        <v>9</v>
      </c>
      <c r="D27" s="32"/>
      <c r="E27" s="38" t="s">
        <v>284</v>
      </c>
      <c r="F27" s="45"/>
      <c r="G27" s="45"/>
    </row>
    <row r="28" spans="1:7" x14ac:dyDescent="0.25">
      <c r="A28" s="4" t="s">
        <v>482</v>
      </c>
      <c r="C28" s="144">
        <v>1</v>
      </c>
      <c r="D28" s="32"/>
      <c r="E28" s="38" t="s">
        <v>284</v>
      </c>
      <c r="F28" s="45"/>
      <c r="G28" s="45"/>
    </row>
    <row r="29" spans="1:7" x14ac:dyDescent="0.25">
      <c r="A29" s="4" t="s">
        <v>203</v>
      </c>
      <c r="C29" s="144">
        <v>3</v>
      </c>
      <c r="D29" s="32"/>
      <c r="E29" s="38" t="s">
        <v>284</v>
      </c>
      <c r="F29" s="45"/>
      <c r="G29" s="45"/>
    </row>
    <row r="30" spans="1:7" x14ac:dyDescent="0.25">
      <c r="A30" s="4" t="s">
        <v>209</v>
      </c>
      <c r="C30" s="4">
        <v>2</v>
      </c>
      <c r="D30" s="32"/>
      <c r="E30" s="38" t="s">
        <v>284</v>
      </c>
      <c r="F30" s="45"/>
      <c r="G30" s="45"/>
    </row>
    <row r="31" spans="1:7" x14ac:dyDescent="0.25">
      <c r="A31" s="144" t="s">
        <v>483</v>
      </c>
      <c r="C31" s="4">
        <v>2</v>
      </c>
      <c r="D31" s="32"/>
      <c r="E31" s="38" t="s">
        <v>284</v>
      </c>
      <c r="F31" s="45"/>
      <c r="G31" s="45"/>
    </row>
    <row r="32" spans="1:7" x14ac:dyDescent="0.25">
      <c r="A32" s="4" t="s">
        <v>390</v>
      </c>
      <c r="C32" s="4">
        <v>6</v>
      </c>
      <c r="D32" s="32"/>
      <c r="E32" s="38" t="s">
        <v>284</v>
      </c>
      <c r="F32" s="45"/>
      <c r="G32" s="45"/>
    </row>
    <row r="33" spans="1:7" x14ac:dyDescent="0.25">
      <c r="A33" s="4" t="s">
        <v>484</v>
      </c>
      <c r="C33" s="4">
        <v>1</v>
      </c>
      <c r="D33" s="32"/>
      <c r="E33" s="38" t="s">
        <v>284</v>
      </c>
      <c r="F33" s="45"/>
      <c r="G33" s="45"/>
    </row>
    <row r="34" spans="1:7" x14ac:dyDescent="0.25">
      <c r="A34" s="4" t="s">
        <v>485</v>
      </c>
      <c r="C34" s="4">
        <v>1</v>
      </c>
      <c r="D34" s="32"/>
      <c r="E34" s="38" t="s">
        <v>284</v>
      </c>
      <c r="F34" s="45"/>
      <c r="G34" s="45"/>
    </row>
    <row r="35" spans="1:7" x14ac:dyDescent="0.25">
      <c r="A35" s="144" t="s">
        <v>486</v>
      </c>
      <c r="C35" s="4">
        <v>1</v>
      </c>
      <c r="D35" s="32"/>
      <c r="E35" s="38" t="s">
        <v>287</v>
      </c>
      <c r="F35" s="45"/>
      <c r="G35" s="45"/>
    </row>
    <row r="36" spans="1:7" x14ac:dyDescent="0.25">
      <c r="A36" s="4" t="s">
        <v>487</v>
      </c>
      <c r="C36" s="4">
        <v>2</v>
      </c>
      <c r="D36" s="32"/>
      <c r="E36" s="38" t="s">
        <v>287</v>
      </c>
      <c r="F36" s="45"/>
      <c r="G36" s="45"/>
    </row>
    <row r="37" spans="1:7" x14ac:dyDescent="0.25">
      <c r="A37" s="4" t="s">
        <v>488</v>
      </c>
      <c r="C37" s="4">
        <v>1</v>
      </c>
      <c r="D37" s="32"/>
      <c r="E37" s="38" t="s">
        <v>287</v>
      </c>
      <c r="F37" s="45"/>
      <c r="G37" s="45"/>
    </row>
    <row r="38" spans="1:7" x14ac:dyDescent="0.25">
      <c r="A38" s="144" t="s">
        <v>489</v>
      </c>
      <c r="C38" s="4">
        <v>1</v>
      </c>
      <c r="D38" s="32"/>
      <c r="E38" s="38" t="s">
        <v>287</v>
      </c>
      <c r="F38" s="110"/>
      <c r="G38" s="110"/>
    </row>
    <row r="39" spans="1:7" x14ac:dyDescent="0.25">
      <c r="A39" s="144" t="s">
        <v>490</v>
      </c>
      <c r="C39" s="4">
        <v>1</v>
      </c>
      <c r="D39" s="32"/>
      <c r="E39" s="38" t="s">
        <v>287</v>
      </c>
      <c r="F39" s="110"/>
      <c r="G39" s="110"/>
    </row>
    <row r="40" spans="1:7" x14ac:dyDescent="0.25">
      <c r="A40" s="144" t="s">
        <v>491</v>
      </c>
      <c r="C40" s="4">
        <v>1</v>
      </c>
      <c r="D40" s="32"/>
      <c r="E40" s="38" t="s">
        <v>287</v>
      </c>
      <c r="F40" s="110"/>
      <c r="G40" s="110"/>
    </row>
    <row r="41" spans="1:7" x14ac:dyDescent="0.25">
      <c r="A41" s="144" t="s">
        <v>492</v>
      </c>
      <c r="C41" s="4">
        <v>1</v>
      </c>
      <c r="D41" s="32"/>
      <c r="E41" s="38" t="s">
        <v>287</v>
      </c>
      <c r="F41" s="110"/>
      <c r="G41" s="110"/>
    </row>
    <row r="42" spans="1:7" x14ac:dyDescent="0.25">
      <c r="A42" s="4" t="s">
        <v>493</v>
      </c>
      <c r="C42" s="4">
        <v>4</v>
      </c>
      <c r="D42" s="32"/>
      <c r="E42" s="38" t="s">
        <v>287</v>
      </c>
      <c r="F42" s="110"/>
      <c r="G42" s="45"/>
    </row>
    <row r="43" spans="1:7" x14ac:dyDescent="0.25">
      <c r="A43" s="4" t="s">
        <v>494</v>
      </c>
      <c r="B43" s="144" t="s">
        <v>449</v>
      </c>
      <c r="C43" s="4">
        <v>1</v>
      </c>
      <c r="D43" s="32"/>
      <c r="E43" s="38" t="s">
        <v>465</v>
      </c>
      <c r="F43" s="110"/>
      <c r="G43" s="45"/>
    </row>
    <row r="44" spans="1:7" x14ac:dyDescent="0.25">
      <c r="A44" s="144" t="s">
        <v>495</v>
      </c>
      <c r="C44" s="144">
        <v>1</v>
      </c>
      <c r="D44" s="32"/>
      <c r="E44" s="38" t="s">
        <v>287</v>
      </c>
      <c r="F44" s="45"/>
      <c r="G44" s="45"/>
    </row>
    <row r="45" spans="1:7" x14ac:dyDescent="0.25">
      <c r="A45" s="4" t="s">
        <v>496</v>
      </c>
      <c r="C45" s="4">
        <v>1</v>
      </c>
      <c r="D45" s="32"/>
      <c r="E45" s="38" t="s">
        <v>287</v>
      </c>
      <c r="F45" s="110"/>
      <c r="G45" s="45"/>
    </row>
    <row r="46" spans="1:7" x14ac:dyDescent="0.25">
      <c r="A46" s="4" t="s">
        <v>497</v>
      </c>
      <c r="C46" s="4">
        <v>1</v>
      </c>
      <c r="D46" s="32"/>
      <c r="E46" s="38" t="s">
        <v>287</v>
      </c>
      <c r="F46" s="110"/>
      <c r="G46" s="45"/>
    </row>
    <row r="47" spans="1:7" x14ac:dyDescent="0.25">
      <c r="A47" s="4" t="s">
        <v>498</v>
      </c>
      <c r="C47" s="4">
        <v>1</v>
      </c>
      <c r="D47" s="32"/>
      <c r="E47" s="38" t="s">
        <v>287</v>
      </c>
      <c r="F47" s="110"/>
      <c r="G47" s="45"/>
    </row>
    <row r="48" spans="1:7" x14ac:dyDescent="0.25">
      <c r="A48" s="4" t="s">
        <v>499</v>
      </c>
      <c r="C48" s="4">
        <v>1</v>
      </c>
      <c r="D48" s="32"/>
      <c r="E48" s="38" t="s">
        <v>287</v>
      </c>
      <c r="F48" s="110"/>
      <c r="G48" s="45"/>
    </row>
    <row r="49" spans="1:7" x14ac:dyDescent="0.25">
      <c r="A49" s="4" t="s">
        <v>500</v>
      </c>
      <c r="C49" s="4">
        <v>1</v>
      </c>
      <c r="D49" s="32"/>
      <c r="E49" s="38" t="s">
        <v>287</v>
      </c>
      <c r="F49" s="110"/>
      <c r="G49" s="110"/>
    </row>
    <row r="50" spans="1:7" ht="15.75" thickBot="1" x14ac:dyDescent="0.3">
      <c r="A50" s="4" t="s">
        <v>501</v>
      </c>
      <c r="C50" s="4">
        <v>1</v>
      </c>
      <c r="D50" s="32"/>
      <c r="E50" s="38" t="s">
        <v>287</v>
      </c>
      <c r="F50" s="110"/>
      <c r="G50" s="110"/>
    </row>
    <row r="51" spans="1:7" ht="15.75" thickBot="1" x14ac:dyDescent="0.3">
      <c r="A51" s="95" t="s">
        <v>502</v>
      </c>
      <c r="B51" s="99"/>
      <c r="C51" s="154"/>
      <c r="D51" s="154"/>
      <c r="E51" s="96"/>
      <c r="F51" s="96"/>
      <c r="G51" s="97">
        <f>SUBTOTAL(109,G4:G44)</f>
        <v>0</v>
      </c>
    </row>
    <row r="52" spans="1:7" x14ac:dyDescent="0.25">
      <c r="A52" s="93"/>
      <c r="B52" s="93"/>
      <c r="C52" s="151"/>
      <c r="D52" s="151"/>
      <c r="E52" s="94"/>
      <c r="F52" s="152"/>
      <c r="G52" s="152"/>
    </row>
    <row r="53" spans="1:7" x14ac:dyDescent="0.25">
      <c r="A53" s="25" t="s">
        <v>293</v>
      </c>
      <c r="B53" s="25"/>
      <c r="C53" s="148"/>
    </row>
    <row r="54" spans="1:7" x14ac:dyDescent="0.25">
      <c r="A54" s="26" t="s">
        <v>294</v>
      </c>
      <c r="B54" s="26"/>
      <c r="C54" s="148"/>
    </row>
    <row r="55" spans="1:7" x14ac:dyDescent="0.25">
      <c r="A55" s="26" t="s">
        <v>295</v>
      </c>
      <c r="B55" s="26"/>
      <c r="C55" s="148"/>
    </row>
    <row r="56" spans="1:7" x14ac:dyDescent="0.25">
      <c r="A56" s="26" t="s">
        <v>296</v>
      </c>
      <c r="B56" s="26"/>
      <c r="C56" s="148"/>
    </row>
    <row r="57" spans="1:7" x14ac:dyDescent="0.25">
      <c r="A57" s="148"/>
      <c r="B57" s="148"/>
      <c r="C57" s="148"/>
    </row>
    <row r="58" spans="1:7" x14ac:dyDescent="0.25">
      <c r="A58" s="24" t="s">
        <v>297</v>
      </c>
      <c r="B58" s="24"/>
      <c r="C58" s="148"/>
    </row>
    <row r="59" spans="1:7" x14ac:dyDescent="0.25">
      <c r="A59" s="148" t="s">
        <v>298</v>
      </c>
      <c r="B59" s="148"/>
      <c r="C59" s="148" t="s">
        <v>299</v>
      </c>
    </row>
    <row r="60" spans="1:7" x14ac:dyDescent="0.25">
      <c r="A60" s="148" t="s">
        <v>300</v>
      </c>
      <c r="B60" s="148"/>
      <c r="C60" s="148" t="s">
        <v>301</v>
      </c>
    </row>
    <row r="61" spans="1:7" x14ac:dyDescent="0.25">
      <c r="A61" s="148" t="s">
        <v>302</v>
      </c>
      <c r="B61" s="148"/>
      <c r="C61" s="148" t="s">
        <v>303</v>
      </c>
    </row>
  </sheetData>
  <hyperlinks>
    <hyperlink ref="A54" r:id="rId1" xr:uid="{FC9EA8F3-E0E5-4DA7-9896-FB7961016A7C}"/>
    <hyperlink ref="A55" r:id="rId2" xr:uid="{27CF5F51-5B66-479C-8DAF-867150F2740A}"/>
    <hyperlink ref="A56" r:id="rId3" xr:uid="{5D676784-68B5-4F53-8887-BD54C5D86FFC}"/>
  </hyperlinks>
  <pageMargins left="0.7" right="0.7" top="0.75" bottom="0.75" header="0.3" footer="0.3"/>
  <pageSetup paperSize="9" scale="81" orientation="portrait" r:id="rId4"/>
  <headerFooter>
    <oddHeader>&amp;C&amp;"Aptos Black,Regular"&amp;14VALKYRIE V2 - DRYBOX BOM</oddHeader>
    <oddFooter>&amp;CBETA PRELEASE</oddFooter>
  </headerFooter>
  <drawing r:id="rId5"/>
  <tableParts count="1"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C4F9-8CF9-41A9-B50B-696BFD4E565C}">
  <sheetPr>
    <tabColor rgb="FFFFC000"/>
    <pageSetUpPr fitToPage="1"/>
  </sheetPr>
  <dimension ref="A1:G29"/>
  <sheetViews>
    <sheetView view="pageLayout" zoomScaleNormal="100" workbookViewId="0">
      <selection activeCell="G19" sqref="G19"/>
    </sheetView>
  </sheetViews>
  <sheetFormatPr defaultColWidth="11.42578125" defaultRowHeight="15" x14ac:dyDescent="0.25"/>
  <cols>
    <col min="1" max="1" width="26" style="4" customWidth="1"/>
    <col min="2" max="2" width="20.140625" style="4" bestFit="1" customWidth="1"/>
    <col min="3" max="3" width="11" style="4" bestFit="1" customWidth="1"/>
    <col min="4" max="4" width="10.42578125" style="4" customWidth="1"/>
    <col min="5" max="5" width="28.7109375" style="4" bestFit="1" customWidth="1"/>
    <col min="6" max="6" width="8.5703125" style="4" customWidth="1"/>
    <col min="7" max="7" width="7.7109375" style="4" customWidth="1"/>
    <col min="8" max="16363" width="11.42578125" style="4"/>
    <col min="16364" max="16369" width="11.42578125" style="4" bestFit="1" customWidth="1"/>
    <col min="16370" max="16384" width="11.42578125" style="4"/>
  </cols>
  <sheetData>
    <row r="1" spans="1:7" ht="30" customHeight="1" x14ac:dyDescent="0.25">
      <c r="A1" s="100" t="s">
        <v>270</v>
      </c>
      <c r="B1" s="134" t="s">
        <v>1</v>
      </c>
      <c r="C1" s="134" t="s">
        <v>271</v>
      </c>
      <c r="D1" s="134" t="s">
        <v>304</v>
      </c>
      <c r="E1" s="134" t="s">
        <v>8</v>
      </c>
      <c r="F1" s="134" t="s">
        <v>274</v>
      </c>
      <c r="G1" s="145" t="s">
        <v>275</v>
      </c>
    </row>
    <row r="2" spans="1:7" x14ac:dyDescent="0.25">
      <c r="A2" s="42" t="s">
        <v>503</v>
      </c>
      <c r="B2" s="4" t="s">
        <v>504</v>
      </c>
      <c r="C2" s="144">
        <v>3</v>
      </c>
      <c r="D2" s="32">
        <v>3</v>
      </c>
      <c r="E2" s="31" t="s">
        <v>505</v>
      </c>
      <c r="F2" s="45">
        <v>2</v>
      </c>
      <c r="G2" s="102">
        <f>Table913171819[[#This Row],[Unit Price]]*Table913171819[[#This Row],[Pack Order Quantity]]</f>
        <v>6</v>
      </c>
    </row>
    <row r="3" spans="1:7" x14ac:dyDescent="0.25">
      <c r="A3" s="158" t="s">
        <v>506</v>
      </c>
      <c r="B3" s="4" t="s">
        <v>507</v>
      </c>
      <c r="C3" s="144">
        <v>3</v>
      </c>
      <c r="D3" s="32">
        <v>3</v>
      </c>
      <c r="E3" s="31" t="s">
        <v>508</v>
      </c>
      <c r="F3" s="45">
        <v>2</v>
      </c>
      <c r="G3" s="102">
        <f>Table913171819[[#This Row],[Unit Price]]*Table913171819[[#This Row],[Pack Order Quantity]]</f>
        <v>6</v>
      </c>
    </row>
    <row r="4" spans="1:7" x14ac:dyDescent="0.25">
      <c r="A4" s="159" t="s">
        <v>151</v>
      </c>
      <c r="C4" s="144">
        <v>2</v>
      </c>
      <c r="D4" s="32"/>
      <c r="E4" s="31" t="s">
        <v>152</v>
      </c>
      <c r="F4" s="45">
        <v>4</v>
      </c>
      <c r="G4" s="102">
        <f>Table913171819[[#This Row],[Unit Price]]*Table913171819[[#This Row],[Pack Order Quantity]]</f>
        <v>0</v>
      </c>
    </row>
    <row r="5" spans="1:7" x14ac:dyDescent="0.25">
      <c r="A5" s="159" t="s">
        <v>148</v>
      </c>
      <c r="C5" s="144">
        <v>1</v>
      </c>
      <c r="D5" s="32"/>
      <c r="E5" s="31" t="s">
        <v>509</v>
      </c>
      <c r="F5" s="45">
        <v>35</v>
      </c>
      <c r="G5" s="102">
        <f>Table913171819[[#This Row],[Unit Price]]*Table913171819[[#This Row],[Pack Order Quantity]]</f>
        <v>0</v>
      </c>
    </row>
    <row r="6" spans="1:7" x14ac:dyDescent="0.25">
      <c r="A6" s="111" t="s">
        <v>154</v>
      </c>
      <c r="B6" s="144" t="s">
        <v>510</v>
      </c>
      <c r="C6" s="144">
        <v>1</v>
      </c>
      <c r="D6" s="32">
        <v>1</v>
      </c>
      <c r="E6" s="31" t="s">
        <v>155</v>
      </c>
      <c r="F6" s="45">
        <v>38</v>
      </c>
      <c r="G6" s="102">
        <f>Table913171819[[#This Row],[Unit Price]]*Table913171819[[#This Row],[Pack Order Quantity]]</f>
        <v>38</v>
      </c>
    </row>
    <row r="7" spans="1:7" x14ac:dyDescent="0.25">
      <c r="A7" s="159" t="s">
        <v>157</v>
      </c>
      <c r="B7" s="144"/>
      <c r="C7" s="144">
        <v>1</v>
      </c>
      <c r="D7" s="32">
        <v>1</v>
      </c>
      <c r="E7" s="31" t="s">
        <v>158</v>
      </c>
      <c r="F7" s="45">
        <v>26</v>
      </c>
      <c r="G7" s="102">
        <f>Table913171819[[#This Row],[Unit Price]]*Table913171819[[#This Row],[Pack Order Quantity]]</f>
        <v>26</v>
      </c>
    </row>
    <row r="8" spans="1:7" x14ac:dyDescent="0.25">
      <c r="A8" s="158" t="s">
        <v>511</v>
      </c>
      <c r="B8" s="144" t="s">
        <v>512</v>
      </c>
      <c r="C8" s="144">
        <v>1</v>
      </c>
      <c r="D8" s="32">
        <v>1</v>
      </c>
      <c r="E8" s="31" t="s">
        <v>513</v>
      </c>
      <c r="F8" s="45">
        <v>7</v>
      </c>
      <c r="G8" s="102">
        <f>Table913171819[[#This Row],[Unit Price]]*Table913171819[[#This Row],[Pack Order Quantity]]</f>
        <v>7</v>
      </c>
    </row>
    <row r="9" spans="1:7" x14ac:dyDescent="0.25">
      <c r="A9" s="158" t="s">
        <v>514</v>
      </c>
      <c r="B9" s="144" t="s">
        <v>515</v>
      </c>
      <c r="C9" s="144">
        <v>1</v>
      </c>
      <c r="D9" s="32">
        <v>1</v>
      </c>
      <c r="E9" s="31" t="s">
        <v>516</v>
      </c>
      <c r="F9" s="45">
        <v>5</v>
      </c>
      <c r="G9" s="102">
        <f>Table913171819[[#This Row],[Unit Price]]*Table913171819[[#This Row],[Pack Order Quantity]]</f>
        <v>5</v>
      </c>
    </row>
    <row r="10" spans="1:7" x14ac:dyDescent="0.25">
      <c r="A10" s="158" t="s">
        <v>517</v>
      </c>
      <c r="B10" s="144"/>
      <c r="C10" s="144">
        <v>4</v>
      </c>
      <c r="D10" s="32"/>
      <c r="E10" s="38" t="s">
        <v>284</v>
      </c>
      <c r="F10" s="45"/>
      <c r="G10" s="102"/>
    </row>
    <row r="11" spans="1:7" x14ac:dyDescent="0.25">
      <c r="A11" s="158" t="s">
        <v>195</v>
      </c>
      <c r="C11" s="4">
        <v>6</v>
      </c>
      <c r="D11" s="32"/>
      <c r="E11" s="38" t="s">
        <v>284</v>
      </c>
      <c r="F11" s="45"/>
      <c r="G11" s="102"/>
    </row>
    <row r="12" spans="1:7" x14ac:dyDescent="0.25">
      <c r="A12" s="158" t="s">
        <v>197</v>
      </c>
      <c r="B12" s="144"/>
      <c r="C12" s="144">
        <v>2</v>
      </c>
      <c r="D12" s="32"/>
      <c r="E12" s="38" t="s">
        <v>284</v>
      </c>
      <c r="F12" s="45"/>
      <c r="G12" s="102"/>
    </row>
    <row r="13" spans="1:7" x14ac:dyDescent="0.25">
      <c r="A13" t="s">
        <v>283</v>
      </c>
      <c r="C13" s="1">
        <v>4</v>
      </c>
      <c r="D13" s="32"/>
      <c r="E13" s="38" t="s">
        <v>284</v>
      </c>
      <c r="F13" s="45"/>
      <c r="G13" s="102"/>
    </row>
    <row r="14" spans="1:7" x14ac:dyDescent="0.25">
      <c r="A14" s="1" t="s">
        <v>285</v>
      </c>
      <c r="C14" s="1">
        <v>4</v>
      </c>
      <c r="D14" s="32"/>
      <c r="E14" s="38" t="s">
        <v>284</v>
      </c>
      <c r="F14" s="45"/>
      <c r="G14" s="102"/>
    </row>
    <row r="15" spans="1:7" x14ac:dyDescent="0.25">
      <c r="A15" s="4" t="s">
        <v>217</v>
      </c>
      <c r="C15" s="144">
        <v>4</v>
      </c>
      <c r="D15" s="32"/>
      <c r="E15" s="38" t="s">
        <v>284</v>
      </c>
      <c r="F15" s="45"/>
      <c r="G15" s="102"/>
    </row>
    <row r="16" spans="1:7" x14ac:dyDescent="0.25">
      <c r="A16" s="160" t="s">
        <v>518</v>
      </c>
      <c r="C16" s="144">
        <v>1</v>
      </c>
      <c r="D16" s="32">
        <v>1</v>
      </c>
      <c r="E16" s="38" t="s">
        <v>287</v>
      </c>
      <c r="F16" s="45"/>
      <c r="G16" s="102"/>
    </row>
    <row r="17" spans="1:7" x14ac:dyDescent="0.25">
      <c r="A17" s="158" t="s">
        <v>519</v>
      </c>
      <c r="C17" s="144">
        <v>1</v>
      </c>
      <c r="D17" s="32">
        <v>1</v>
      </c>
      <c r="E17" s="38" t="s">
        <v>287</v>
      </c>
      <c r="F17" s="45"/>
      <c r="G17" s="102"/>
    </row>
    <row r="18" spans="1:7" ht="15.75" thickBot="1" x14ac:dyDescent="0.3">
      <c r="A18" s="111" t="s">
        <v>520</v>
      </c>
      <c r="C18" s="144">
        <v>2</v>
      </c>
      <c r="D18" s="32">
        <v>2</v>
      </c>
      <c r="E18" s="38" t="s">
        <v>287</v>
      </c>
      <c r="F18" s="45"/>
      <c r="G18" s="102"/>
    </row>
    <row r="19" spans="1:7" ht="15.75" thickBot="1" x14ac:dyDescent="0.3">
      <c r="A19" s="95" t="s">
        <v>521</v>
      </c>
      <c r="B19" s="99"/>
      <c r="C19" s="154"/>
      <c r="D19" s="154"/>
      <c r="E19" s="96"/>
      <c r="F19" s="96"/>
      <c r="G19" s="97">
        <f>SUBTOTAL(109,Table913171819[Line Price])</f>
        <v>88</v>
      </c>
    </row>
    <row r="20" spans="1:7" x14ac:dyDescent="0.25">
      <c r="A20" s="93"/>
      <c r="B20" s="93"/>
      <c r="C20" s="151"/>
      <c r="D20" s="151"/>
      <c r="E20" s="94"/>
      <c r="F20" s="152"/>
      <c r="G20" s="152"/>
    </row>
    <row r="21" spans="1:7" x14ac:dyDescent="0.25">
      <c r="A21" s="25" t="s">
        <v>293</v>
      </c>
      <c r="B21" s="25"/>
      <c r="C21" s="148"/>
    </row>
    <row r="22" spans="1:7" x14ac:dyDescent="0.25">
      <c r="A22" s="26" t="s">
        <v>294</v>
      </c>
      <c r="B22" s="26"/>
      <c r="C22" s="148"/>
    </row>
    <row r="23" spans="1:7" x14ac:dyDescent="0.25">
      <c r="A23" s="26" t="s">
        <v>295</v>
      </c>
      <c r="B23" s="26"/>
      <c r="C23" s="148"/>
    </row>
    <row r="24" spans="1:7" x14ac:dyDescent="0.25">
      <c r="A24" s="26" t="s">
        <v>296</v>
      </c>
      <c r="B24" s="26"/>
      <c r="C24" s="148"/>
    </row>
    <row r="25" spans="1:7" x14ac:dyDescent="0.25">
      <c r="A25" s="148"/>
      <c r="B25" s="148"/>
      <c r="C25" s="148"/>
    </row>
    <row r="26" spans="1:7" x14ac:dyDescent="0.25">
      <c r="A26" s="24" t="s">
        <v>297</v>
      </c>
      <c r="B26" s="24"/>
      <c r="C26" s="148"/>
    </row>
    <row r="27" spans="1:7" x14ac:dyDescent="0.25">
      <c r="A27" s="148" t="s">
        <v>298</v>
      </c>
      <c r="B27" s="148"/>
      <c r="C27" s="148" t="s">
        <v>299</v>
      </c>
    </row>
    <row r="28" spans="1:7" x14ac:dyDescent="0.25">
      <c r="A28" s="148" t="s">
        <v>300</v>
      </c>
      <c r="B28" s="148"/>
      <c r="C28" s="148" t="s">
        <v>301</v>
      </c>
    </row>
    <row r="29" spans="1:7" x14ac:dyDescent="0.25">
      <c r="A29" s="148" t="s">
        <v>302</v>
      </c>
      <c r="B29" s="148"/>
      <c r="C29" s="148" t="s">
        <v>303</v>
      </c>
    </row>
  </sheetData>
  <phoneticPr fontId="38" type="noConversion"/>
  <hyperlinks>
    <hyperlink ref="A22" r:id="rId1" xr:uid="{A08D53C6-D379-46AA-9F70-60828147D22E}"/>
    <hyperlink ref="A23" r:id="rId2" xr:uid="{64C6E7CC-1EE7-403C-BA1D-C136CF7AACAB}"/>
    <hyperlink ref="A24" r:id="rId3" xr:uid="{A3267783-7917-4321-840E-6280A62792AE}"/>
    <hyperlink ref="E3" r:id="rId4" display="Size: 6mm Barb" xr:uid="{C3CDCC0D-0A1D-4B43-9FBA-59FC29C12A7A}"/>
    <hyperlink ref="E2" r:id="rId5" display="Size: 6mm Barb" xr:uid="{2B9E6CF6-A1A2-44E5-9F33-5B2A541AB1F0}"/>
    <hyperlink ref="E5" r:id="rId6" xr:uid="{D990A383-0AD7-47CB-9667-816C5F2D9DC3}"/>
    <hyperlink ref="E8" r:id="rId7" display="Color: 4X6mm" xr:uid="{A1F65A31-C16F-437D-9C3A-E3F78A22BDA1}"/>
    <hyperlink ref="E9" r:id="rId8" display="Color: 4X6mm" xr:uid="{8687C277-8776-46B8-BF8D-72106FECF4DD}"/>
    <hyperlink ref="E7" r:id="rId9" xr:uid="{AED4D125-B3CB-4A03-A50C-3AA413A5FE8C}"/>
    <hyperlink ref="E6" r:id="rId10" xr:uid="{910AB7B4-A2AB-41A4-A639-9998F035D46D}"/>
    <hyperlink ref="E4" r:id="rId11" xr:uid="{4CA8107C-030D-4D3D-ABA9-86E8BE8CA186}"/>
  </hyperlinks>
  <pageMargins left="0.7" right="0.7" top="0.75" bottom="0.75" header="0.3" footer="0.3"/>
  <pageSetup paperSize="9" scale="77" orientation="portrait" r:id="rId12"/>
  <headerFooter>
    <oddHeader>&amp;C&amp;"Aptos Black,Regular"&amp;14VALKYRIE V2 - LC BOM</oddHeader>
    <oddFooter>&amp;CBETA PRELEASE</oddFooter>
  </headerFooter>
  <drawing r:id="rId13"/>
  <tableParts count="1">
    <tablePart r:id="rId1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EE317-6EFB-4F88-AD07-5555A49576B6}">
  <sheetPr>
    <tabColor rgb="FFFFC000"/>
    <pageSetUpPr fitToPage="1"/>
  </sheetPr>
  <dimension ref="A1:N37"/>
  <sheetViews>
    <sheetView view="pageLayout" zoomScaleNormal="100" workbookViewId="0">
      <selection activeCell="I16" sqref="I16:I17"/>
    </sheetView>
  </sheetViews>
  <sheetFormatPr defaultColWidth="11.42578125" defaultRowHeight="15" x14ac:dyDescent="0.25"/>
  <cols>
    <col min="1" max="1" width="27.85546875" style="4" customWidth="1"/>
    <col min="2" max="2" width="20" style="4" bestFit="1" customWidth="1"/>
    <col min="3" max="3" width="11" style="4" bestFit="1" customWidth="1"/>
    <col min="4" max="4" width="10.42578125" style="4" customWidth="1"/>
    <col min="5" max="5" width="31.5703125" style="4" bestFit="1" customWidth="1"/>
    <col min="6" max="6" width="8.5703125" style="4" customWidth="1"/>
    <col min="7" max="7" width="7.7109375" style="4" customWidth="1"/>
    <col min="8" max="8" width="11.42578125" style="4"/>
    <col min="9" max="9" width="13.85546875" style="4" bestFit="1" customWidth="1"/>
    <col min="10" max="11" width="11.42578125" style="4"/>
    <col min="12" max="12" width="47.85546875" style="4" customWidth="1"/>
    <col min="13" max="16365" width="11.42578125" style="4"/>
    <col min="16366" max="16371" width="11.42578125" style="4" bestFit="1" customWidth="1"/>
    <col min="16372" max="16384" width="11.42578125" style="4"/>
  </cols>
  <sheetData>
    <row r="1" spans="1:14" ht="30" customHeight="1" x14ac:dyDescent="0.25">
      <c r="A1" s="100" t="s">
        <v>270</v>
      </c>
      <c r="B1" s="134" t="s">
        <v>1</v>
      </c>
      <c r="C1" s="134" t="s">
        <v>271</v>
      </c>
      <c r="D1" s="134" t="s">
        <v>304</v>
      </c>
      <c r="E1" s="134" t="s">
        <v>8</v>
      </c>
      <c r="F1" s="134" t="s">
        <v>274</v>
      </c>
      <c r="G1" s="145" t="s">
        <v>275</v>
      </c>
      <c r="I1" s="4" t="s">
        <v>522</v>
      </c>
    </row>
    <row r="2" spans="1:14" x14ac:dyDescent="0.25">
      <c r="A2" s="42" t="s">
        <v>523</v>
      </c>
      <c r="C2" s="144">
        <v>1</v>
      </c>
      <c r="D2" s="32">
        <v>1</v>
      </c>
      <c r="E2" s="31" t="s">
        <v>524</v>
      </c>
      <c r="F2" s="45">
        <v>2</v>
      </c>
      <c r="G2" s="102">
        <f>Table91317181920[[#This Row],[Unit Price]]*Table91317181920[[#This Row],[Pack Order Quantity]]</f>
        <v>2</v>
      </c>
    </row>
    <row r="3" spans="1:14" x14ac:dyDescent="0.25">
      <c r="A3" s="158" t="s">
        <v>525</v>
      </c>
      <c r="C3" s="144">
        <v>1</v>
      </c>
      <c r="D3" s="32">
        <v>1</v>
      </c>
      <c r="E3" s="31" t="s">
        <v>526</v>
      </c>
      <c r="F3" s="45">
        <v>40</v>
      </c>
      <c r="G3" s="102">
        <f>Table91317181920[[#This Row],[Unit Price]]*Table91317181920[[#This Row],[Pack Order Quantity]]</f>
        <v>40</v>
      </c>
      <c r="H3" s="4" t="s">
        <v>527</v>
      </c>
      <c r="I3" s="117" t="s">
        <v>528</v>
      </c>
      <c r="N3" s="4">
        <v>33</v>
      </c>
    </row>
    <row r="4" spans="1:14" x14ac:dyDescent="0.25">
      <c r="A4" s="159" t="s">
        <v>529</v>
      </c>
      <c r="C4" s="144">
        <v>1</v>
      </c>
      <c r="D4" s="32">
        <v>1</v>
      </c>
      <c r="E4" s="31" t="s">
        <v>530</v>
      </c>
      <c r="F4" s="45">
        <v>4</v>
      </c>
      <c r="G4" s="102">
        <f>Table91317181920[[#This Row],[Unit Price]]*Table91317181920[[#This Row],[Pack Order Quantity]]</f>
        <v>4</v>
      </c>
    </row>
    <row r="5" spans="1:14" x14ac:dyDescent="0.25">
      <c r="A5" s="111" t="s">
        <v>531</v>
      </c>
      <c r="C5" s="32">
        <v>2</v>
      </c>
      <c r="D5" s="32">
        <v>1</v>
      </c>
      <c r="E5" s="39" t="s">
        <v>424</v>
      </c>
      <c r="F5" s="110"/>
      <c r="G5" s="112"/>
    </row>
    <row r="6" spans="1:14" x14ac:dyDescent="0.25">
      <c r="A6" s="159" t="s">
        <v>532</v>
      </c>
      <c r="B6" s="144" t="s">
        <v>533</v>
      </c>
      <c r="C6" s="144"/>
      <c r="D6" s="32"/>
      <c r="E6" s="128" t="s">
        <v>534</v>
      </c>
      <c r="F6" s="45"/>
      <c r="G6" s="102"/>
      <c r="I6" s="4" t="s">
        <v>535</v>
      </c>
    </row>
    <row r="7" spans="1:14" x14ac:dyDescent="0.25">
      <c r="A7" s="158" t="s">
        <v>536</v>
      </c>
      <c r="B7" s="144" t="s">
        <v>533</v>
      </c>
      <c r="C7" s="144"/>
      <c r="D7" s="32"/>
      <c r="E7" s="129" t="s">
        <v>534</v>
      </c>
      <c r="F7" s="45"/>
      <c r="G7" s="102"/>
      <c r="I7" s="4" t="s">
        <v>535</v>
      </c>
    </row>
    <row r="8" spans="1:14" x14ac:dyDescent="0.25">
      <c r="A8" s="158" t="s">
        <v>537</v>
      </c>
      <c r="B8" s="144" t="s">
        <v>533</v>
      </c>
      <c r="D8" s="32"/>
      <c r="E8" s="129" t="s">
        <v>534</v>
      </c>
      <c r="F8" s="45"/>
      <c r="G8" s="102"/>
      <c r="I8" s="4" t="s">
        <v>535</v>
      </c>
    </row>
    <row r="9" spans="1:14" x14ac:dyDescent="0.25">
      <c r="A9" s="158" t="s">
        <v>538</v>
      </c>
      <c r="B9" s="144" t="s">
        <v>539</v>
      </c>
      <c r="C9" s="144"/>
      <c r="D9" s="32"/>
      <c r="E9" s="129" t="s">
        <v>534</v>
      </c>
      <c r="F9" s="45"/>
      <c r="G9" s="102"/>
      <c r="I9" s="4" t="s">
        <v>535</v>
      </c>
    </row>
    <row r="10" spans="1:14" x14ac:dyDescent="0.25">
      <c r="A10" s="101" t="s">
        <v>540</v>
      </c>
      <c r="B10" s="144" t="s">
        <v>539</v>
      </c>
      <c r="C10" s="1"/>
      <c r="D10" s="32"/>
      <c r="E10" s="129" t="s">
        <v>534</v>
      </c>
      <c r="F10" s="45"/>
      <c r="G10" s="102"/>
      <c r="I10" s="4" t="s">
        <v>535</v>
      </c>
    </row>
    <row r="11" spans="1:14" x14ac:dyDescent="0.25">
      <c r="A11" s="158" t="s">
        <v>541</v>
      </c>
      <c r="B11" s="144" t="s">
        <v>539</v>
      </c>
      <c r="C11" s="144"/>
      <c r="D11" s="32"/>
      <c r="E11" s="129" t="s">
        <v>534</v>
      </c>
      <c r="F11" s="45"/>
      <c r="G11" s="102"/>
      <c r="I11" s="4" t="s">
        <v>535</v>
      </c>
    </row>
    <row r="12" spans="1:14" x14ac:dyDescent="0.25">
      <c r="A12" s="158" t="s">
        <v>536</v>
      </c>
      <c r="B12" s="144" t="s">
        <v>539</v>
      </c>
      <c r="C12" s="144"/>
      <c r="D12" s="32"/>
      <c r="E12" s="128" t="s">
        <v>534</v>
      </c>
      <c r="F12" s="45"/>
      <c r="G12" s="102"/>
      <c r="I12" s="4" t="s">
        <v>535</v>
      </c>
    </row>
    <row r="13" spans="1:14" x14ac:dyDescent="0.25">
      <c r="A13" s="160" t="s">
        <v>542</v>
      </c>
      <c r="B13" s="144" t="s">
        <v>543</v>
      </c>
      <c r="C13" s="144"/>
      <c r="D13" s="32"/>
      <c r="E13" s="129" t="s">
        <v>534</v>
      </c>
      <c r="F13" s="45"/>
      <c r="G13" s="102"/>
      <c r="I13" s="4" t="s">
        <v>535</v>
      </c>
    </row>
    <row r="14" spans="1:14" x14ac:dyDescent="0.25">
      <c r="A14" s="4" t="s">
        <v>544</v>
      </c>
      <c r="C14" s="32"/>
      <c r="D14" s="32"/>
      <c r="E14" s="130" t="s">
        <v>545</v>
      </c>
      <c r="F14" s="110"/>
      <c r="G14" s="110">
        <f>Table91317181920[[#This Row],[Unit Price]]*Table91317181920[[#This Row],[Pack Order Quantity]]</f>
        <v>0</v>
      </c>
      <c r="I14" s="4" t="s">
        <v>535</v>
      </c>
    </row>
    <row r="15" spans="1:14" x14ac:dyDescent="0.25">
      <c r="A15" s="131" t="s">
        <v>546</v>
      </c>
      <c r="B15" s="4" t="s">
        <v>547</v>
      </c>
      <c r="C15" s="32"/>
      <c r="D15" s="32"/>
      <c r="E15" s="130" t="s">
        <v>548</v>
      </c>
      <c r="F15" s="110"/>
      <c r="G15" s="110">
        <f>Table91317181920[[#This Row],[Unit Price]]*Table91317181920[[#This Row],[Pack Order Quantity]]</f>
        <v>0</v>
      </c>
      <c r="I15" s="4" t="s">
        <v>535</v>
      </c>
    </row>
    <row r="16" spans="1:14" x14ac:dyDescent="0.25">
      <c r="A16" s="131" t="s">
        <v>546</v>
      </c>
      <c r="B16" s="4" t="s">
        <v>549</v>
      </c>
      <c r="C16" s="32"/>
      <c r="D16" s="32"/>
      <c r="E16" s="130" t="s">
        <v>548</v>
      </c>
      <c r="F16" s="110"/>
      <c r="G16" s="110">
        <f>Table91317181920[[#This Row],[Unit Price]]*Table91317181920[[#This Row],[Pack Order Quantity]]</f>
        <v>0</v>
      </c>
      <c r="I16" s="4" t="s">
        <v>535</v>
      </c>
    </row>
    <row r="17" spans="1:13" x14ac:dyDescent="0.25">
      <c r="A17" s="131" t="s">
        <v>546</v>
      </c>
      <c r="B17" s="4" t="s">
        <v>550</v>
      </c>
      <c r="C17" s="32"/>
      <c r="D17" s="32"/>
      <c r="E17" s="130" t="s">
        <v>548</v>
      </c>
      <c r="F17" s="110"/>
      <c r="G17" s="110">
        <f>Table91317181920[[#This Row],[Unit Price]]*Table91317181920[[#This Row],[Pack Order Quantity]]</f>
        <v>0</v>
      </c>
      <c r="I17" s="4" t="s">
        <v>535</v>
      </c>
    </row>
    <row r="18" spans="1:13" x14ac:dyDescent="0.25">
      <c r="A18" s="158" t="s">
        <v>551</v>
      </c>
      <c r="C18" s="144"/>
      <c r="D18" s="32"/>
      <c r="E18" s="31" t="s">
        <v>552</v>
      </c>
      <c r="F18" s="45"/>
      <c r="G18" s="102"/>
    </row>
    <row r="19" spans="1:13" x14ac:dyDescent="0.25">
      <c r="A19" s="4" t="s">
        <v>553</v>
      </c>
      <c r="C19" s="144"/>
      <c r="D19" s="32"/>
      <c r="E19" s="31" t="s">
        <v>554</v>
      </c>
      <c r="F19" s="45"/>
      <c r="G19" s="45"/>
    </row>
    <row r="20" spans="1:13" x14ac:dyDescent="0.25">
      <c r="A20" s="4" t="s">
        <v>555</v>
      </c>
      <c r="C20" s="32">
        <v>1</v>
      </c>
      <c r="D20" s="32">
        <v>1</v>
      </c>
      <c r="E20" s="31" t="s">
        <v>556</v>
      </c>
      <c r="F20" s="110">
        <v>10</v>
      </c>
      <c r="G20" s="110">
        <f>Table91317181920[[#This Row],[Unit Price]]*Table91317181920[[#This Row],[Pack Order Quantity]]</f>
        <v>10</v>
      </c>
    </row>
    <row r="21" spans="1:13" ht="15" customHeight="1" x14ac:dyDescent="0.25">
      <c r="A21" s="4" t="s">
        <v>557</v>
      </c>
      <c r="C21" s="32">
        <v>1</v>
      </c>
      <c r="D21" s="32">
        <v>1</v>
      </c>
      <c r="E21" s="128" t="s">
        <v>558</v>
      </c>
      <c r="F21" s="110"/>
      <c r="G21" s="110">
        <f>Table91317181920[[#This Row],[Unit Price]]*Table91317181920[[#This Row],[Pack Order Quantity]]</f>
        <v>0</v>
      </c>
      <c r="L21" s="125" t="s">
        <v>559</v>
      </c>
    </row>
    <row r="22" spans="1:13" x14ac:dyDescent="0.25">
      <c r="A22" s="4" t="s">
        <v>560</v>
      </c>
      <c r="C22" s="32">
        <v>1</v>
      </c>
      <c r="D22" s="32">
        <v>1</v>
      </c>
      <c r="E22" s="128" t="s">
        <v>561</v>
      </c>
      <c r="F22" s="110"/>
      <c r="G22" s="110"/>
      <c r="L22" s="4" t="s">
        <v>562</v>
      </c>
      <c r="M22" s="132">
        <v>11.37</v>
      </c>
    </row>
    <row r="23" spans="1:13" x14ac:dyDescent="0.25">
      <c r="A23" s="4" t="s">
        <v>563</v>
      </c>
      <c r="C23" s="32"/>
      <c r="D23" s="32"/>
      <c r="E23" s="130" t="s">
        <v>564</v>
      </c>
      <c r="F23" s="110"/>
      <c r="G23" s="110"/>
      <c r="L23" s="4" t="s">
        <v>562</v>
      </c>
      <c r="M23" s="4">
        <v>4.82</v>
      </c>
    </row>
    <row r="24" spans="1:13" x14ac:dyDescent="0.25">
      <c r="A24" s="4" t="s">
        <v>565</v>
      </c>
      <c r="C24" s="32"/>
      <c r="D24" s="32"/>
      <c r="E24" s="130" t="s">
        <v>566</v>
      </c>
      <c r="F24" s="110"/>
      <c r="G24" s="110">
        <f>Table91317181920[[#This Row],[Unit Price]]*Table91317181920[[#This Row],[Pack Order Quantity]]</f>
        <v>0</v>
      </c>
      <c r="L24" s="4" t="s">
        <v>562</v>
      </c>
      <c r="M24" s="4">
        <v>1.31</v>
      </c>
    </row>
    <row r="25" spans="1:13" x14ac:dyDescent="0.25">
      <c r="A25" s="4" t="s">
        <v>567</v>
      </c>
      <c r="C25" s="32">
        <v>3</v>
      </c>
      <c r="D25" s="32">
        <v>3</v>
      </c>
      <c r="E25" s="31" t="s">
        <v>568</v>
      </c>
      <c r="F25" s="110">
        <v>18</v>
      </c>
      <c r="G25" s="110">
        <f>Table91317181920[[#This Row],[Unit Price]]*Table91317181920[[#This Row],[Pack Order Quantity]]</f>
        <v>54</v>
      </c>
    </row>
    <row r="26" spans="1:13" ht="15.75" thickBot="1" x14ac:dyDescent="0.3">
      <c r="A26" s="4" t="s">
        <v>569</v>
      </c>
      <c r="C26" s="32">
        <v>1</v>
      </c>
      <c r="D26" s="32">
        <v>1</v>
      </c>
      <c r="E26" s="31" t="s">
        <v>570</v>
      </c>
      <c r="F26" s="110">
        <v>35</v>
      </c>
      <c r="G26" s="110">
        <f>Table91317181920[[#This Row],[Unit Price]]*Table91317181920[[#This Row],[Pack Order Quantity]]</f>
        <v>35</v>
      </c>
    </row>
    <row r="27" spans="1:13" ht="15.75" thickBot="1" x14ac:dyDescent="0.3">
      <c r="A27" s="95" t="s">
        <v>571</v>
      </c>
      <c r="B27" s="99"/>
      <c r="C27" s="154"/>
      <c r="D27" s="154"/>
      <c r="E27" s="96"/>
      <c r="F27" s="96"/>
      <c r="G27" s="97">
        <f>SUBTOTAL(109,Table91317181920[Line Price])</f>
        <v>145</v>
      </c>
    </row>
    <row r="28" spans="1:13" x14ac:dyDescent="0.25">
      <c r="A28" s="93"/>
      <c r="B28" s="93"/>
      <c r="C28" s="151"/>
      <c r="D28" s="151"/>
      <c r="E28" s="94"/>
      <c r="F28" s="152"/>
      <c r="G28" s="152"/>
    </row>
    <row r="29" spans="1:13" x14ac:dyDescent="0.25">
      <c r="A29" s="25" t="s">
        <v>293</v>
      </c>
      <c r="B29" s="25"/>
      <c r="C29" s="148"/>
    </row>
    <row r="30" spans="1:13" x14ac:dyDescent="0.25">
      <c r="A30" s="26" t="s">
        <v>294</v>
      </c>
      <c r="B30" s="26"/>
      <c r="C30" s="148"/>
    </row>
    <row r="31" spans="1:13" x14ac:dyDescent="0.25">
      <c r="A31" s="26" t="s">
        <v>295</v>
      </c>
      <c r="B31" s="26"/>
      <c r="C31" s="148"/>
    </row>
    <row r="32" spans="1:13" x14ac:dyDescent="0.25">
      <c r="A32" s="26" t="s">
        <v>296</v>
      </c>
      <c r="B32" s="26"/>
      <c r="C32" s="148"/>
    </row>
    <row r="33" spans="1:3" x14ac:dyDescent="0.25">
      <c r="A33" s="148"/>
      <c r="B33" s="148"/>
      <c r="C33" s="148"/>
    </row>
    <row r="34" spans="1:3" x14ac:dyDescent="0.25">
      <c r="A34" s="24" t="s">
        <v>297</v>
      </c>
      <c r="B34" s="24"/>
      <c r="C34" s="148"/>
    </row>
    <row r="35" spans="1:3" x14ac:dyDescent="0.25">
      <c r="A35" s="148" t="s">
        <v>298</v>
      </c>
      <c r="B35" s="148"/>
      <c r="C35" s="148" t="s">
        <v>299</v>
      </c>
    </row>
    <row r="36" spans="1:3" x14ac:dyDescent="0.25">
      <c r="A36" s="148" t="s">
        <v>300</v>
      </c>
      <c r="B36" s="148"/>
      <c r="C36" s="148" t="s">
        <v>301</v>
      </c>
    </row>
    <row r="37" spans="1:3" x14ac:dyDescent="0.25">
      <c r="A37" s="148" t="s">
        <v>302</v>
      </c>
      <c r="B37" s="148"/>
      <c r="C37" s="148" t="s">
        <v>303</v>
      </c>
    </row>
  </sheetData>
  <hyperlinks>
    <hyperlink ref="A30" r:id="rId1" xr:uid="{470A2A01-49D9-432E-8C41-2444D5861B1A}"/>
    <hyperlink ref="A31" r:id="rId2" xr:uid="{EE85B95D-1DAF-42E9-830F-83A51679A452}"/>
    <hyperlink ref="A32" r:id="rId3" xr:uid="{178E35A6-928B-4502-83CE-83A6B10F1DB2}"/>
    <hyperlink ref="E3" r:id="rId4" xr:uid="{EBC93EA9-CA87-4B99-A851-AC8EF3B1C2EC}"/>
    <hyperlink ref="E2" r:id="rId5" xr:uid="{D1048105-C283-432F-9839-589A8EEC31A8}"/>
    <hyperlink ref="E4" r:id="rId6" xr:uid="{14CC34C9-B216-4727-8D12-928353DEB69D}"/>
    <hyperlink ref="E26" r:id="rId7" xr:uid="{218BABC7-D246-43B2-A595-3E16299B85AA}"/>
    <hyperlink ref="E25" r:id="rId8" display="https://www.aliexpress.com/item/1005007567533885.html?" xr:uid="{39935142-4495-4BC3-B771-9D65ECFBA008}"/>
    <hyperlink ref="E20" r:id="rId9" xr:uid="{C6177B76-25EF-4489-BF95-2763F0645274}"/>
    <hyperlink ref="E18" r:id="rId10" xr:uid="{F9E8E2C8-B4D2-4076-B9EA-7FA169FE0152}"/>
    <hyperlink ref="I3" r:id="rId11" xr:uid="{5C756C98-81C1-4F1F-8532-3D8B4B44DB09}"/>
    <hyperlink ref="E6" r:id="rId12" xr:uid="{14502622-AF04-4D6C-AC44-E09B2446A8E9}"/>
    <hyperlink ref="E7" r:id="rId13" xr:uid="{AE4D717C-E10B-4111-BF18-2EB7B07C9CA8}"/>
    <hyperlink ref="E8" r:id="rId14" xr:uid="{977FD20E-EE73-480E-ACC2-6660967B1305}"/>
    <hyperlink ref="E9" r:id="rId15" xr:uid="{5A5099B9-7E65-436A-AF41-6686FD5915C1}"/>
    <hyperlink ref="E10" r:id="rId16" xr:uid="{6F537A63-50F1-4BC2-AD7B-C1BD4B575ECE}"/>
    <hyperlink ref="E11" r:id="rId17" xr:uid="{3C2DF0AE-3C07-4877-8390-D4DE046C507E}"/>
    <hyperlink ref="E12" r:id="rId18" xr:uid="{803F2F6C-74C3-4DA5-828E-D21795B7FA12}"/>
    <hyperlink ref="E13" r:id="rId19" xr:uid="{0508A14D-10E9-4B05-BC4B-6374F6A7D76E}"/>
    <hyperlink ref="E14" r:id="rId20" xr:uid="{35E5B4EF-BF0C-4094-BEB1-9E5846347232}"/>
    <hyperlink ref="E15" r:id="rId21" xr:uid="{0201176C-E5E7-4AA7-8128-68DF0FB086BB}"/>
    <hyperlink ref="E16" r:id="rId22" xr:uid="{32B5BD41-7E5E-4E24-9ED4-5944494BCCF2}"/>
    <hyperlink ref="E22" r:id="rId23" xr:uid="{2CA017FE-F97D-4B4F-A558-7EEA5FB7C649}"/>
    <hyperlink ref="E23" r:id="rId24" xr:uid="{42E776B9-CA49-47F6-9855-22D5A77AB01D}"/>
    <hyperlink ref="E24" r:id="rId25" xr:uid="{62646524-EFF2-4B13-A41A-76EFE3967380}"/>
    <hyperlink ref="E21" r:id="rId26" xr:uid="{DB48417B-44BC-4B30-A930-FB80A86E9B1B}"/>
    <hyperlink ref="E17" r:id="rId27" xr:uid="{6F107AA0-CEAD-4283-A780-3D3828FBB6F9}"/>
  </hyperlinks>
  <pageMargins left="0.7" right="0.7" top="0.75" bottom="0.75" header="0.3" footer="0.3"/>
  <pageSetup paperSize="9" scale="37" orientation="portrait" r:id="rId28"/>
  <headerFooter>
    <oddHeader>&amp;C&amp;"Aptos Black,Regular"&amp;14VALKYRIE V2 - Electronics BOM</oddHeader>
    <oddFooter>&amp;CBETA PRELEASE</oddFooter>
  </headerFooter>
  <drawing r:id="rId29"/>
  <tableParts count="1">
    <tablePart r:id="rId30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7F9FE-E228-49B6-B000-7B946B665A04}">
  <dimension ref="A1:E30"/>
  <sheetViews>
    <sheetView workbookViewId="0">
      <selection activeCell="E30" sqref="E30"/>
    </sheetView>
  </sheetViews>
  <sheetFormatPr defaultRowHeight="15" x14ac:dyDescent="0.25"/>
  <cols>
    <col min="1" max="1" width="21" customWidth="1"/>
    <col min="2" max="2" width="36.5703125" bestFit="1" customWidth="1"/>
    <col min="3" max="3" width="15.140625" bestFit="1" customWidth="1"/>
    <col min="4" max="4" width="29" bestFit="1" customWidth="1"/>
    <col min="5" max="5" width="57.5703125" customWidth="1"/>
  </cols>
  <sheetData>
    <row r="1" spans="1:5" x14ac:dyDescent="0.25">
      <c r="A1" s="16" t="s">
        <v>572</v>
      </c>
      <c r="B1" s="18"/>
      <c r="C1" s="16"/>
      <c r="D1" s="16"/>
      <c r="E1" s="18"/>
    </row>
    <row r="2" spans="1:5" x14ac:dyDescent="0.25">
      <c r="A2" s="18"/>
      <c r="B2" s="18"/>
      <c r="C2" s="16"/>
      <c r="D2" s="16"/>
      <c r="E2" s="18"/>
    </row>
    <row r="3" spans="1:5" x14ac:dyDescent="0.25">
      <c r="A3" s="18" t="s">
        <v>573</v>
      </c>
      <c r="B3" s="18"/>
      <c r="C3" s="16" t="s">
        <v>574</v>
      </c>
      <c r="D3" s="16" t="s">
        <v>575</v>
      </c>
      <c r="E3" s="18" t="s">
        <v>576</v>
      </c>
    </row>
    <row r="4" spans="1:5" x14ac:dyDescent="0.25">
      <c r="A4" s="18">
        <v>1</v>
      </c>
      <c r="B4" s="18" t="s">
        <v>577</v>
      </c>
      <c r="C4" s="16" t="s">
        <v>578</v>
      </c>
      <c r="D4" s="16" t="s">
        <v>579</v>
      </c>
      <c r="E4" s="19" t="s">
        <v>580</v>
      </c>
    </row>
    <row r="5" spans="1:5" x14ac:dyDescent="0.25">
      <c r="A5" s="18">
        <v>2</v>
      </c>
      <c r="B5" s="18" t="s">
        <v>581</v>
      </c>
      <c r="C5" s="16" t="s">
        <v>578</v>
      </c>
      <c r="D5" s="16" t="s">
        <v>582</v>
      </c>
      <c r="E5" s="18" t="s">
        <v>580</v>
      </c>
    </row>
    <row r="6" spans="1:5" x14ac:dyDescent="0.25">
      <c r="A6" s="18">
        <v>3</v>
      </c>
      <c r="B6" s="18" t="s">
        <v>583</v>
      </c>
      <c r="C6" s="16" t="s">
        <v>578</v>
      </c>
      <c r="D6" s="16" t="s">
        <v>584</v>
      </c>
      <c r="E6" s="18" t="s">
        <v>580</v>
      </c>
    </row>
    <row r="7" spans="1:5" x14ac:dyDescent="0.25">
      <c r="A7" s="18">
        <v>4</v>
      </c>
      <c r="B7" s="18" t="s">
        <v>585</v>
      </c>
      <c r="C7" s="16"/>
      <c r="D7" s="16"/>
      <c r="E7" s="18"/>
    </row>
    <row r="8" spans="1:5" x14ac:dyDescent="0.25">
      <c r="A8" s="18"/>
      <c r="B8" s="18"/>
      <c r="C8" s="16"/>
      <c r="D8" s="16"/>
      <c r="E8" s="18"/>
    </row>
    <row r="9" spans="1:5" x14ac:dyDescent="0.25">
      <c r="A9" s="18"/>
      <c r="B9" s="18"/>
      <c r="C9" s="16"/>
      <c r="D9" s="16"/>
      <c r="E9" s="18"/>
    </row>
    <row r="10" spans="1:5" x14ac:dyDescent="0.25">
      <c r="A10" s="18" t="s">
        <v>586</v>
      </c>
      <c r="B10" s="18"/>
      <c r="C10" s="16"/>
      <c r="D10" s="16"/>
      <c r="E10" s="18"/>
    </row>
    <row r="11" spans="1:5" x14ac:dyDescent="0.25">
      <c r="A11" s="18">
        <v>1</v>
      </c>
      <c r="B11" s="18"/>
      <c r="C11" s="16" t="s">
        <v>587</v>
      </c>
      <c r="D11" s="16" t="s">
        <v>588</v>
      </c>
      <c r="E11" s="18"/>
    </row>
    <row r="12" spans="1:5" x14ac:dyDescent="0.25">
      <c r="A12" s="18">
        <v>2</v>
      </c>
      <c r="B12" s="18"/>
      <c r="C12" s="16" t="s">
        <v>587</v>
      </c>
      <c r="D12" s="16" t="s">
        <v>588</v>
      </c>
      <c r="E12" s="18"/>
    </row>
    <row r="13" spans="1:5" x14ac:dyDescent="0.25">
      <c r="A13" s="18">
        <v>3</v>
      </c>
      <c r="B13" s="18"/>
      <c r="C13" s="16" t="s">
        <v>589</v>
      </c>
      <c r="D13" s="16" t="s">
        <v>590</v>
      </c>
      <c r="E13" s="18" t="s">
        <v>591</v>
      </c>
    </row>
    <row r="14" spans="1:5" x14ac:dyDescent="0.25">
      <c r="A14" s="18">
        <v>4</v>
      </c>
      <c r="B14" s="18"/>
      <c r="C14" s="16" t="s">
        <v>589</v>
      </c>
      <c r="D14" s="16" t="s">
        <v>592</v>
      </c>
      <c r="E14" s="18" t="s">
        <v>591</v>
      </c>
    </row>
    <row r="15" spans="1:5" x14ac:dyDescent="0.25">
      <c r="A15" s="18">
        <v>5</v>
      </c>
      <c r="B15" s="18"/>
      <c r="C15" s="16" t="s">
        <v>593</v>
      </c>
      <c r="D15" s="16" t="s">
        <v>594</v>
      </c>
      <c r="E15" s="18"/>
    </row>
    <row r="16" spans="1:5" x14ac:dyDescent="0.25">
      <c r="A16" s="18">
        <v>6</v>
      </c>
      <c r="B16" s="18"/>
      <c r="C16" s="16" t="s">
        <v>593</v>
      </c>
      <c r="D16" s="16" t="s">
        <v>594</v>
      </c>
      <c r="E16" s="18"/>
    </row>
    <row r="17" spans="1:5" x14ac:dyDescent="0.25">
      <c r="A17" s="18">
        <v>7</v>
      </c>
      <c r="B17" s="18"/>
      <c r="C17" s="16"/>
      <c r="D17" s="17" t="s">
        <v>595</v>
      </c>
      <c r="E17" s="18"/>
    </row>
    <row r="18" spans="1:5" x14ac:dyDescent="0.25">
      <c r="A18" s="18">
        <v>8</v>
      </c>
      <c r="B18" s="18"/>
      <c r="C18" s="16"/>
      <c r="D18" s="17" t="s">
        <v>596</v>
      </c>
      <c r="E18" s="18"/>
    </row>
    <row r="19" spans="1:5" x14ac:dyDescent="0.25">
      <c r="A19" s="18">
        <v>9</v>
      </c>
      <c r="B19" s="18"/>
      <c r="C19" s="16" t="s">
        <v>589</v>
      </c>
      <c r="D19" s="16" t="s">
        <v>597</v>
      </c>
      <c r="E19" s="18" t="s">
        <v>591</v>
      </c>
    </row>
    <row r="20" spans="1:5" x14ac:dyDescent="0.25">
      <c r="A20" s="18">
        <v>10</v>
      </c>
      <c r="B20" s="18"/>
      <c r="C20" s="16" t="s">
        <v>589</v>
      </c>
      <c r="D20" s="16" t="s">
        <v>598</v>
      </c>
      <c r="E20" s="18" t="s">
        <v>591</v>
      </c>
    </row>
    <row r="21" spans="1:5" x14ac:dyDescent="0.25">
      <c r="A21" s="18"/>
      <c r="B21" s="18"/>
      <c r="C21" s="16"/>
      <c r="D21" s="16"/>
      <c r="E21" s="18"/>
    </row>
    <row r="22" spans="1:5" x14ac:dyDescent="0.25">
      <c r="A22" s="18" t="s">
        <v>573</v>
      </c>
      <c r="B22" s="18" t="s">
        <v>599</v>
      </c>
      <c r="C22" s="16" t="s">
        <v>574</v>
      </c>
      <c r="D22" s="16"/>
      <c r="E22" s="18"/>
    </row>
    <row r="23" spans="1:5" x14ac:dyDescent="0.25">
      <c r="A23" s="18">
        <v>1</v>
      </c>
      <c r="B23" s="18" t="s">
        <v>577</v>
      </c>
      <c r="C23" s="16" t="s">
        <v>578</v>
      </c>
      <c r="D23" s="16" t="s">
        <v>600</v>
      </c>
      <c r="E23" s="18" t="s">
        <v>580</v>
      </c>
    </row>
    <row r="24" spans="1:5" x14ac:dyDescent="0.25">
      <c r="A24" s="18">
        <v>2</v>
      </c>
      <c r="B24" s="18" t="s">
        <v>581</v>
      </c>
      <c r="C24" s="16" t="s">
        <v>578</v>
      </c>
      <c r="D24" s="16" t="s">
        <v>600</v>
      </c>
      <c r="E24" s="18" t="s">
        <v>580</v>
      </c>
    </row>
    <row r="25" spans="1:5" x14ac:dyDescent="0.25">
      <c r="A25" s="18">
        <v>3</v>
      </c>
      <c r="B25" s="18" t="s">
        <v>583</v>
      </c>
      <c r="C25" s="16" t="s">
        <v>578</v>
      </c>
      <c r="D25" s="16" t="s">
        <v>600</v>
      </c>
      <c r="E25" s="18" t="s">
        <v>580</v>
      </c>
    </row>
    <row r="26" spans="1:5" x14ac:dyDescent="0.25">
      <c r="A26" s="18">
        <v>4</v>
      </c>
      <c r="B26" s="18" t="s">
        <v>585</v>
      </c>
      <c r="C26" s="16"/>
      <c r="D26" s="16"/>
      <c r="E26" s="18"/>
    </row>
    <row r="27" spans="1:5" x14ac:dyDescent="0.25">
      <c r="A27" s="18"/>
      <c r="B27" s="18"/>
      <c r="C27" s="16"/>
      <c r="D27" s="16"/>
      <c r="E27" s="18"/>
    </row>
    <row r="28" spans="1:5" x14ac:dyDescent="0.25">
      <c r="A28" s="18"/>
      <c r="B28" s="18"/>
      <c r="C28" s="16"/>
      <c r="D28" s="16"/>
      <c r="E28" s="18"/>
    </row>
    <row r="29" spans="1:5" x14ac:dyDescent="0.25">
      <c r="A29" s="18"/>
      <c r="B29" s="18"/>
      <c r="C29" s="16"/>
      <c r="D29" s="16"/>
      <c r="E29" s="18"/>
    </row>
    <row r="30" spans="1:5" x14ac:dyDescent="0.25">
      <c r="A30" s="18" t="s">
        <v>601</v>
      </c>
      <c r="C30" s="16"/>
      <c r="D30" s="16"/>
      <c r="E30" s="18" t="s">
        <v>602</v>
      </c>
    </row>
  </sheetData>
  <hyperlinks>
    <hyperlink ref="E4" r:id="rId1" xr:uid="{1A90E6DD-D470-4289-98F4-EB75321AFF8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A9B0-1F64-43EA-B8A8-B58E6C73D378}">
  <sheetPr>
    <tabColor rgb="FFFF0000"/>
  </sheetPr>
  <dimension ref="A1:D17"/>
  <sheetViews>
    <sheetView workbookViewId="0">
      <selection activeCell="A11" sqref="A11"/>
    </sheetView>
  </sheetViews>
  <sheetFormatPr defaultRowHeight="15" x14ac:dyDescent="0.25"/>
  <cols>
    <col min="1" max="1" width="83.140625" customWidth="1"/>
    <col min="2" max="2" width="11.42578125" customWidth="1"/>
    <col min="3" max="3" width="35.5703125" customWidth="1"/>
    <col min="4" max="4" width="70.85546875" customWidth="1"/>
  </cols>
  <sheetData>
    <row r="1" spans="1:4" ht="15.75" x14ac:dyDescent="0.25">
      <c r="A1" s="10" t="s">
        <v>603</v>
      </c>
      <c r="B1" t="s">
        <v>604</v>
      </c>
      <c r="C1" t="s">
        <v>605</v>
      </c>
      <c r="D1" t="s">
        <v>606</v>
      </c>
    </row>
    <row r="2" spans="1:4" ht="20.25" customHeight="1" x14ac:dyDescent="0.25">
      <c r="A2" s="9" t="s">
        <v>607</v>
      </c>
      <c r="B2" t="s">
        <v>608</v>
      </c>
      <c r="C2" s="9" t="s">
        <v>609</v>
      </c>
      <c r="D2" s="14" t="s">
        <v>610</v>
      </c>
    </row>
    <row r="3" spans="1:4" x14ac:dyDescent="0.25">
      <c r="A3" t="s">
        <v>611</v>
      </c>
      <c r="B3" t="s">
        <v>612</v>
      </c>
      <c r="C3" s="13" t="s">
        <v>613</v>
      </c>
    </row>
    <row r="4" spans="1:4" x14ac:dyDescent="0.25">
      <c r="A4" t="s">
        <v>614</v>
      </c>
      <c r="B4" t="s">
        <v>612</v>
      </c>
      <c r="C4" s="13" t="s">
        <v>613</v>
      </c>
    </row>
    <row r="5" spans="1:4" x14ac:dyDescent="0.25">
      <c r="A5" t="s">
        <v>615</v>
      </c>
      <c r="B5" t="s">
        <v>616</v>
      </c>
      <c r="C5" s="15" t="s">
        <v>617</v>
      </c>
      <c r="D5" t="s">
        <v>618</v>
      </c>
    </row>
    <row r="6" spans="1:4" x14ac:dyDescent="0.25">
      <c r="A6" t="s">
        <v>619</v>
      </c>
      <c r="B6" t="s">
        <v>620</v>
      </c>
      <c r="C6" s="9" t="s">
        <v>621</v>
      </c>
    </row>
    <row r="7" spans="1:4" x14ac:dyDescent="0.25">
      <c r="A7" t="s">
        <v>622</v>
      </c>
      <c r="B7" t="s">
        <v>623</v>
      </c>
      <c r="C7" s="12" t="s">
        <v>624</v>
      </c>
    </row>
    <row r="8" spans="1:4" ht="14.25" customHeight="1" x14ac:dyDescent="0.25">
      <c r="A8" t="s">
        <v>625</v>
      </c>
      <c r="B8" t="s">
        <v>620</v>
      </c>
      <c r="C8" s="9" t="s">
        <v>626</v>
      </c>
    </row>
    <row r="9" spans="1:4" x14ac:dyDescent="0.25">
      <c r="A9" t="s">
        <v>627</v>
      </c>
    </row>
    <row r="10" spans="1:4" x14ac:dyDescent="0.25">
      <c r="A10" s="12" t="s">
        <v>628</v>
      </c>
      <c r="B10" s="12" t="s">
        <v>612</v>
      </c>
      <c r="C10" s="12" t="s">
        <v>624</v>
      </c>
    </row>
    <row r="11" spans="1:4" x14ac:dyDescent="0.25">
      <c r="A11" t="s">
        <v>629</v>
      </c>
      <c r="C11" s="12" t="s">
        <v>624</v>
      </c>
    </row>
    <row r="12" spans="1:4" x14ac:dyDescent="0.25">
      <c r="A12" s="12" t="s">
        <v>630</v>
      </c>
      <c r="B12" s="12" t="s">
        <v>620</v>
      </c>
      <c r="C12" s="12" t="s">
        <v>631</v>
      </c>
    </row>
    <row r="13" spans="1:4" x14ac:dyDescent="0.25">
      <c r="A13" t="s">
        <v>632</v>
      </c>
      <c r="B13" t="s">
        <v>616</v>
      </c>
    </row>
    <row r="14" spans="1:4" x14ac:dyDescent="0.25">
      <c r="A14" s="12" t="s">
        <v>633</v>
      </c>
      <c r="B14" s="12" t="s">
        <v>616</v>
      </c>
      <c r="C14" s="12" t="s">
        <v>624</v>
      </c>
    </row>
    <row r="15" spans="1:4" x14ac:dyDescent="0.25">
      <c r="A15" s="11" t="s">
        <v>634</v>
      </c>
      <c r="B15" t="s">
        <v>635</v>
      </c>
      <c r="C15" s="12" t="s">
        <v>624</v>
      </c>
    </row>
    <row r="16" spans="1:4" x14ac:dyDescent="0.25">
      <c r="A16" t="s">
        <v>636</v>
      </c>
    </row>
    <row r="17" spans="1:2" x14ac:dyDescent="0.25">
      <c r="A17" s="11" t="s">
        <v>637</v>
      </c>
      <c r="B17" t="s">
        <v>612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1214-FEDF-4959-B6B1-8C60CA48A0FC}">
  <dimension ref="A1:E20"/>
  <sheetViews>
    <sheetView topLeftCell="A4" workbookViewId="0"/>
  </sheetViews>
  <sheetFormatPr defaultRowHeight="15" x14ac:dyDescent="0.25"/>
  <cols>
    <col min="1" max="1" width="42.7109375" customWidth="1"/>
    <col min="2" max="2" width="20.42578125" customWidth="1"/>
    <col min="3" max="3" width="19.140625" customWidth="1"/>
    <col min="4" max="4" width="19.42578125" customWidth="1"/>
    <col min="5" max="5" width="34.42578125" customWidth="1"/>
  </cols>
  <sheetData>
    <row r="1" spans="1:5" x14ac:dyDescent="0.25">
      <c r="A1" s="7" t="s">
        <v>270</v>
      </c>
      <c r="B1" s="7" t="s">
        <v>638</v>
      </c>
      <c r="C1" s="7" t="s">
        <v>1</v>
      </c>
      <c r="D1" s="7" t="s">
        <v>639</v>
      </c>
      <c r="E1" s="7" t="s">
        <v>640</v>
      </c>
    </row>
    <row r="2" spans="1:5" x14ac:dyDescent="0.25">
      <c r="A2" s="161" t="s">
        <v>641</v>
      </c>
      <c r="B2" s="161"/>
      <c r="C2" s="161"/>
      <c r="D2" s="162"/>
      <c r="E2" s="8"/>
    </row>
    <row r="3" spans="1:5" x14ac:dyDescent="0.25">
      <c r="A3" s="161" t="s">
        <v>642</v>
      </c>
    </row>
    <row r="4" spans="1:5" x14ac:dyDescent="0.25">
      <c r="A4" s="161" t="s">
        <v>643</v>
      </c>
    </row>
    <row r="5" spans="1:5" x14ac:dyDescent="0.25">
      <c r="A5" s="161" t="s">
        <v>644</v>
      </c>
    </row>
    <row r="6" spans="1:5" x14ac:dyDescent="0.25">
      <c r="A6" s="161" t="s">
        <v>641</v>
      </c>
    </row>
    <row r="7" spans="1:5" x14ac:dyDescent="0.25">
      <c r="A7" s="161" t="s">
        <v>642</v>
      </c>
    </row>
    <row r="8" spans="1:5" x14ac:dyDescent="0.25">
      <c r="A8" s="161" t="s">
        <v>645</v>
      </c>
    </row>
    <row r="9" spans="1:5" x14ac:dyDescent="0.25">
      <c r="A9" t="s">
        <v>646</v>
      </c>
      <c r="C9" t="s">
        <v>647</v>
      </c>
    </row>
    <row r="10" spans="1:5" x14ac:dyDescent="0.25">
      <c r="A10" t="s">
        <v>648</v>
      </c>
    </row>
    <row r="12" spans="1:5" x14ac:dyDescent="0.25">
      <c r="A12" t="s">
        <v>649</v>
      </c>
    </row>
    <row r="13" spans="1:5" x14ac:dyDescent="0.25">
      <c r="A13" t="s">
        <v>650</v>
      </c>
    </row>
    <row r="14" spans="1:5" x14ac:dyDescent="0.25">
      <c r="A14" t="s">
        <v>651</v>
      </c>
    </row>
    <row r="15" spans="1:5" x14ac:dyDescent="0.25">
      <c r="A15" t="s">
        <v>652</v>
      </c>
    </row>
    <row r="16" spans="1:5" x14ac:dyDescent="0.25">
      <c r="A16" t="s">
        <v>653</v>
      </c>
    </row>
    <row r="17" spans="1:1" x14ac:dyDescent="0.25">
      <c r="A17" t="s">
        <v>654</v>
      </c>
    </row>
    <row r="18" spans="1:1" x14ac:dyDescent="0.25">
      <c r="A18" t="s">
        <v>655</v>
      </c>
    </row>
    <row r="19" spans="1:1" x14ac:dyDescent="0.25">
      <c r="A19" t="s">
        <v>656</v>
      </c>
    </row>
    <row r="20" spans="1:1" ht="14.25" customHeight="1" x14ac:dyDescent="0.25">
      <c r="A20" s="9" t="s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Full BOM List</vt:lpstr>
      <vt:lpstr>V2 Frame BOM</vt:lpstr>
      <vt:lpstr>V2 AB Gantry BOM</vt:lpstr>
      <vt:lpstr>V2 Toolhead BOM</vt:lpstr>
      <vt:lpstr>V2 Z System BOM</vt:lpstr>
      <vt:lpstr>V2 Enclosure BOM</vt:lpstr>
      <vt:lpstr>V2 Drybox BOM</vt:lpstr>
      <vt:lpstr>V2 Liquid Cooling BOM</vt:lpstr>
      <vt:lpstr>V2 Electronics BOM</vt:lpstr>
      <vt:lpstr>Chamber connections</vt:lpstr>
      <vt:lpstr>To Do</vt:lpstr>
      <vt:lpstr>MISC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 Berntsen</dc:creator>
  <cp:keywords/>
  <dc:description/>
  <cp:lastModifiedBy>Roy Berntsen</cp:lastModifiedBy>
  <cp:revision/>
  <cp:lastPrinted>2025-12-31T21:38:55Z</cp:lastPrinted>
  <dcterms:created xsi:type="dcterms:W3CDTF">2021-11-13T13:18:32Z</dcterms:created>
  <dcterms:modified xsi:type="dcterms:W3CDTF">2025-12-31T21:39:11Z</dcterms:modified>
  <cp:category/>
  <cp:contentStatus/>
</cp:coreProperties>
</file>