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V2 Shared Files/"/>
    </mc:Choice>
  </mc:AlternateContent>
  <xr:revisionPtr revIDLastSave="25" documentId="11_F262C48CD117A2E367E07EA47749751BBD46B080" xr6:coauthVersionLast="47" xr6:coauthVersionMax="47" xr10:uidLastSave="{1FB881C5-E333-4925-A7DC-751150462292}"/>
  <bookViews>
    <workbookView xWindow="28680" yWindow="-45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6" i="1"/>
  <c r="F6" i="1" s="1"/>
  <c r="G6" i="1" s="1"/>
  <c r="E5" i="1"/>
  <c r="F5" i="1" s="1"/>
  <c r="E4" i="1"/>
  <c r="F4" i="1" s="1"/>
  <c r="H7" i="1" l="1"/>
  <c r="I7" i="1"/>
  <c r="G7" i="1"/>
  <c r="I6" i="1"/>
  <c r="H6" i="1"/>
  <c r="G5" i="1" l="1"/>
  <c r="H5" i="1"/>
  <c r="I5" i="1"/>
  <c r="D11" i="1"/>
  <c r="E11" i="1" s="1"/>
  <c r="G11" i="1" l="1"/>
  <c r="F11" i="1"/>
  <c r="J11" i="1"/>
  <c r="I11" i="1"/>
  <c r="H11" i="1"/>
  <c r="D12" i="1"/>
  <c r="E12" i="1" s="1"/>
  <c r="I4" i="1" l="1"/>
  <c r="G4" i="1"/>
  <c r="H4" i="1"/>
  <c r="F12" i="1"/>
  <c r="J12" i="1"/>
  <c r="I12" i="1"/>
  <c r="H12" i="1"/>
  <c r="G12" i="1"/>
</calcChain>
</file>

<file path=xl/sharedStrings.xml><?xml version="1.0" encoding="utf-8"?>
<sst xmlns="http://schemas.openxmlformats.org/spreadsheetml/2006/main" count="20" uniqueCount="17">
  <si>
    <t>distance</t>
  </si>
  <si>
    <t>ratio</t>
  </si>
  <si>
    <t>Pully 2</t>
  </si>
  <si>
    <t>Pully 1</t>
  </si>
  <si>
    <t>mm per step</t>
  </si>
  <si>
    <t>Pully teeth</t>
  </si>
  <si>
    <t>stepper motor steps</t>
  </si>
  <si>
    <t>16 micro stepps</t>
  </si>
  <si>
    <t xml:space="preserve">32 micro steps </t>
  </si>
  <si>
    <t>8 micro  stepps</t>
  </si>
  <si>
    <t>2 micro  stepps</t>
  </si>
  <si>
    <t>4 micro  stepps</t>
  </si>
  <si>
    <t>8 micro stepps</t>
  </si>
  <si>
    <t>Pitch</t>
  </si>
  <si>
    <t>Pully 3 Tooth</t>
  </si>
  <si>
    <t xml:space="preserve">AB 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</si>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</sst>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13</xdr:row>
      <xdr:rowOff>104775</xdr:rowOff>
    </xdr:from>
    <xdr:to>
      <xdr:col>3</xdr:col>
      <xdr:colOff>409575</xdr:colOff>
      <xdr:row>22</xdr:row>
      <xdr:rowOff>102725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81275"/>
          <a:ext cx="2886075" cy="171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2"/>
  <sheetViews>
    <sheetView tabSelected="1" workbookViewId="0"/>
  </sheetViews>
  <sheetFormatPr defaultRowHeight="15" x14ac:dyDescent="0.25"/>
  <cols>
    <col min="1" max="1" width="2.140625" customWidth="1"/>
    <col min="2" max="2" width="19.140625" style="1" bestFit="1" customWidth="1"/>
    <col min="3" max="3" width="19.140625" style="1" customWidth="1"/>
    <col min="4" max="4" width="13.7109375" bestFit="1" customWidth="1"/>
    <col min="5" max="5" width="16.42578125" bestFit="1" customWidth="1"/>
    <col min="6" max="7" width="14.28515625" bestFit="1" customWidth="1"/>
    <col min="8" max="9" width="14.85546875" bestFit="1" customWidth="1"/>
    <col min="10" max="10" width="14.28515625" bestFit="1" customWidth="1"/>
    <col min="11" max="11" width="14.85546875" bestFit="1" customWidth="1"/>
    <col min="12" max="12" width="14.140625" style="1" bestFit="1" customWidth="1"/>
  </cols>
  <sheetData>
    <row r="3" spans="2:12" x14ac:dyDescent="0.25">
      <c r="B3" s="3" t="s">
        <v>6</v>
      </c>
      <c r="C3" s="3" t="s">
        <v>13</v>
      </c>
      <c r="D3" s="3" t="s">
        <v>5</v>
      </c>
      <c r="E3" s="3" t="s">
        <v>0</v>
      </c>
      <c r="F3" s="3" t="s">
        <v>4</v>
      </c>
      <c r="G3" s="3" t="s">
        <v>12</v>
      </c>
      <c r="H3" s="3" t="s">
        <v>7</v>
      </c>
      <c r="I3" s="3" t="s">
        <v>8</v>
      </c>
      <c r="K3" s="1"/>
      <c r="L3"/>
    </row>
    <row r="4" spans="2:12" x14ac:dyDescent="0.25">
      <c r="B4" s="4">
        <v>200</v>
      </c>
      <c r="C4" s="4">
        <v>2</v>
      </c>
      <c r="D4" s="4">
        <v>16</v>
      </c>
      <c r="E4" s="4">
        <f t="shared" ref="E4:E7" si="0">SUM(C4*D4)</f>
        <v>32</v>
      </c>
      <c r="F4" s="4">
        <f t="shared" ref="F4:F7" si="1">SUM(E4/B4)</f>
        <v>0.16</v>
      </c>
      <c r="G4" s="4">
        <f t="shared" ref="G4:G6" si="2">F4/8</f>
        <v>0.02</v>
      </c>
      <c r="H4" s="4">
        <f t="shared" ref="H4:H5" si="3">F4/16</f>
        <v>0.01</v>
      </c>
      <c r="I4" s="4">
        <f t="shared" ref="I4:I5" si="4">F4/32</f>
        <v>5.0000000000000001E-3</v>
      </c>
      <c r="K4" s="1"/>
      <c r="L4"/>
    </row>
    <row r="5" spans="2:12" x14ac:dyDescent="0.25">
      <c r="B5" s="2">
        <v>200</v>
      </c>
      <c r="C5" s="2">
        <v>2</v>
      </c>
      <c r="D5" s="2">
        <v>20</v>
      </c>
      <c r="E5" s="2">
        <f t="shared" si="0"/>
        <v>40</v>
      </c>
      <c r="F5" s="2">
        <f t="shared" si="1"/>
        <v>0.2</v>
      </c>
      <c r="G5" s="2">
        <f t="shared" si="2"/>
        <v>2.5000000000000001E-2</v>
      </c>
      <c r="H5" s="2">
        <f t="shared" si="3"/>
        <v>1.2500000000000001E-2</v>
      </c>
      <c r="I5" s="2">
        <f t="shared" si="4"/>
        <v>6.2500000000000003E-3</v>
      </c>
      <c r="K5" s="1"/>
      <c r="L5"/>
    </row>
    <row r="6" spans="2:12" x14ac:dyDescent="0.25">
      <c r="B6" s="7">
        <v>200</v>
      </c>
      <c r="C6" s="7">
        <v>1.5</v>
      </c>
      <c r="D6" s="7">
        <v>26</v>
      </c>
      <c r="E6" s="7">
        <f t="shared" si="0"/>
        <v>39</v>
      </c>
      <c r="F6" s="7">
        <f t="shared" si="1"/>
        <v>0.19500000000000001</v>
      </c>
      <c r="G6" s="7">
        <f t="shared" si="2"/>
        <v>2.4375000000000001E-2</v>
      </c>
      <c r="H6" s="7">
        <f>F6/16</f>
        <v>1.21875E-2</v>
      </c>
      <c r="I6" s="7">
        <f>F6/32</f>
        <v>6.0937500000000002E-3</v>
      </c>
      <c r="J6" s="1" t="s">
        <v>15</v>
      </c>
      <c r="K6" s="1"/>
      <c r="L6"/>
    </row>
    <row r="7" spans="2:12" x14ac:dyDescent="0.25">
      <c r="B7" s="5">
        <v>200</v>
      </c>
      <c r="C7" s="5">
        <v>1.5</v>
      </c>
      <c r="D7" s="5">
        <v>24</v>
      </c>
      <c r="E7" s="5">
        <f t="shared" si="0"/>
        <v>36</v>
      </c>
      <c r="F7" s="5">
        <f t="shared" si="1"/>
        <v>0.18</v>
      </c>
      <c r="G7" s="5">
        <f t="shared" ref="G7" si="5">F7/8</f>
        <v>2.2499999999999999E-2</v>
      </c>
      <c r="H7" s="5">
        <f>F7/16</f>
        <v>1.125E-2</v>
      </c>
      <c r="I7" s="5">
        <f>F7/32</f>
        <v>5.6249999999999998E-3</v>
      </c>
      <c r="K7" s="1"/>
      <c r="L7"/>
    </row>
    <row r="8" spans="2:12" x14ac:dyDescent="0.25">
      <c r="E8" s="1" t="s">
        <v>14</v>
      </c>
    </row>
    <row r="9" spans="2:12" x14ac:dyDescent="0.25">
      <c r="E9" s="6">
        <v>20</v>
      </c>
      <c r="J9" s="1"/>
    </row>
    <row r="10" spans="2:12" x14ac:dyDescent="0.25">
      <c r="B10" s="3" t="s">
        <v>3</v>
      </c>
      <c r="C10" s="3" t="s">
        <v>2</v>
      </c>
      <c r="D10" s="3" t="s">
        <v>1</v>
      </c>
      <c r="E10" s="3" t="s">
        <v>4</v>
      </c>
      <c r="F10" s="3" t="s">
        <v>10</v>
      </c>
      <c r="G10" s="3" t="s">
        <v>11</v>
      </c>
      <c r="H10" s="3" t="s">
        <v>9</v>
      </c>
      <c r="I10" s="3" t="s">
        <v>7</v>
      </c>
      <c r="J10" s="3" t="s">
        <v>8</v>
      </c>
    </row>
    <row r="11" spans="2:12" x14ac:dyDescent="0.25">
      <c r="B11" s="2">
        <v>20</v>
      </c>
      <c r="C11" s="2">
        <v>80</v>
      </c>
      <c r="D11" s="2">
        <f t="shared" ref="D11" si="6">SUM(B11/C11)</f>
        <v>0.25</v>
      </c>
      <c r="E11" s="2">
        <f>SUM((2*$E$9)/200)*D11</f>
        <v>0.05</v>
      </c>
      <c r="F11" s="2">
        <f t="shared" ref="F11:F12" si="7">E11/2</f>
        <v>2.5000000000000001E-2</v>
      </c>
      <c r="G11" s="2">
        <f t="shared" ref="G11:G12" si="8">E11/4</f>
        <v>1.2500000000000001E-2</v>
      </c>
      <c r="H11" s="2">
        <f t="shared" ref="H11:H12" si="9">E11/8</f>
        <v>6.2500000000000003E-3</v>
      </c>
      <c r="I11" s="2">
        <f t="shared" ref="I11:I12" si="10">E11/16</f>
        <v>3.1250000000000002E-3</v>
      </c>
      <c r="J11" s="2">
        <f t="shared" ref="J11:J12" si="11">E11/32</f>
        <v>1.5625000000000001E-3</v>
      </c>
    </row>
    <row r="12" spans="2:12" x14ac:dyDescent="0.25">
      <c r="B12" s="4">
        <v>16</v>
      </c>
      <c r="C12" s="4">
        <v>80</v>
      </c>
      <c r="D12" s="4">
        <f t="shared" ref="D12" si="12">SUM(B12/C12)</f>
        <v>0.2</v>
      </c>
      <c r="E12" s="4">
        <f>SUM((2*$E$9)/200)*D12</f>
        <v>4.0000000000000008E-2</v>
      </c>
      <c r="F12" s="4">
        <f t="shared" si="7"/>
        <v>2.0000000000000004E-2</v>
      </c>
      <c r="G12" s="4">
        <f t="shared" si="8"/>
        <v>1.0000000000000002E-2</v>
      </c>
      <c r="H12" s="4">
        <f t="shared" si="9"/>
        <v>5.000000000000001E-3</v>
      </c>
      <c r="I12" s="4">
        <f t="shared" si="10"/>
        <v>2.5000000000000005E-3</v>
      </c>
      <c r="J12" s="4">
        <f t="shared" si="11"/>
        <v>1.2500000000000002E-3</v>
      </c>
      <c r="K12" s="1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</dc:creator>
  <cp:lastModifiedBy>Roy Berntsen</cp:lastModifiedBy>
  <dcterms:created xsi:type="dcterms:W3CDTF">2021-09-17T07:08:03Z</dcterms:created>
  <dcterms:modified xsi:type="dcterms:W3CDTF">2026-04-12T07:11:56Z</dcterms:modified>
</cp:coreProperties>
</file>