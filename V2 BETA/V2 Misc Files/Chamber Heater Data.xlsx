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drawings/drawing11.xml" ContentType="application/vnd.openxmlformats-officedocument.drawing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837cd5b4a1a02ac/Document Library/GitHub/Project-Valkyrie/V2 BETA/DOCUMENT LIBRARY/"/>
    </mc:Choice>
  </mc:AlternateContent>
  <xr:revisionPtr revIDLastSave="423" documentId="8_{2D60A7A9-E59B-411A-B8FB-4CFDAA058ADE}" xr6:coauthVersionLast="47" xr6:coauthVersionMax="47" xr10:uidLastSave="{FDDC9307-CACD-49A2-81B6-51C557DD4087}"/>
  <bookViews>
    <workbookView xWindow="-120" yWindow="-120" windowWidth="29040" windowHeight="15720" firstSheet="4" activeTab="13" xr2:uid="{F1B2DFB2-7066-456A-9422-DB88FD1CE09F}"/>
  </bookViews>
  <sheets>
    <sheet name="0524" sheetId="2" r:id="rId1"/>
    <sheet name="0525" sheetId="3" r:id="rId2"/>
    <sheet name="0530" sheetId="7" r:id="rId3"/>
    <sheet name="0606" sheetId="8" r:id="rId4"/>
    <sheet name="0607" sheetId="9" r:id="rId5"/>
    <sheet name="0607-a" sheetId="10" r:id="rId6"/>
    <sheet name="0608-a" sheetId="12" r:id="rId7"/>
    <sheet name="0609-a" sheetId="13" r:id="rId8"/>
    <sheet name="0610-a" sheetId="14" r:id="rId9"/>
    <sheet name="0611-a" sheetId="15" r:id="rId10"/>
    <sheet name="0613" sheetId="16" r:id="rId11"/>
    <sheet name="0703-a" sheetId="17" r:id="rId12"/>
    <sheet name="0719-a" sheetId="18" r:id="rId13"/>
    <sheet name="logtemperature (17)" sheetId="20" r:id="rId14"/>
    <sheet name="0720-bb" sheetId="19" r:id="rId15"/>
  </sheets>
  <definedNames>
    <definedName name="ExternalData_1" localSheetId="0" hidden="1">'0524'!$A$1:$C$166</definedName>
    <definedName name="ExternalData_1" localSheetId="1" hidden="1">'0525'!$A$1:$C$264</definedName>
    <definedName name="ExternalData_1" localSheetId="2" hidden="1">'0530'!$A$1:$C$157</definedName>
    <definedName name="ExternalData_1" localSheetId="3" hidden="1">'0606'!$A$1:$C$43</definedName>
    <definedName name="ExternalData_1" localSheetId="4" hidden="1">'0607'!$A$1:$C$92</definedName>
    <definedName name="ExternalData_1" localSheetId="5" hidden="1">'0607-a'!$A$1:$C$140</definedName>
    <definedName name="ExternalData_1" localSheetId="6" hidden="1">'0608-a'!$A$1:$C$200</definedName>
    <definedName name="ExternalData_1" localSheetId="7" hidden="1">'0609-a'!$A$1:$D$114</definedName>
    <definedName name="ExternalData_1" localSheetId="8" hidden="1">'0610-a'!$A$1:$D$101</definedName>
    <definedName name="ExternalData_1" localSheetId="9" hidden="1">'0611-a'!$A$1:$C$100</definedName>
    <definedName name="ExternalData_1" localSheetId="10" hidden="1">'0613'!$A$1:$C$91</definedName>
    <definedName name="ExternalData_2" localSheetId="11" hidden="1">'0703-a'!$A$1:$C$402</definedName>
    <definedName name="ExternalData_3" localSheetId="12" hidden="1">'0719-a'!$A$1:$C$139</definedName>
    <definedName name="ExternalData_4" localSheetId="14" hidden="1">'0720-bb'!$A$1:$C$153</definedName>
    <definedName name="ExternalData_5" localSheetId="13" hidden="1">'logtemperature (17)'!$A$1:$C$178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14" l="1"/>
  <c r="B3" i="14"/>
  <c r="B4" i="14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B56" i="14"/>
  <c r="B57" i="14"/>
  <c r="B58" i="14"/>
  <c r="B59" i="14"/>
  <c r="B60" i="14"/>
  <c r="B61" i="14"/>
  <c r="B62" i="14"/>
  <c r="B63" i="14"/>
  <c r="B64" i="14"/>
  <c r="B65" i="14"/>
  <c r="B66" i="14"/>
  <c r="B67" i="14"/>
  <c r="B68" i="14"/>
  <c r="B69" i="14"/>
  <c r="B70" i="14"/>
  <c r="B71" i="14"/>
  <c r="B72" i="14"/>
  <c r="B73" i="14"/>
  <c r="B74" i="14"/>
  <c r="B75" i="14"/>
  <c r="B76" i="14"/>
  <c r="B77" i="14"/>
  <c r="B78" i="14"/>
  <c r="B79" i="14"/>
  <c r="B80" i="14"/>
  <c r="B81" i="14"/>
  <c r="B82" i="14"/>
  <c r="B83" i="14"/>
  <c r="B84" i="14"/>
  <c r="B85" i="14"/>
  <c r="B86" i="14"/>
  <c r="B87" i="14"/>
  <c r="B88" i="14"/>
  <c r="B89" i="14"/>
  <c r="B90" i="14"/>
  <c r="B91" i="14"/>
  <c r="B92" i="14"/>
  <c r="B93" i="14"/>
  <c r="B94" i="14"/>
  <c r="B95" i="14"/>
  <c r="B96" i="14"/>
  <c r="B97" i="14"/>
  <c r="B98" i="14"/>
  <c r="B99" i="14"/>
  <c r="B100" i="14"/>
  <c r="B101" i="14"/>
  <c r="B2" i="13"/>
  <c r="B3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65" i="13"/>
  <c r="B66" i="13"/>
  <c r="B67" i="13"/>
  <c r="B68" i="13"/>
  <c r="B69" i="13"/>
  <c r="B70" i="13"/>
  <c r="B71" i="13"/>
  <c r="B72" i="13"/>
  <c r="B73" i="13"/>
  <c r="B74" i="13"/>
  <c r="B75" i="13"/>
  <c r="B76" i="13"/>
  <c r="B77" i="13"/>
  <c r="B78" i="13"/>
  <c r="B79" i="13"/>
  <c r="B80" i="13"/>
  <c r="B81" i="13"/>
  <c r="B82" i="13"/>
  <c r="B83" i="13"/>
  <c r="B84" i="13"/>
  <c r="B85" i="13"/>
  <c r="B86" i="13"/>
  <c r="B87" i="13"/>
  <c r="B88" i="13"/>
  <c r="B89" i="13"/>
  <c r="B90" i="13"/>
  <c r="B91" i="13"/>
  <c r="B92" i="13"/>
  <c r="B93" i="13"/>
  <c r="B94" i="13"/>
  <c r="B95" i="13"/>
  <c r="B96" i="13"/>
  <c r="B97" i="13"/>
  <c r="B98" i="13"/>
  <c r="B99" i="13"/>
  <c r="B100" i="13"/>
  <c r="B101" i="13"/>
  <c r="B102" i="13"/>
  <c r="B103" i="13"/>
  <c r="B104" i="13"/>
  <c r="B105" i="13"/>
  <c r="B106" i="13"/>
  <c r="B107" i="13"/>
  <c r="B108" i="13"/>
  <c r="B109" i="13"/>
  <c r="B110" i="13"/>
  <c r="B111" i="13"/>
  <c r="B112" i="13"/>
  <c r="B113" i="13"/>
  <c r="B114" i="13"/>
  <c r="B105" i="12"/>
  <c r="B75" i="12"/>
  <c r="B2" i="12" l="1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  <c r="B90" i="12"/>
  <c r="B91" i="12"/>
  <c r="B92" i="12"/>
  <c r="B93" i="12"/>
  <c r="B94" i="12"/>
  <c r="B95" i="12"/>
  <c r="B96" i="12"/>
  <c r="B97" i="12"/>
  <c r="B98" i="12"/>
  <c r="B99" i="12"/>
  <c r="B100" i="12"/>
  <c r="B101" i="12"/>
  <c r="B102" i="12"/>
  <c r="B103" i="12"/>
  <c r="B104" i="12"/>
  <c r="B106" i="12"/>
  <c r="B107" i="12"/>
  <c r="B108" i="12"/>
  <c r="B109" i="12"/>
  <c r="B110" i="12"/>
  <c r="B111" i="12"/>
  <c r="B112" i="12"/>
  <c r="B113" i="12"/>
  <c r="B114" i="12"/>
  <c r="B115" i="12"/>
  <c r="B116" i="12"/>
  <c r="B117" i="12"/>
  <c r="B118" i="12"/>
  <c r="B119" i="12"/>
  <c r="B120" i="12"/>
  <c r="B121" i="12"/>
  <c r="B122" i="12"/>
  <c r="B123" i="12"/>
  <c r="B124" i="12"/>
  <c r="B125" i="12"/>
  <c r="B126" i="12"/>
  <c r="B127" i="12"/>
  <c r="B128" i="12"/>
  <c r="B129" i="12"/>
  <c r="B130" i="12"/>
  <c r="B131" i="12"/>
  <c r="B132" i="12"/>
  <c r="B133" i="12"/>
  <c r="B134" i="12"/>
  <c r="B135" i="12"/>
  <c r="B136" i="12"/>
  <c r="B137" i="12"/>
  <c r="B138" i="12"/>
  <c r="B139" i="12"/>
  <c r="B140" i="12"/>
  <c r="B141" i="12"/>
  <c r="B142" i="12"/>
  <c r="B143" i="12"/>
  <c r="B144" i="12"/>
  <c r="B145" i="12"/>
  <c r="B146" i="12"/>
  <c r="B147" i="12"/>
  <c r="B148" i="12"/>
  <c r="B149" i="12"/>
  <c r="B150" i="12"/>
  <c r="B151" i="12"/>
  <c r="B152" i="12"/>
  <c r="B153" i="12"/>
  <c r="B154" i="12"/>
  <c r="B155" i="12"/>
  <c r="B156" i="12"/>
  <c r="B157" i="12"/>
  <c r="B158" i="12"/>
  <c r="B159" i="12"/>
  <c r="B160" i="12"/>
  <c r="B161" i="12"/>
  <c r="B162" i="12"/>
  <c r="B163" i="12"/>
  <c r="B164" i="12"/>
  <c r="B165" i="12"/>
  <c r="B166" i="12"/>
  <c r="B167" i="12"/>
  <c r="B168" i="12"/>
  <c r="B169" i="12"/>
  <c r="B170" i="12"/>
  <c r="B171" i="12"/>
  <c r="B172" i="12"/>
  <c r="B173" i="12"/>
  <c r="B174" i="12"/>
  <c r="B175" i="12"/>
  <c r="B176" i="12"/>
  <c r="B177" i="12"/>
  <c r="B178" i="12"/>
  <c r="B179" i="12"/>
  <c r="B180" i="12"/>
  <c r="B181" i="12"/>
  <c r="B182" i="12"/>
  <c r="B183" i="12"/>
  <c r="B184" i="12"/>
  <c r="B185" i="12"/>
  <c r="B186" i="12"/>
  <c r="B187" i="12"/>
  <c r="B188" i="12"/>
  <c r="B189" i="12"/>
  <c r="B190" i="12"/>
  <c r="B191" i="12"/>
  <c r="B192" i="12"/>
  <c r="B193" i="12"/>
  <c r="B194" i="12"/>
  <c r="B195" i="12"/>
  <c r="B196" i="12"/>
  <c r="B197" i="12"/>
  <c r="B198" i="12"/>
  <c r="B199" i="12"/>
  <c r="B200" i="12"/>
  <c r="B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2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2B9609-5027-48B0-A94D-5C23FD2EDD23}" keepAlive="1" name="Query - logtemperature" description="Connection to the 'logtemperature' query in the workbook." type="5" refreshedVersion="8" background="1" saveData="1">
    <dbPr connection="Provider=Microsoft.Mashup.OleDb.1;Data Source=$Workbook$;Location=logtemperature;Extended Properties=&quot;&quot;" command="SELECT * FROM [logtemperature]"/>
  </connection>
  <connection id="2" xr16:uid="{8B1B8DA6-B0FE-4F8A-BD26-AF90DF54F58B}" keepAlive="1" name="Query - logtemperature (10)" description="Connection to the 'logtemperature (10)' query in the workbook." type="5" refreshedVersion="8" background="1" saveData="1">
    <dbPr connection="Provider=Microsoft.Mashup.OleDb.1;Data Source=$Workbook$;Location=&quot;logtemperature (10)&quot;;Extended Properties=&quot;&quot;" command="SELECT * FROM [logtemperature (10)]"/>
  </connection>
  <connection id="3" xr16:uid="{DDAC55D4-003C-428A-8397-B67997AC0090}" keepAlive="1" name="Query - logtemperature (11)" description="Connection to the 'logtemperature (11)' query in the workbook." type="5" refreshedVersion="8" background="1" saveData="1">
    <dbPr connection="Provider=Microsoft.Mashup.OleDb.1;Data Source=$Workbook$;Location=&quot;logtemperature (11)&quot;;Extended Properties=&quot;&quot;" command="SELECT * FROM [logtemperature (11)]"/>
  </connection>
  <connection id="4" xr16:uid="{83CCEE76-77F3-47CC-A1FB-CEBC5088741B}" keepAlive="1" name="Query - logtemperature (12)" description="Connection to the 'logtemperature (12)' query in the workbook." type="5" refreshedVersion="8" background="1" saveData="1">
    <dbPr connection="Provider=Microsoft.Mashup.OleDb.1;Data Source=$Workbook$;Location=&quot;logtemperature (12)&quot;;Extended Properties=&quot;&quot;" command="SELECT * FROM [logtemperature (12)]"/>
  </connection>
  <connection id="5" xr16:uid="{E3329B56-DDE8-48F7-9171-982CA883E0C5}" keepAlive="1" name="Query - logtemperature (13)" description="Connection to the 'logtemperature (13)' query in the workbook." type="5" refreshedVersion="0" background="1" saveData="1">
    <dbPr connection="Provider=Microsoft.Mashup.OleDb.1;Data Source=$Workbook$;Location=&quot;logtemperature (13)&quot;;Extended Properties=&quot;&quot;" command="SELECT * FROM [logtemperature (13)]"/>
  </connection>
  <connection id="6" xr16:uid="{C2838419-545A-4F3B-A2C0-09AAE9109B2A}" keepAlive="1" name="Query - logtemperature (14)" description="Connection to the 'logtemperature (14)' query in the workbook." type="5" refreshedVersion="8" background="1" saveData="1">
    <dbPr connection="Provider=Microsoft.Mashup.OleDb.1;Data Source=$Workbook$;Location=&quot;logtemperature (14)&quot;;Extended Properties=&quot;&quot;" command="SELECT * FROM [logtemperature (14)]"/>
  </connection>
  <connection id="7" xr16:uid="{7E8B4F21-8E15-4C94-9A4D-23008C50E007}" keepAlive="1" name="Query - logtemperature (15)" description="Connection to the 'logtemperature (15)' query in the workbook." type="5" refreshedVersion="8" background="1" saveData="1">
    <dbPr connection="Provider=Microsoft.Mashup.OleDb.1;Data Source=$Workbook$;Location=&quot;logtemperature (15)&quot;;Extended Properties=&quot;&quot;" command="SELECT * FROM [logtemperature (15)]"/>
  </connection>
  <connection id="8" xr16:uid="{58B2CF3E-C171-4513-9364-38F9497F029C}" keepAlive="1" name="Query - logtemperature (16)" description="Connection to the 'logtemperature (16)' query in the workbook." type="5" refreshedVersion="8" background="1" saveData="1">
    <dbPr connection="Provider=Microsoft.Mashup.OleDb.1;Data Source=$Workbook$;Location=&quot;logtemperature (16)&quot;;Extended Properties=&quot;&quot;" command="SELECT * FROM [logtemperature (16)]"/>
  </connection>
  <connection id="9" xr16:uid="{ADEC0A6C-4F22-41D2-9142-76E5BFF45479}" keepAlive="1" name="Query - logtemperature (17)" description="Connection to the 'logtemperature (17)' query in the workbook." type="5" refreshedVersion="8" background="1" saveData="1">
    <dbPr connection="Provider=Microsoft.Mashup.OleDb.1;Data Source=$Workbook$;Location=&quot;logtemperature (17)&quot;;Extended Properties=&quot;&quot;" command="SELECT * FROM [logtemperature (17)]"/>
  </connection>
  <connection id="10" xr16:uid="{BB0E5E00-EAAF-4D8D-BEDB-8BD2C1C12835}" keepAlive="1" name="Query - logtemperature (2)" description="Connection to the 'logtemperature (2)' query in the workbook." type="5" refreshedVersion="8" background="1" saveData="1">
    <dbPr connection="Provider=Microsoft.Mashup.OleDb.1;Data Source=$Workbook$;Location=&quot;logtemperature (2)&quot;;Extended Properties=&quot;&quot;" command="SELECT * FROM [logtemperature (2)]"/>
  </connection>
  <connection id="11" xr16:uid="{E86D3AD5-6A6E-4CCA-A360-10DBFD48757B}" keepAlive="1" name="Query - logtemperature (3)" description="Connection to the 'logtemperature (3)' query in the workbook." type="5" refreshedVersion="0" background="1" saveData="1">
    <dbPr connection="Provider=Microsoft.Mashup.OleDb.1;Data Source=$Workbook$;Location=&quot;logtemperature (3)&quot;;Extended Properties=&quot;&quot;" command="SELECT * FROM [logtemperature (3)]"/>
  </connection>
  <connection id="12" xr16:uid="{88A06019-DDE9-4401-AC2C-24D0747106FB}" keepAlive="1" name="Query - logtemperature (4)" description="Connection to the 'logtemperature (4)' query in the workbook." type="5" refreshedVersion="8" background="1" saveData="1">
    <dbPr connection="Provider=Microsoft.Mashup.OleDb.1;Data Source=$Workbook$;Location=&quot;logtemperature (4)&quot;;Extended Properties=&quot;&quot;" command="SELECT * FROM [logtemperature (4)]"/>
  </connection>
  <connection id="13" xr16:uid="{98F6EC34-4087-45BB-A205-7F4889F702BD}" keepAlive="1" name="Query - logtemperature (5)" description="Connection to the 'logtemperature (5)' query in the workbook." type="5" refreshedVersion="8" background="1" saveData="1">
    <dbPr connection="Provider=Microsoft.Mashup.OleDb.1;Data Source=$Workbook$;Location=&quot;logtemperature (5)&quot;;Extended Properties=&quot;&quot;" command="SELECT * FROM [logtemperature (5)]"/>
  </connection>
  <connection id="14" xr16:uid="{C1DB57FA-DAAE-4EF2-91B4-CB0CFC6933AD}" keepAlive="1" name="Query - logtemperature (6)" description="Connection to the 'logtemperature (6)' query in the workbook." type="5" refreshedVersion="8" background="1" saveData="1">
    <dbPr connection="Provider=Microsoft.Mashup.OleDb.1;Data Source=$Workbook$;Location=&quot;logtemperature (6)&quot;;Extended Properties=&quot;&quot;" command="SELECT * FROM [logtemperature (6)]"/>
  </connection>
  <connection id="15" xr16:uid="{E2386761-43F3-4F45-92A4-108B03318BB4}" keepAlive="1" name="Query - logtemperature (7)" description="Connection to the 'logtemperature (7)' query in the workbook." type="5" refreshedVersion="8" background="1" saveData="1">
    <dbPr connection="Provider=Microsoft.Mashup.OleDb.1;Data Source=$Workbook$;Location=&quot;logtemperature (7)&quot;;Extended Properties=&quot;&quot;" command="SELECT * FROM [logtemperature (7)]"/>
  </connection>
  <connection id="16" xr16:uid="{32B1E661-C77F-461B-BA2D-E0FA0570628E}" keepAlive="1" name="Query - logtemperature (8)" description="Connection to the 'logtemperature (8)' query in the workbook." type="5" refreshedVersion="8" background="1" saveData="1">
    <dbPr connection="Provider=Microsoft.Mashup.OleDb.1;Data Source=$Workbook$;Location=&quot;logtemperature (8)&quot;;Extended Properties=&quot;&quot;" command="SELECT * FROM [logtemperature (8)]"/>
  </connection>
  <connection id="17" xr16:uid="{1DFA8EA8-6343-4848-BAFF-8849084F69FC}" keepAlive="1" name="Query - logtemperature (9)" description="Connection to the 'logtemperature (9)' query in the workbook." type="5" refreshedVersion="8" background="1" saveData="1">
    <dbPr connection="Provider=Microsoft.Mashup.OleDb.1;Data Source=$Workbook$;Location=&quot;logtemperature (9)&quot;;Extended Properties=&quot;&quot;" command="SELECT * FROM [logtemperature (9)]"/>
  </connection>
</connections>
</file>

<file path=xl/sharedStrings.xml><?xml version="1.0" encoding="utf-8"?>
<sst xmlns="http://schemas.openxmlformats.org/spreadsheetml/2006/main" count="47" uniqueCount="13">
  <si>
    <t>Seconds</t>
  </si>
  <si>
    <t>Temperature</t>
  </si>
  <si>
    <t>Minutes</t>
  </si>
  <si>
    <t>Time</t>
  </si>
  <si>
    <t>Column1</t>
  </si>
  <si>
    <t>time</t>
  </si>
  <si>
    <t>temp</t>
  </si>
  <si>
    <t>minutes</t>
  </si>
  <si>
    <t>seconds</t>
  </si>
  <si>
    <t>temp/time</t>
  </si>
  <si>
    <t>T</t>
  </si>
  <si>
    <t>PWM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</si>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</sst>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Temperature/Time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>
        <c:manualLayout>
          <c:layoutTarget val="inner"/>
          <c:xMode val="edge"/>
          <c:yMode val="edge"/>
          <c:x val="0.11847134733158356"/>
          <c:y val="0.17171296296296298"/>
          <c:w val="0.86497462817147852"/>
          <c:h val="0.58176691455234764"/>
        </c:manualLayout>
      </c:layout>
      <c:lineChart>
        <c:grouping val="standard"/>
        <c:varyColors val="0"/>
        <c:ser>
          <c:idx val="1"/>
          <c:order val="0"/>
          <c:tx>
            <c:strRef>
              <c:f>'0524'!$C$1</c:f>
              <c:strCache>
                <c:ptCount val="1"/>
                <c:pt idx="0">
                  <c:v>Temperature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'0524'!$B$2:$B$166</c:f>
              <c:numCache>
                <c:formatCode>0</c:formatCode>
                <c:ptCount val="165"/>
                <c:pt idx="0">
                  <c:v>0.43333333333333002</c:v>
                </c:pt>
                <c:pt idx="1">
                  <c:v>1.43333333333333</c:v>
                </c:pt>
                <c:pt idx="2">
                  <c:v>1.6000000000000014</c:v>
                </c:pt>
                <c:pt idx="3">
                  <c:v>1.7666666666666657</c:v>
                </c:pt>
                <c:pt idx="4">
                  <c:v>1.93333333333333</c:v>
                </c:pt>
                <c:pt idx="5">
                  <c:v>2.1000000000000014</c:v>
                </c:pt>
                <c:pt idx="6">
                  <c:v>2.2666666666666657</c:v>
                </c:pt>
                <c:pt idx="7">
                  <c:v>2.43333333333333</c:v>
                </c:pt>
                <c:pt idx="8">
                  <c:v>2.6000000000000014</c:v>
                </c:pt>
                <c:pt idx="9">
                  <c:v>2.7666666666666657</c:v>
                </c:pt>
                <c:pt idx="10">
                  <c:v>2.93333333333333</c:v>
                </c:pt>
                <c:pt idx="11">
                  <c:v>3.1000000000000014</c:v>
                </c:pt>
                <c:pt idx="12">
                  <c:v>3.2666666666666657</c:v>
                </c:pt>
                <c:pt idx="13">
                  <c:v>3.43333333333333</c:v>
                </c:pt>
                <c:pt idx="14">
                  <c:v>3.6000000000000014</c:v>
                </c:pt>
                <c:pt idx="15">
                  <c:v>3.7666666666666657</c:v>
                </c:pt>
                <c:pt idx="16">
                  <c:v>3.93333333333333</c:v>
                </c:pt>
                <c:pt idx="17">
                  <c:v>4.1000000000000014</c:v>
                </c:pt>
                <c:pt idx="18">
                  <c:v>4.2666666666666657</c:v>
                </c:pt>
                <c:pt idx="19">
                  <c:v>4.43333333333333</c:v>
                </c:pt>
                <c:pt idx="20">
                  <c:v>4.6000000000000014</c:v>
                </c:pt>
                <c:pt idx="21">
                  <c:v>4.7666666666666657</c:v>
                </c:pt>
                <c:pt idx="22">
                  <c:v>4.93333333333333</c:v>
                </c:pt>
                <c:pt idx="23">
                  <c:v>5.1000000000000014</c:v>
                </c:pt>
                <c:pt idx="24">
                  <c:v>5.2666666666666657</c:v>
                </c:pt>
                <c:pt idx="25">
                  <c:v>5.43333333333333</c:v>
                </c:pt>
                <c:pt idx="26">
                  <c:v>5.6000000000000014</c:v>
                </c:pt>
                <c:pt idx="27">
                  <c:v>5.7666666666666657</c:v>
                </c:pt>
                <c:pt idx="28">
                  <c:v>5.93333333333333</c:v>
                </c:pt>
                <c:pt idx="29">
                  <c:v>6.1000000000000014</c:v>
                </c:pt>
                <c:pt idx="30">
                  <c:v>6.2666666666666657</c:v>
                </c:pt>
                <c:pt idx="31">
                  <c:v>6.43333333333333</c:v>
                </c:pt>
                <c:pt idx="32">
                  <c:v>6.6000000000000014</c:v>
                </c:pt>
                <c:pt idx="33">
                  <c:v>6.7666666666666657</c:v>
                </c:pt>
                <c:pt idx="34">
                  <c:v>6.9500000000000028</c:v>
                </c:pt>
                <c:pt idx="35">
                  <c:v>7.1166666666666671</c:v>
                </c:pt>
                <c:pt idx="36">
                  <c:v>7.2833333333333314</c:v>
                </c:pt>
                <c:pt idx="37">
                  <c:v>7.4500000000000028</c:v>
                </c:pt>
                <c:pt idx="38">
                  <c:v>7.6166666666666671</c:v>
                </c:pt>
                <c:pt idx="39">
                  <c:v>7.7833333333333314</c:v>
                </c:pt>
                <c:pt idx="40">
                  <c:v>7.9500000000000028</c:v>
                </c:pt>
                <c:pt idx="41">
                  <c:v>8.1166666666666671</c:v>
                </c:pt>
                <c:pt idx="42">
                  <c:v>8.2833333333333314</c:v>
                </c:pt>
                <c:pt idx="43">
                  <c:v>8.4500000000000028</c:v>
                </c:pt>
                <c:pt idx="44">
                  <c:v>8.6166666666666671</c:v>
                </c:pt>
                <c:pt idx="45">
                  <c:v>8.7833333333333314</c:v>
                </c:pt>
                <c:pt idx="46">
                  <c:v>8.9500000000000028</c:v>
                </c:pt>
                <c:pt idx="47">
                  <c:v>9.1166666666666671</c:v>
                </c:pt>
                <c:pt idx="48">
                  <c:v>9.2833333333333314</c:v>
                </c:pt>
                <c:pt idx="49">
                  <c:v>9.4500000000000028</c:v>
                </c:pt>
                <c:pt idx="50">
                  <c:v>9.6166666666666671</c:v>
                </c:pt>
                <c:pt idx="51">
                  <c:v>9.7833333333333314</c:v>
                </c:pt>
                <c:pt idx="52">
                  <c:v>9.9500000000000028</c:v>
                </c:pt>
                <c:pt idx="53">
                  <c:v>10.116666666666667</c:v>
                </c:pt>
                <c:pt idx="54">
                  <c:v>10.283333333333331</c:v>
                </c:pt>
                <c:pt idx="55">
                  <c:v>10.450000000000003</c:v>
                </c:pt>
                <c:pt idx="56">
                  <c:v>10.616666666666667</c:v>
                </c:pt>
                <c:pt idx="57">
                  <c:v>10.783333333333331</c:v>
                </c:pt>
                <c:pt idx="58">
                  <c:v>10.950000000000003</c:v>
                </c:pt>
                <c:pt idx="59">
                  <c:v>11.116666666666667</c:v>
                </c:pt>
                <c:pt idx="60">
                  <c:v>11.283333333333331</c:v>
                </c:pt>
                <c:pt idx="61">
                  <c:v>11.450000000000003</c:v>
                </c:pt>
                <c:pt idx="62">
                  <c:v>11.616666666666667</c:v>
                </c:pt>
                <c:pt idx="63">
                  <c:v>11.783333333333331</c:v>
                </c:pt>
                <c:pt idx="64">
                  <c:v>11.950000000000003</c:v>
                </c:pt>
                <c:pt idx="65">
                  <c:v>12.116666666666667</c:v>
                </c:pt>
                <c:pt idx="66">
                  <c:v>12.283333333333331</c:v>
                </c:pt>
                <c:pt idx="67">
                  <c:v>12.450000000000003</c:v>
                </c:pt>
                <c:pt idx="68">
                  <c:v>12.616666666666667</c:v>
                </c:pt>
                <c:pt idx="69">
                  <c:v>12.783333333333331</c:v>
                </c:pt>
                <c:pt idx="70">
                  <c:v>12.950000000000003</c:v>
                </c:pt>
                <c:pt idx="71">
                  <c:v>13.116666666666667</c:v>
                </c:pt>
                <c:pt idx="72">
                  <c:v>13.283333333333331</c:v>
                </c:pt>
                <c:pt idx="73">
                  <c:v>13.450000000000003</c:v>
                </c:pt>
                <c:pt idx="74">
                  <c:v>13.616666666666667</c:v>
                </c:pt>
                <c:pt idx="75">
                  <c:v>13.783333333333331</c:v>
                </c:pt>
                <c:pt idx="76">
                  <c:v>13.950000000000003</c:v>
                </c:pt>
                <c:pt idx="77">
                  <c:v>14.116666666666667</c:v>
                </c:pt>
                <c:pt idx="78">
                  <c:v>14.283333333333331</c:v>
                </c:pt>
                <c:pt idx="79">
                  <c:v>14.450000000000003</c:v>
                </c:pt>
                <c:pt idx="80">
                  <c:v>14.616666666666667</c:v>
                </c:pt>
                <c:pt idx="81">
                  <c:v>14.783333333333331</c:v>
                </c:pt>
                <c:pt idx="82">
                  <c:v>14.950000000000003</c:v>
                </c:pt>
                <c:pt idx="83">
                  <c:v>15.133333333333333</c:v>
                </c:pt>
                <c:pt idx="84">
                  <c:v>15.299999999999997</c:v>
                </c:pt>
                <c:pt idx="85">
                  <c:v>15.466666666666669</c:v>
                </c:pt>
                <c:pt idx="86">
                  <c:v>15.633333333333333</c:v>
                </c:pt>
                <c:pt idx="87">
                  <c:v>15.799999999999997</c:v>
                </c:pt>
                <c:pt idx="88">
                  <c:v>15.966666666666669</c:v>
                </c:pt>
                <c:pt idx="89">
                  <c:v>16.133333333333333</c:v>
                </c:pt>
                <c:pt idx="90">
                  <c:v>16.299999999999997</c:v>
                </c:pt>
                <c:pt idx="91">
                  <c:v>16.466666666666669</c:v>
                </c:pt>
                <c:pt idx="92">
                  <c:v>16.633333333333333</c:v>
                </c:pt>
                <c:pt idx="93">
                  <c:v>16.799999999999997</c:v>
                </c:pt>
                <c:pt idx="94">
                  <c:v>16.966666666666669</c:v>
                </c:pt>
                <c:pt idx="95">
                  <c:v>17.133333333333333</c:v>
                </c:pt>
                <c:pt idx="96">
                  <c:v>17.299999999999997</c:v>
                </c:pt>
                <c:pt idx="97">
                  <c:v>17.466666666666669</c:v>
                </c:pt>
                <c:pt idx="98">
                  <c:v>17.633333333333333</c:v>
                </c:pt>
                <c:pt idx="99">
                  <c:v>17.799999999999997</c:v>
                </c:pt>
                <c:pt idx="100">
                  <c:v>17.966666666666669</c:v>
                </c:pt>
                <c:pt idx="101">
                  <c:v>18.13333333333334</c:v>
                </c:pt>
                <c:pt idx="102">
                  <c:v>18.299999999999997</c:v>
                </c:pt>
                <c:pt idx="103">
                  <c:v>18.466666666666669</c:v>
                </c:pt>
                <c:pt idx="104">
                  <c:v>18.63333333333334</c:v>
                </c:pt>
                <c:pt idx="105">
                  <c:v>18.799999999999997</c:v>
                </c:pt>
                <c:pt idx="106">
                  <c:v>18.966666666666669</c:v>
                </c:pt>
                <c:pt idx="107">
                  <c:v>19.13333333333334</c:v>
                </c:pt>
                <c:pt idx="108">
                  <c:v>19.299999999999997</c:v>
                </c:pt>
                <c:pt idx="109">
                  <c:v>19.466666666666669</c:v>
                </c:pt>
                <c:pt idx="110">
                  <c:v>19.63333333333334</c:v>
                </c:pt>
                <c:pt idx="111">
                  <c:v>19.799999999999997</c:v>
                </c:pt>
                <c:pt idx="112">
                  <c:v>19.966666666666669</c:v>
                </c:pt>
                <c:pt idx="113">
                  <c:v>20.13333333333334</c:v>
                </c:pt>
                <c:pt idx="114">
                  <c:v>20.299999999999997</c:v>
                </c:pt>
                <c:pt idx="115">
                  <c:v>20.466666666666669</c:v>
                </c:pt>
                <c:pt idx="116">
                  <c:v>20.63333333333334</c:v>
                </c:pt>
                <c:pt idx="117">
                  <c:v>20.799999999999997</c:v>
                </c:pt>
                <c:pt idx="118">
                  <c:v>20.966666666666669</c:v>
                </c:pt>
                <c:pt idx="119">
                  <c:v>21.13333333333334</c:v>
                </c:pt>
                <c:pt idx="120">
                  <c:v>21.299999999999997</c:v>
                </c:pt>
                <c:pt idx="121">
                  <c:v>21.466666666666669</c:v>
                </c:pt>
                <c:pt idx="122">
                  <c:v>21.63333333333334</c:v>
                </c:pt>
                <c:pt idx="123">
                  <c:v>21.799999999999997</c:v>
                </c:pt>
                <c:pt idx="124">
                  <c:v>21.966666666666669</c:v>
                </c:pt>
                <c:pt idx="125">
                  <c:v>22.13333333333334</c:v>
                </c:pt>
                <c:pt idx="126">
                  <c:v>22.299999999999997</c:v>
                </c:pt>
                <c:pt idx="127">
                  <c:v>22.466666666666669</c:v>
                </c:pt>
                <c:pt idx="128">
                  <c:v>22.63333333333334</c:v>
                </c:pt>
                <c:pt idx="129">
                  <c:v>22.799999999999997</c:v>
                </c:pt>
                <c:pt idx="130">
                  <c:v>22.966666666666669</c:v>
                </c:pt>
                <c:pt idx="131">
                  <c:v>23.13333333333334</c:v>
                </c:pt>
                <c:pt idx="132">
                  <c:v>23.299999999999997</c:v>
                </c:pt>
                <c:pt idx="133">
                  <c:v>23.483333333333334</c:v>
                </c:pt>
                <c:pt idx="134">
                  <c:v>23.650000000000006</c:v>
                </c:pt>
                <c:pt idx="135">
                  <c:v>23.816666666666663</c:v>
                </c:pt>
                <c:pt idx="136">
                  <c:v>23.983333333333334</c:v>
                </c:pt>
                <c:pt idx="137">
                  <c:v>24.150000000000006</c:v>
                </c:pt>
                <c:pt idx="138">
                  <c:v>24.316666666666663</c:v>
                </c:pt>
                <c:pt idx="139">
                  <c:v>24.483333333333334</c:v>
                </c:pt>
                <c:pt idx="140">
                  <c:v>24.650000000000006</c:v>
                </c:pt>
                <c:pt idx="141">
                  <c:v>24.816666666666663</c:v>
                </c:pt>
                <c:pt idx="142">
                  <c:v>24.983333333333334</c:v>
                </c:pt>
                <c:pt idx="143">
                  <c:v>25.150000000000006</c:v>
                </c:pt>
                <c:pt idx="144">
                  <c:v>25.316666666666663</c:v>
                </c:pt>
                <c:pt idx="145">
                  <c:v>25.483333333333334</c:v>
                </c:pt>
                <c:pt idx="146">
                  <c:v>25.650000000000006</c:v>
                </c:pt>
                <c:pt idx="147">
                  <c:v>25.816666666666663</c:v>
                </c:pt>
                <c:pt idx="148">
                  <c:v>25.983333333333334</c:v>
                </c:pt>
                <c:pt idx="149">
                  <c:v>26.150000000000006</c:v>
                </c:pt>
                <c:pt idx="150">
                  <c:v>26.316666666666663</c:v>
                </c:pt>
                <c:pt idx="151">
                  <c:v>26.483333333333334</c:v>
                </c:pt>
                <c:pt idx="152">
                  <c:v>26.650000000000006</c:v>
                </c:pt>
                <c:pt idx="153">
                  <c:v>26.816666666666663</c:v>
                </c:pt>
                <c:pt idx="154">
                  <c:v>26.983333333333334</c:v>
                </c:pt>
                <c:pt idx="155">
                  <c:v>27.150000000000006</c:v>
                </c:pt>
                <c:pt idx="156">
                  <c:v>27.316666666666663</c:v>
                </c:pt>
                <c:pt idx="157">
                  <c:v>27.483333333333334</c:v>
                </c:pt>
                <c:pt idx="158">
                  <c:v>27.650000000000006</c:v>
                </c:pt>
                <c:pt idx="159">
                  <c:v>27.816666666666663</c:v>
                </c:pt>
                <c:pt idx="160">
                  <c:v>27.983333333333334</c:v>
                </c:pt>
                <c:pt idx="161">
                  <c:v>28.150000000000006</c:v>
                </c:pt>
                <c:pt idx="162">
                  <c:v>28.316666666666663</c:v>
                </c:pt>
                <c:pt idx="163">
                  <c:v>28.483333333333334</c:v>
                </c:pt>
                <c:pt idx="164">
                  <c:v>28.650000000000006</c:v>
                </c:pt>
              </c:numCache>
            </c:numRef>
          </c:cat>
          <c:val>
            <c:numRef>
              <c:f>'0524'!$C$2:$C$166</c:f>
              <c:numCache>
                <c:formatCode>General</c:formatCode>
                <c:ptCount val="165"/>
                <c:pt idx="0">
                  <c:v>27.37</c:v>
                </c:pt>
                <c:pt idx="1">
                  <c:v>27.78</c:v>
                </c:pt>
                <c:pt idx="2">
                  <c:v>28.62</c:v>
                </c:pt>
                <c:pt idx="3">
                  <c:v>30.26</c:v>
                </c:pt>
                <c:pt idx="4">
                  <c:v>33.909999999999997</c:v>
                </c:pt>
                <c:pt idx="5">
                  <c:v>37.54</c:v>
                </c:pt>
                <c:pt idx="6">
                  <c:v>40.53</c:v>
                </c:pt>
                <c:pt idx="7">
                  <c:v>42.03</c:v>
                </c:pt>
                <c:pt idx="8">
                  <c:v>46.31</c:v>
                </c:pt>
                <c:pt idx="9">
                  <c:v>47.13</c:v>
                </c:pt>
                <c:pt idx="10">
                  <c:v>48.37</c:v>
                </c:pt>
                <c:pt idx="11">
                  <c:v>49.55</c:v>
                </c:pt>
                <c:pt idx="12">
                  <c:v>50.08</c:v>
                </c:pt>
                <c:pt idx="13">
                  <c:v>51.32</c:v>
                </c:pt>
                <c:pt idx="14">
                  <c:v>54.1</c:v>
                </c:pt>
                <c:pt idx="15">
                  <c:v>54.11</c:v>
                </c:pt>
                <c:pt idx="16">
                  <c:v>56.02</c:v>
                </c:pt>
                <c:pt idx="17">
                  <c:v>56.42</c:v>
                </c:pt>
                <c:pt idx="18">
                  <c:v>55.23</c:v>
                </c:pt>
                <c:pt idx="19">
                  <c:v>56.19</c:v>
                </c:pt>
                <c:pt idx="20">
                  <c:v>57.45</c:v>
                </c:pt>
                <c:pt idx="21">
                  <c:v>57.88</c:v>
                </c:pt>
                <c:pt idx="22">
                  <c:v>55.95</c:v>
                </c:pt>
                <c:pt idx="23">
                  <c:v>58.55</c:v>
                </c:pt>
                <c:pt idx="24">
                  <c:v>60.32</c:v>
                </c:pt>
                <c:pt idx="25">
                  <c:v>60.92</c:v>
                </c:pt>
                <c:pt idx="26">
                  <c:v>59.23</c:v>
                </c:pt>
                <c:pt idx="27">
                  <c:v>60.29</c:v>
                </c:pt>
                <c:pt idx="28">
                  <c:v>60.88</c:v>
                </c:pt>
                <c:pt idx="29">
                  <c:v>60.44</c:v>
                </c:pt>
                <c:pt idx="30">
                  <c:v>62.38</c:v>
                </c:pt>
                <c:pt idx="31">
                  <c:v>64.45</c:v>
                </c:pt>
                <c:pt idx="32">
                  <c:v>63.84</c:v>
                </c:pt>
                <c:pt idx="33">
                  <c:v>65.28</c:v>
                </c:pt>
                <c:pt idx="34">
                  <c:v>64.94</c:v>
                </c:pt>
                <c:pt idx="35">
                  <c:v>66.47</c:v>
                </c:pt>
                <c:pt idx="36">
                  <c:v>66.959999999999994</c:v>
                </c:pt>
                <c:pt idx="37">
                  <c:v>67.319999999999993</c:v>
                </c:pt>
                <c:pt idx="38">
                  <c:v>65.069999999999993</c:v>
                </c:pt>
                <c:pt idx="39">
                  <c:v>65.2</c:v>
                </c:pt>
                <c:pt idx="40">
                  <c:v>66.2</c:v>
                </c:pt>
                <c:pt idx="41">
                  <c:v>65.37</c:v>
                </c:pt>
                <c:pt idx="42">
                  <c:v>67.36</c:v>
                </c:pt>
                <c:pt idx="43">
                  <c:v>68</c:v>
                </c:pt>
                <c:pt idx="44">
                  <c:v>67.489999999999995</c:v>
                </c:pt>
                <c:pt idx="45">
                  <c:v>69.400000000000006</c:v>
                </c:pt>
                <c:pt idx="46">
                  <c:v>71.45</c:v>
                </c:pt>
                <c:pt idx="47">
                  <c:v>70.88</c:v>
                </c:pt>
                <c:pt idx="48">
                  <c:v>71.83</c:v>
                </c:pt>
                <c:pt idx="49">
                  <c:v>71.150000000000006</c:v>
                </c:pt>
                <c:pt idx="50">
                  <c:v>69.709999999999994</c:v>
                </c:pt>
                <c:pt idx="51">
                  <c:v>69.98</c:v>
                </c:pt>
                <c:pt idx="52">
                  <c:v>70.59</c:v>
                </c:pt>
                <c:pt idx="53">
                  <c:v>71.39</c:v>
                </c:pt>
                <c:pt idx="54">
                  <c:v>71.760000000000005</c:v>
                </c:pt>
                <c:pt idx="55">
                  <c:v>72.27</c:v>
                </c:pt>
                <c:pt idx="56">
                  <c:v>71.5</c:v>
                </c:pt>
                <c:pt idx="57">
                  <c:v>69.94</c:v>
                </c:pt>
                <c:pt idx="58">
                  <c:v>70.38</c:v>
                </c:pt>
                <c:pt idx="59">
                  <c:v>71.59</c:v>
                </c:pt>
                <c:pt idx="60">
                  <c:v>70.22</c:v>
                </c:pt>
                <c:pt idx="61">
                  <c:v>72.510000000000005</c:v>
                </c:pt>
                <c:pt idx="62">
                  <c:v>74.33</c:v>
                </c:pt>
                <c:pt idx="63">
                  <c:v>74.73</c:v>
                </c:pt>
                <c:pt idx="64">
                  <c:v>74.23</c:v>
                </c:pt>
                <c:pt idx="65">
                  <c:v>74.56</c:v>
                </c:pt>
                <c:pt idx="66">
                  <c:v>73.489999999999995</c:v>
                </c:pt>
                <c:pt idx="67">
                  <c:v>75.38</c:v>
                </c:pt>
                <c:pt idx="68">
                  <c:v>77.5</c:v>
                </c:pt>
                <c:pt idx="69">
                  <c:v>77.28</c:v>
                </c:pt>
                <c:pt idx="70">
                  <c:v>77.430000000000007</c:v>
                </c:pt>
                <c:pt idx="71">
                  <c:v>76.62</c:v>
                </c:pt>
                <c:pt idx="72">
                  <c:v>77.63</c:v>
                </c:pt>
                <c:pt idx="73">
                  <c:v>76.81</c:v>
                </c:pt>
                <c:pt idx="74">
                  <c:v>77.66</c:v>
                </c:pt>
                <c:pt idx="75">
                  <c:v>78.099999999999994</c:v>
                </c:pt>
                <c:pt idx="76">
                  <c:v>77.319999999999993</c:v>
                </c:pt>
                <c:pt idx="77">
                  <c:v>77.45</c:v>
                </c:pt>
                <c:pt idx="78">
                  <c:v>78.06</c:v>
                </c:pt>
                <c:pt idx="79">
                  <c:v>77.069999999999993</c:v>
                </c:pt>
                <c:pt idx="80">
                  <c:v>78.459999999999994</c:v>
                </c:pt>
                <c:pt idx="81">
                  <c:v>76.63</c:v>
                </c:pt>
                <c:pt idx="82">
                  <c:v>75.33</c:v>
                </c:pt>
                <c:pt idx="83">
                  <c:v>77.349999999999994</c:v>
                </c:pt>
                <c:pt idx="84">
                  <c:v>78.14</c:v>
                </c:pt>
                <c:pt idx="85">
                  <c:v>77.569999999999993</c:v>
                </c:pt>
                <c:pt idx="86">
                  <c:v>77.92</c:v>
                </c:pt>
                <c:pt idx="87">
                  <c:v>79.069999999999993</c:v>
                </c:pt>
                <c:pt idx="88">
                  <c:v>80.8</c:v>
                </c:pt>
                <c:pt idx="89">
                  <c:v>81.08</c:v>
                </c:pt>
                <c:pt idx="90">
                  <c:v>78.62</c:v>
                </c:pt>
                <c:pt idx="91">
                  <c:v>80.86</c:v>
                </c:pt>
                <c:pt idx="92">
                  <c:v>80.98</c:v>
                </c:pt>
                <c:pt idx="93">
                  <c:v>81.13</c:v>
                </c:pt>
                <c:pt idx="94">
                  <c:v>81.349999999999994</c:v>
                </c:pt>
                <c:pt idx="95">
                  <c:v>80.58</c:v>
                </c:pt>
                <c:pt idx="96">
                  <c:v>80.5</c:v>
                </c:pt>
                <c:pt idx="97">
                  <c:v>80.099999999999994</c:v>
                </c:pt>
                <c:pt idx="98">
                  <c:v>81.19</c:v>
                </c:pt>
                <c:pt idx="99">
                  <c:v>80.06</c:v>
                </c:pt>
                <c:pt idx="100">
                  <c:v>81.42</c:v>
                </c:pt>
                <c:pt idx="101">
                  <c:v>81.489999999999995</c:v>
                </c:pt>
                <c:pt idx="102">
                  <c:v>80.73</c:v>
                </c:pt>
                <c:pt idx="103">
                  <c:v>81.27</c:v>
                </c:pt>
                <c:pt idx="104">
                  <c:v>82.98</c:v>
                </c:pt>
                <c:pt idx="105">
                  <c:v>83.12</c:v>
                </c:pt>
                <c:pt idx="106">
                  <c:v>84.55</c:v>
                </c:pt>
                <c:pt idx="107">
                  <c:v>81.400000000000006</c:v>
                </c:pt>
                <c:pt idx="108">
                  <c:v>82.3</c:v>
                </c:pt>
                <c:pt idx="109">
                  <c:v>82.9</c:v>
                </c:pt>
                <c:pt idx="110">
                  <c:v>84.65</c:v>
                </c:pt>
                <c:pt idx="111">
                  <c:v>84.54</c:v>
                </c:pt>
                <c:pt idx="112">
                  <c:v>84.61</c:v>
                </c:pt>
                <c:pt idx="113">
                  <c:v>81.790000000000006</c:v>
                </c:pt>
                <c:pt idx="114">
                  <c:v>85.53</c:v>
                </c:pt>
                <c:pt idx="115">
                  <c:v>85.48</c:v>
                </c:pt>
                <c:pt idx="116">
                  <c:v>85.53</c:v>
                </c:pt>
                <c:pt idx="117">
                  <c:v>84.91</c:v>
                </c:pt>
                <c:pt idx="118">
                  <c:v>85.81</c:v>
                </c:pt>
                <c:pt idx="119">
                  <c:v>86.12</c:v>
                </c:pt>
                <c:pt idx="120">
                  <c:v>85.1</c:v>
                </c:pt>
                <c:pt idx="121">
                  <c:v>86.05</c:v>
                </c:pt>
                <c:pt idx="122">
                  <c:v>85.91</c:v>
                </c:pt>
                <c:pt idx="123">
                  <c:v>86.67</c:v>
                </c:pt>
                <c:pt idx="124">
                  <c:v>85.66</c:v>
                </c:pt>
                <c:pt idx="125">
                  <c:v>86.03</c:v>
                </c:pt>
                <c:pt idx="126">
                  <c:v>83.89</c:v>
                </c:pt>
                <c:pt idx="127">
                  <c:v>84.29</c:v>
                </c:pt>
                <c:pt idx="128">
                  <c:v>83.9</c:v>
                </c:pt>
                <c:pt idx="129">
                  <c:v>84.33</c:v>
                </c:pt>
                <c:pt idx="130">
                  <c:v>85.83</c:v>
                </c:pt>
                <c:pt idx="131">
                  <c:v>86.42</c:v>
                </c:pt>
                <c:pt idx="132">
                  <c:v>84.64</c:v>
                </c:pt>
                <c:pt idx="133">
                  <c:v>87.19</c:v>
                </c:pt>
                <c:pt idx="134">
                  <c:v>86.91</c:v>
                </c:pt>
                <c:pt idx="135">
                  <c:v>86.67</c:v>
                </c:pt>
                <c:pt idx="136">
                  <c:v>86.5</c:v>
                </c:pt>
                <c:pt idx="137">
                  <c:v>87.08</c:v>
                </c:pt>
                <c:pt idx="138">
                  <c:v>88.76</c:v>
                </c:pt>
                <c:pt idx="139">
                  <c:v>87.37</c:v>
                </c:pt>
                <c:pt idx="140">
                  <c:v>86.56</c:v>
                </c:pt>
                <c:pt idx="141">
                  <c:v>86.87</c:v>
                </c:pt>
                <c:pt idx="142">
                  <c:v>85.43</c:v>
                </c:pt>
                <c:pt idx="143">
                  <c:v>85.02</c:v>
                </c:pt>
                <c:pt idx="144">
                  <c:v>86.06</c:v>
                </c:pt>
                <c:pt idx="145">
                  <c:v>85.43</c:v>
                </c:pt>
                <c:pt idx="146">
                  <c:v>86.25</c:v>
                </c:pt>
                <c:pt idx="147">
                  <c:v>86.83</c:v>
                </c:pt>
                <c:pt idx="148">
                  <c:v>87.33</c:v>
                </c:pt>
                <c:pt idx="149">
                  <c:v>88.8</c:v>
                </c:pt>
                <c:pt idx="150">
                  <c:v>87.6</c:v>
                </c:pt>
                <c:pt idx="151">
                  <c:v>86.99</c:v>
                </c:pt>
                <c:pt idx="152">
                  <c:v>89.18</c:v>
                </c:pt>
                <c:pt idx="153">
                  <c:v>87.93</c:v>
                </c:pt>
                <c:pt idx="154">
                  <c:v>88.87</c:v>
                </c:pt>
                <c:pt idx="155">
                  <c:v>84.39</c:v>
                </c:pt>
                <c:pt idx="156">
                  <c:v>85.59</c:v>
                </c:pt>
                <c:pt idx="157">
                  <c:v>86.43</c:v>
                </c:pt>
                <c:pt idx="158">
                  <c:v>89.26</c:v>
                </c:pt>
                <c:pt idx="159">
                  <c:v>87.67</c:v>
                </c:pt>
                <c:pt idx="160">
                  <c:v>88.61</c:v>
                </c:pt>
                <c:pt idx="161">
                  <c:v>89.71</c:v>
                </c:pt>
                <c:pt idx="162">
                  <c:v>88.11</c:v>
                </c:pt>
                <c:pt idx="163">
                  <c:v>89.53</c:v>
                </c:pt>
                <c:pt idx="164">
                  <c:v>90.48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4E-4AA8-89BF-DD8949D4D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1299760"/>
        <c:axId val="281284880"/>
        <c:extLst>
          <c:ext xmlns:c15="http://schemas.microsoft.com/office/drawing/2012/chart" uri="{02D57815-91ED-43cb-92C2-25804820EDAC}">
            <c15:filteredLine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'0524'!$A$1</c15:sqref>
                        </c15:formulaRef>
                      </c:ext>
                    </c:extLst>
                    <c:strCache>
                      <c:ptCount val="1"/>
                      <c:pt idx="0">
                        <c:v>Seconds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'0524'!$B$2:$B$166</c15:sqref>
                        </c15:formulaRef>
                      </c:ext>
                    </c:extLst>
                    <c:numCache>
                      <c:formatCode>0</c:formatCode>
                      <c:ptCount val="165"/>
                      <c:pt idx="0">
                        <c:v>0.43333333333333002</c:v>
                      </c:pt>
                      <c:pt idx="1">
                        <c:v>1.43333333333333</c:v>
                      </c:pt>
                      <c:pt idx="2">
                        <c:v>1.6000000000000014</c:v>
                      </c:pt>
                      <c:pt idx="3">
                        <c:v>1.7666666666666657</c:v>
                      </c:pt>
                      <c:pt idx="4">
                        <c:v>1.93333333333333</c:v>
                      </c:pt>
                      <c:pt idx="5">
                        <c:v>2.1000000000000014</c:v>
                      </c:pt>
                      <c:pt idx="6">
                        <c:v>2.2666666666666657</c:v>
                      </c:pt>
                      <c:pt idx="7">
                        <c:v>2.43333333333333</c:v>
                      </c:pt>
                      <c:pt idx="8">
                        <c:v>2.6000000000000014</c:v>
                      </c:pt>
                      <c:pt idx="9">
                        <c:v>2.7666666666666657</c:v>
                      </c:pt>
                      <c:pt idx="10">
                        <c:v>2.93333333333333</c:v>
                      </c:pt>
                      <c:pt idx="11">
                        <c:v>3.1000000000000014</c:v>
                      </c:pt>
                      <c:pt idx="12">
                        <c:v>3.2666666666666657</c:v>
                      </c:pt>
                      <c:pt idx="13">
                        <c:v>3.43333333333333</c:v>
                      </c:pt>
                      <c:pt idx="14">
                        <c:v>3.6000000000000014</c:v>
                      </c:pt>
                      <c:pt idx="15">
                        <c:v>3.7666666666666657</c:v>
                      </c:pt>
                      <c:pt idx="16">
                        <c:v>3.93333333333333</c:v>
                      </c:pt>
                      <c:pt idx="17">
                        <c:v>4.1000000000000014</c:v>
                      </c:pt>
                      <c:pt idx="18">
                        <c:v>4.2666666666666657</c:v>
                      </c:pt>
                      <c:pt idx="19">
                        <c:v>4.43333333333333</c:v>
                      </c:pt>
                      <c:pt idx="20">
                        <c:v>4.6000000000000014</c:v>
                      </c:pt>
                      <c:pt idx="21">
                        <c:v>4.7666666666666657</c:v>
                      </c:pt>
                      <c:pt idx="22">
                        <c:v>4.93333333333333</c:v>
                      </c:pt>
                      <c:pt idx="23">
                        <c:v>5.1000000000000014</c:v>
                      </c:pt>
                      <c:pt idx="24">
                        <c:v>5.2666666666666657</c:v>
                      </c:pt>
                      <c:pt idx="25">
                        <c:v>5.43333333333333</c:v>
                      </c:pt>
                      <c:pt idx="26">
                        <c:v>5.6000000000000014</c:v>
                      </c:pt>
                      <c:pt idx="27">
                        <c:v>5.7666666666666657</c:v>
                      </c:pt>
                      <c:pt idx="28">
                        <c:v>5.93333333333333</c:v>
                      </c:pt>
                      <c:pt idx="29">
                        <c:v>6.1000000000000014</c:v>
                      </c:pt>
                      <c:pt idx="30">
                        <c:v>6.2666666666666657</c:v>
                      </c:pt>
                      <c:pt idx="31">
                        <c:v>6.43333333333333</c:v>
                      </c:pt>
                      <c:pt idx="32">
                        <c:v>6.6000000000000014</c:v>
                      </c:pt>
                      <c:pt idx="33">
                        <c:v>6.7666666666666657</c:v>
                      </c:pt>
                      <c:pt idx="34">
                        <c:v>6.9500000000000028</c:v>
                      </c:pt>
                      <c:pt idx="35">
                        <c:v>7.1166666666666671</c:v>
                      </c:pt>
                      <c:pt idx="36">
                        <c:v>7.2833333333333314</c:v>
                      </c:pt>
                      <c:pt idx="37">
                        <c:v>7.4500000000000028</c:v>
                      </c:pt>
                      <c:pt idx="38">
                        <c:v>7.6166666666666671</c:v>
                      </c:pt>
                      <c:pt idx="39">
                        <c:v>7.7833333333333314</c:v>
                      </c:pt>
                      <c:pt idx="40">
                        <c:v>7.9500000000000028</c:v>
                      </c:pt>
                      <c:pt idx="41">
                        <c:v>8.1166666666666671</c:v>
                      </c:pt>
                      <c:pt idx="42">
                        <c:v>8.2833333333333314</c:v>
                      </c:pt>
                      <c:pt idx="43">
                        <c:v>8.4500000000000028</c:v>
                      </c:pt>
                      <c:pt idx="44">
                        <c:v>8.6166666666666671</c:v>
                      </c:pt>
                      <c:pt idx="45">
                        <c:v>8.7833333333333314</c:v>
                      </c:pt>
                      <c:pt idx="46">
                        <c:v>8.9500000000000028</c:v>
                      </c:pt>
                      <c:pt idx="47">
                        <c:v>9.1166666666666671</c:v>
                      </c:pt>
                      <c:pt idx="48">
                        <c:v>9.2833333333333314</c:v>
                      </c:pt>
                      <c:pt idx="49">
                        <c:v>9.4500000000000028</c:v>
                      </c:pt>
                      <c:pt idx="50">
                        <c:v>9.6166666666666671</c:v>
                      </c:pt>
                      <c:pt idx="51">
                        <c:v>9.7833333333333314</c:v>
                      </c:pt>
                      <c:pt idx="52">
                        <c:v>9.9500000000000028</c:v>
                      </c:pt>
                      <c:pt idx="53">
                        <c:v>10.116666666666667</c:v>
                      </c:pt>
                      <c:pt idx="54">
                        <c:v>10.283333333333331</c:v>
                      </c:pt>
                      <c:pt idx="55">
                        <c:v>10.450000000000003</c:v>
                      </c:pt>
                      <c:pt idx="56">
                        <c:v>10.616666666666667</c:v>
                      </c:pt>
                      <c:pt idx="57">
                        <c:v>10.783333333333331</c:v>
                      </c:pt>
                      <c:pt idx="58">
                        <c:v>10.950000000000003</c:v>
                      </c:pt>
                      <c:pt idx="59">
                        <c:v>11.116666666666667</c:v>
                      </c:pt>
                      <c:pt idx="60">
                        <c:v>11.283333333333331</c:v>
                      </c:pt>
                      <c:pt idx="61">
                        <c:v>11.450000000000003</c:v>
                      </c:pt>
                      <c:pt idx="62">
                        <c:v>11.616666666666667</c:v>
                      </c:pt>
                      <c:pt idx="63">
                        <c:v>11.783333333333331</c:v>
                      </c:pt>
                      <c:pt idx="64">
                        <c:v>11.950000000000003</c:v>
                      </c:pt>
                      <c:pt idx="65">
                        <c:v>12.116666666666667</c:v>
                      </c:pt>
                      <c:pt idx="66">
                        <c:v>12.283333333333331</c:v>
                      </c:pt>
                      <c:pt idx="67">
                        <c:v>12.450000000000003</c:v>
                      </c:pt>
                      <c:pt idx="68">
                        <c:v>12.616666666666667</c:v>
                      </c:pt>
                      <c:pt idx="69">
                        <c:v>12.783333333333331</c:v>
                      </c:pt>
                      <c:pt idx="70">
                        <c:v>12.950000000000003</c:v>
                      </c:pt>
                      <c:pt idx="71">
                        <c:v>13.116666666666667</c:v>
                      </c:pt>
                      <c:pt idx="72">
                        <c:v>13.283333333333331</c:v>
                      </c:pt>
                      <c:pt idx="73">
                        <c:v>13.450000000000003</c:v>
                      </c:pt>
                      <c:pt idx="74">
                        <c:v>13.616666666666667</c:v>
                      </c:pt>
                      <c:pt idx="75">
                        <c:v>13.783333333333331</c:v>
                      </c:pt>
                      <c:pt idx="76">
                        <c:v>13.950000000000003</c:v>
                      </c:pt>
                      <c:pt idx="77">
                        <c:v>14.116666666666667</c:v>
                      </c:pt>
                      <c:pt idx="78">
                        <c:v>14.283333333333331</c:v>
                      </c:pt>
                      <c:pt idx="79">
                        <c:v>14.450000000000003</c:v>
                      </c:pt>
                      <c:pt idx="80">
                        <c:v>14.616666666666667</c:v>
                      </c:pt>
                      <c:pt idx="81">
                        <c:v>14.783333333333331</c:v>
                      </c:pt>
                      <c:pt idx="82">
                        <c:v>14.950000000000003</c:v>
                      </c:pt>
                      <c:pt idx="83">
                        <c:v>15.133333333333333</c:v>
                      </c:pt>
                      <c:pt idx="84">
                        <c:v>15.299999999999997</c:v>
                      </c:pt>
                      <c:pt idx="85">
                        <c:v>15.466666666666669</c:v>
                      </c:pt>
                      <c:pt idx="86">
                        <c:v>15.633333333333333</c:v>
                      </c:pt>
                      <c:pt idx="87">
                        <c:v>15.799999999999997</c:v>
                      </c:pt>
                      <c:pt idx="88">
                        <c:v>15.966666666666669</c:v>
                      </c:pt>
                      <c:pt idx="89">
                        <c:v>16.133333333333333</c:v>
                      </c:pt>
                      <c:pt idx="90">
                        <c:v>16.299999999999997</c:v>
                      </c:pt>
                      <c:pt idx="91">
                        <c:v>16.466666666666669</c:v>
                      </c:pt>
                      <c:pt idx="92">
                        <c:v>16.633333333333333</c:v>
                      </c:pt>
                      <c:pt idx="93">
                        <c:v>16.799999999999997</c:v>
                      </c:pt>
                      <c:pt idx="94">
                        <c:v>16.966666666666669</c:v>
                      </c:pt>
                      <c:pt idx="95">
                        <c:v>17.133333333333333</c:v>
                      </c:pt>
                      <c:pt idx="96">
                        <c:v>17.299999999999997</c:v>
                      </c:pt>
                      <c:pt idx="97">
                        <c:v>17.466666666666669</c:v>
                      </c:pt>
                      <c:pt idx="98">
                        <c:v>17.633333333333333</c:v>
                      </c:pt>
                      <c:pt idx="99">
                        <c:v>17.799999999999997</c:v>
                      </c:pt>
                      <c:pt idx="100">
                        <c:v>17.966666666666669</c:v>
                      </c:pt>
                      <c:pt idx="101">
                        <c:v>18.13333333333334</c:v>
                      </c:pt>
                      <c:pt idx="102">
                        <c:v>18.299999999999997</c:v>
                      </c:pt>
                      <c:pt idx="103">
                        <c:v>18.466666666666669</c:v>
                      </c:pt>
                      <c:pt idx="104">
                        <c:v>18.63333333333334</c:v>
                      </c:pt>
                      <c:pt idx="105">
                        <c:v>18.799999999999997</c:v>
                      </c:pt>
                      <c:pt idx="106">
                        <c:v>18.966666666666669</c:v>
                      </c:pt>
                      <c:pt idx="107">
                        <c:v>19.13333333333334</c:v>
                      </c:pt>
                      <c:pt idx="108">
                        <c:v>19.299999999999997</c:v>
                      </c:pt>
                      <c:pt idx="109">
                        <c:v>19.466666666666669</c:v>
                      </c:pt>
                      <c:pt idx="110">
                        <c:v>19.63333333333334</c:v>
                      </c:pt>
                      <c:pt idx="111">
                        <c:v>19.799999999999997</c:v>
                      </c:pt>
                      <c:pt idx="112">
                        <c:v>19.966666666666669</c:v>
                      </c:pt>
                      <c:pt idx="113">
                        <c:v>20.13333333333334</c:v>
                      </c:pt>
                      <c:pt idx="114">
                        <c:v>20.299999999999997</c:v>
                      </c:pt>
                      <c:pt idx="115">
                        <c:v>20.466666666666669</c:v>
                      </c:pt>
                      <c:pt idx="116">
                        <c:v>20.63333333333334</c:v>
                      </c:pt>
                      <c:pt idx="117">
                        <c:v>20.799999999999997</c:v>
                      </c:pt>
                      <c:pt idx="118">
                        <c:v>20.966666666666669</c:v>
                      </c:pt>
                      <c:pt idx="119">
                        <c:v>21.13333333333334</c:v>
                      </c:pt>
                      <c:pt idx="120">
                        <c:v>21.299999999999997</c:v>
                      </c:pt>
                      <c:pt idx="121">
                        <c:v>21.466666666666669</c:v>
                      </c:pt>
                      <c:pt idx="122">
                        <c:v>21.63333333333334</c:v>
                      </c:pt>
                      <c:pt idx="123">
                        <c:v>21.799999999999997</c:v>
                      </c:pt>
                      <c:pt idx="124">
                        <c:v>21.966666666666669</c:v>
                      </c:pt>
                      <c:pt idx="125">
                        <c:v>22.13333333333334</c:v>
                      </c:pt>
                      <c:pt idx="126">
                        <c:v>22.299999999999997</c:v>
                      </c:pt>
                      <c:pt idx="127">
                        <c:v>22.466666666666669</c:v>
                      </c:pt>
                      <c:pt idx="128">
                        <c:v>22.63333333333334</c:v>
                      </c:pt>
                      <c:pt idx="129">
                        <c:v>22.799999999999997</c:v>
                      </c:pt>
                      <c:pt idx="130">
                        <c:v>22.966666666666669</c:v>
                      </c:pt>
                      <c:pt idx="131">
                        <c:v>23.13333333333334</c:v>
                      </c:pt>
                      <c:pt idx="132">
                        <c:v>23.299999999999997</c:v>
                      </c:pt>
                      <c:pt idx="133">
                        <c:v>23.483333333333334</c:v>
                      </c:pt>
                      <c:pt idx="134">
                        <c:v>23.650000000000006</c:v>
                      </c:pt>
                      <c:pt idx="135">
                        <c:v>23.816666666666663</c:v>
                      </c:pt>
                      <c:pt idx="136">
                        <c:v>23.983333333333334</c:v>
                      </c:pt>
                      <c:pt idx="137">
                        <c:v>24.150000000000006</c:v>
                      </c:pt>
                      <c:pt idx="138">
                        <c:v>24.316666666666663</c:v>
                      </c:pt>
                      <c:pt idx="139">
                        <c:v>24.483333333333334</c:v>
                      </c:pt>
                      <c:pt idx="140">
                        <c:v>24.650000000000006</c:v>
                      </c:pt>
                      <c:pt idx="141">
                        <c:v>24.816666666666663</c:v>
                      </c:pt>
                      <c:pt idx="142">
                        <c:v>24.983333333333334</c:v>
                      </c:pt>
                      <c:pt idx="143">
                        <c:v>25.150000000000006</c:v>
                      </c:pt>
                      <c:pt idx="144">
                        <c:v>25.316666666666663</c:v>
                      </c:pt>
                      <c:pt idx="145">
                        <c:v>25.483333333333334</c:v>
                      </c:pt>
                      <c:pt idx="146">
                        <c:v>25.650000000000006</c:v>
                      </c:pt>
                      <c:pt idx="147">
                        <c:v>25.816666666666663</c:v>
                      </c:pt>
                      <c:pt idx="148">
                        <c:v>25.983333333333334</c:v>
                      </c:pt>
                      <c:pt idx="149">
                        <c:v>26.150000000000006</c:v>
                      </c:pt>
                      <c:pt idx="150">
                        <c:v>26.316666666666663</c:v>
                      </c:pt>
                      <c:pt idx="151">
                        <c:v>26.483333333333334</c:v>
                      </c:pt>
                      <c:pt idx="152">
                        <c:v>26.650000000000006</c:v>
                      </c:pt>
                      <c:pt idx="153">
                        <c:v>26.816666666666663</c:v>
                      </c:pt>
                      <c:pt idx="154">
                        <c:v>26.983333333333334</c:v>
                      </c:pt>
                      <c:pt idx="155">
                        <c:v>27.150000000000006</c:v>
                      </c:pt>
                      <c:pt idx="156">
                        <c:v>27.316666666666663</c:v>
                      </c:pt>
                      <c:pt idx="157">
                        <c:v>27.483333333333334</c:v>
                      </c:pt>
                      <c:pt idx="158">
                        <c:v>27.650000000000006</c:v>
                      </c:pt>
                      <c:pt idx="159">
                        <c:v>27.816666666666663</c:v>
                      </c:pt>
                      <c:pt idx="160">
                        <c:v>27.983333333333334</c:v>
                      </c:pt>
                      <c:pt idx="161">
                        <c:v>28.150000000000006</c:v>
                      </c:pt>
                      <c:pt idx="162">
                        <c:v>28.316666666666663</c:v>
                      </c:pt>
                      <c:pt idx="163">
                        <c:v>28.483333333333334</c:v>
                      </c:pt>
                      <c:pt idx="164">
                        <c:v>28.650000000000006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'0524'!$A$2:$A$166</c15:sqref>
                        </c15:formulaRef>
                      </c:ext>
                    </c:extLst>
                    <c:numCache>
                      <c:formatCode>General</c:formatCode>
                      <c:ptCount val="165"/>
                      <c:pt idx="0">
                        <c:v>2786</c:v>
                      </c:pt>
                      <c:pt idx="1">
                        <c:v>2846</c:v>
                      </c:pt>
                      <c:pt idx="2">
                        <c:v>2856</c:v>
                      </c:pt>
                      <c:pt idx="3">
                        <c:v>2866</c:v>
                      </c:pt>
                      <c:pt idx="4">
                        <c:v>2876</c:v>
                      </c:pt>
                      <c:pt idx="5">
                        <c:v>2886</c:v>
                      </c:pt>
                      <c:pt idx="6">
                        <c:v>2896</c:v>
                      </c:pt>
                      <c:pt idx="7">
                        <c:v>2906</c:v>
                      </c:pt>
                      <c:pt idx="8">
                        <c:v>2916</c:v>
                      </c:pt>
                      <c:pt idx="9">
                        <c:v>2926</c:v>
                      </c:pt>
                      <c:pt idx="10">
                        <c:v>2936</c:v>
                      </c:pt>
                      <c:pt idx="11">
                        <c:v>2946</c:v>
                      </c:pt>
                      <c:pt idx="12">
                        <c:v>2956</c:v>
                      </c:pt>
                      <c:pt idx="13">
                        <c:v>2966</c:v>
                      </c:pt>
                      <c:pt idx="14">
                        <c:v>2976</c:v>
                      </c:pt>
                      <c:pt idx="15">
                        <c:v>2986</c:v>
                      </c:pt>
                      <c:pt idx="16">
                        <c:v>2996</c:v>
                      </c:pt>
                      <c:pt idx="17">
                        <c:v>3006</c:v>
                      </c:pt>
                      <c:pt idx="18">
                        <c:v>3016</c:v>
                      </c:pt>
                      <c:pt idx="19">
                        <c:v>3026</c:v>
                      </c:pt>
                      <c:pt idx="20">
                        <c:v>3036</c:v>
                      </c:pt>
                      <c:pt idx="21">
                        <c:v>3046</c:v>
                      </c:pt>
                      <c:pt idx="22">
                        <c:v>3056</c:v>
                      </c:pt>
                      <c:pt idx="23">
                        <c:v>3066</c:v>
                      </c:pt>
                      <c:pt idx="24">
                        <c:v>3076</c:v>
                      </c:pt>
                      <c:pt idx="25">
                        <c:v>3086</c:v>
                      </c:pt>
                      <c:pt idx="26">
                        <c:v>3096</c:v>
                      </c:pt>
                      <c:pt idx="27">
                        <c:v>3106</c:v>
                      </c:pt>
                      <c:pt idx="28">
                        <c:v>3116</c:v>
                      </c:pt>
                      <c:pt idx="29">
                        <c:v>3126</c:v>
                      </c:pt>
                      <c:pt idx="30">
                        <c:v>3136</c:v>
                      </c:pt>
                      <c:pt idx="31">
                        <c:v>3146</c:v>
                      </c:pt>
                      <c:pt idx="32">
                        <c:v>3156</c:v>
                      </c:pt>
                      <c:pt idx="33">
                        <c:v>3166</c:v>
                      </c:pt>
                      <c:pt idx="34">
                        <c:v>3177</c:v>
                      </c:pt>
                      <c:pt idx="35">
                        <c:v>3187</c:v>
                      </c:pt>
                      <c:pt idx="36">
                        <c:v>3197</c:v>
                      </c:pt>
                      <c:pt idx="37">
                        <c:v>3207</c:v>
                      </c:pt>
                      <c:pt idx="38">
                        <c:v>3217</c:v>
                      </c:pt>
                      <c:pt idx="39">
                        <c:v>3227</c:v>
                      </c:pt>
                      <c:pt idx="40">
                        <c:v>3237</c:v>
                      </c:pt>
                      <c:pt idx="41">
                        <c:v>3247</c:v>
                      </c:pt>
                      <c:pt idx="42">
                        <c:v>3257</c:v>
                      </c:pt>
                      <c:pt idx="43">
                        <c:v>3267</c:v>
                      </c:pt>
                      <c:pt idx="44">
                        <c:v>3277</c:v>
                      </c:pt>
                      <c:pt idx="45">
                        <c:v>3287</c:v>
                      </c:pt>
                      <c:pt idx="46">
                        <c:v>3297</c:v>
                      </c:pt>
                      <c:pt idx="47">
                        <c:v>3307</c:v>
                      </c:pt>
                      <c:pt idx="48">
                        <c:v>3317</c:v>
                      </c:pt>
                      <c:pt idx="49">
                        <c:v>3327</c:v>
                      </c:pt>
                      <c:pt idx="50">
                        <c:v>3337</c:v>
                      </c:pt>
                      <c:pt idx="51">
                        <c:v>3347</c:v>
                      </c:pt>
                      <c:pt idx="52">
                        <c:v>3357</c:v>
                      </c:pt>
                      <c:pt idx="53">
                        <c:v>3367</c:v>
                      </c:pt>
                      <c:pt idx="54">
                        <c:v>3377</c:v>
                      </c:pt>
                      <c:pt idx="55">
                        <c:v>3387</c:v>
                      </c:pt>
                      <c:pt idx="56">
                        <c:v>3397</c:v>
                      </c:pt>
                      <c:pt idx="57">
                        <c:v>3407</c:v>
                      </c:pt>
                      <c:pt idx="58">
                        <c:v>3417</c:v>
                      </c:pt>
                      <c:pt idx="59">
                        <c:v>3427</c:v>
                      </c:pt>
                      <c:pt idx="60">
                        <c:v>3437</c:v>
                      </c:pt>
                      <c:pt idx="61">
                        <c:v>3447</c:v>
                      </c:pt>
                      <c:pt idx="62">
                        <c:v>3457</c:v>
                      </c:pt>
                      <c:pt idx="63">
                        <c:v>3467</c:v>
                      </c:pt>
                      <c:pt idx="64">
                        <c:v>3477</c:v>
                      </c:pt>
                      <c:pt idx="65">
                        <c:v>3487</c:v>
                      </c:pt>
                      <c:pt idx="66">
                        <c:v>3497</c:v>
                      </c:pt>
                      <c:pt idx="67">
                        <c:v>3507</c:v>
                      </c:pt>
                      <c:pt idx="68">
                        <c:v>3517</c:v>
                      </c:pt>
                      <c:pt idx="69">
                        <c:v>3527</c:v>
                      </c:pt>
                      <c:pt idx="70">
                        <c:v>3537</c:v>
                      </c:pt>
                      <c:pt idx="71">
                        <c:v>3547</c:v>
                      </c:pt>
                      <c:pt idx="72">
                        <c:v>3557</c:v>
                      </c:pt>
                      <c:pt idx="73">
                        <c:v>3567</c:v>
                      </c:pt>
                      <c:pt idx="74">
                        <c:v>3577</c:v>
                      </c:pt>
                      <c:pt idx="75">
                        <c:v>3587</c:v>
                      </c:pt>
                      <c:pt idx="76">
                        <c:v>3597</c:v>
                      </c:pt>
                      <c:pt idx="77">
                        <c:v>3607</c:v>
                      </c:pt>
                      <c:pt idx="78">
                        <c:v>3617</c:v>
                      </c:pt>
                      <c:pt idx="79">
                        <c:v>3627</c:v>
                      </c:pt>
                      <c:pt idx="80">
                        <c:v>3637</c:v>
                      </c:pt>
                      <c:pt idx="81">
                        <c:v>3647</c:v>
                      </c:pt>
                      <c:pt idx="82">
                        <c:v>3657</c:v>
                      </c:pt>
                      <c:pt idx="83">
                        <c:v>3668</c:v>
                      </c:pt>
                      <c:pt idx="84">
                        <c:v>3678</c:v>
                      </c:pt>
                      <c:pt idx="85">
                        <c:v>3688</c:v>
                      </c:pt>
                      <c:pt idx="86">
                        <c:v>3698</c:v>
                      </c:pt>
                      <c:pt idx="87">
                        <c:v>3708</c:v>
                      </c:pt>
                      <c:pt idx="88">
                        <c:v>3718</c:v>
                      </c:pt>
                      <c:pt idx="89">
                        <c:v>3728</c:v>
                      </c:pt>
                      <c:pt idx="90">
                        <c:v>3738</c:v>
                      </c:pt>
                      <c:pt idx="91">
                        <c:v>3748</c:v>
                      </c:pt>
                      <c:pt idx="92">
                        <c:v>3758</c:v>
                      </c:pt>
                      <c:pt idx="93">
                        <c:v>3768</c:v>
                      </c:pt>
                      <c:pt idx="94">
                        <c:v>3778</c:v>
                      </c:pt>
                      <c:pt idx="95">
                        <c:v>3788</c:v>
                      </c:pt>
                      <c:pt idx="96">
                        <c:v>3798</c:v>
                      </c:pt>
                      <c:pt idx="97">
                        <c:v>3808</c:v>
                      </c:pt>
                      <c:pt idx="98">
                        <c:v>3818</c:v>
                      </c:pt>
                      <c:pt idx="99">
                        <c:v>3828</c:v>
                      </c:pt>
                      <c:pt idx="100">
                        <c:v>3838</c:v>
                      </c:pt>
                      <c:pt idx="101">
                        <c:v>3848</c:v>
                      </c:pt>
                      <c:pt idx="102">
                        <c:v>3858</c:v>
                      </c:pt>
                      <c:pt idx="103">
                        <c:v>3868</c:v>
                      </c:pt>
                      <c:pt idx="104">
                        <c:v>3878</c:v>
                      </c:pt>
                      <c:pt idx="105">
                        <c:v>3888</c:v>
                      </c:pt>
                      <c:pt idx="106">
                        <c:v>3898</c:v>
                      </c:pt>
                      <c:pt idx="107">
                        <c:v>3908</c:v>
                      </c:pt>
                      <c:pt idx="108">
                        <c:v>3918</c:v>
                      </c:pt>
                      <c:pt idx="109">
                        <c:v>3928</c:v>
                      </c:pt>
                      <c:pt idx="110">
                        <c:v>3938</c:v>
                      </c:pt>
                      <c:pt idx="111">
                        <c:v>3948</c:v>
                      </c:pt>
                      <c:pt idx="112">
                        <c:v>3958</c:v>
                      </c:pt>
                      <c:pt idx="113">
                        <c:v>3968</c:v>
                      </c:pt>
                      <c:pt idx="114">
                        <c:v>3978</c:v>
                      </c:pt>
                      <c:pt idx="115">
                        <c:v>3988</c:v>
                      </c:pt>
                      <c:pt idx="116">
                        <c:v>3998</c:v>
                      </c:pt>
                      <c:pt idx="117">
                        <c:v>4008</c:v>
                      </c:pt>
                      <c:pt idx="118">
                        <c:v>4018</c:v>
                      </c:pt>
                      <c:pt idx="119">
                        <c:v>4028</c:v>
                      </c:pt>
                      <c:pt idx="120">
                        <c:v>4038</c:v>
                      </c:pt>
                      <c:pt idx="121">
                        <c:v>4048</c:v>
                      </c:pt>
                      <c:pt idx="122">
                        <c:v>4058</c:v>
                      </c:pt>
                      <c:pt idx="123">
                        <c:v>4068</c:v>
                      </c:pt>
                      <c:pt idx="124">
                        <c:v>4078</c:v>
                      </c:pt>
                      <c:pt idx="125">
                        <c:v>4088</c:v>
                      </c:pt>
                      <c:pt idx="126">
                        <c:v>4098</c:v>
                      </c:pt>
                      <c:pt idx="127">
                        <c:v>4108</c:v>
                      </c:pt>
                      <c:pt idx="128">
                        <c:v>4118</c:v>
                      </c:pt>
                      <c:pt idx="129">
                        <c:v>4128</c:v>
                      </c:pt>
                      <c:pt idx="130">
                        <c:v>4138</c:v>
                      </c:pt>
                      <c:pt idx="131">
                        <c:v>4148</c:v>
                      </c:pt>
                      <c:pt idx="132">
                        <c:v>4158</c:v>
                      </c:pt>
                      <c:pt idx="133">
                        <c:v>4169</c:v>
                      </c:pt>
                      <c:pt idx="134">
                        <c:v>4179</c:v>
                      </c:pt>
                      <c:pt idx="135">
                        <c:v>4189</c:v>
                      </c:pt>
                      <c:pt idx="136">
                        <c:v>4199</c:v>
                      </c:pt>
                      <c:pt idx="137">
                        <c:v>4209</c:v>
                      </c:pt>
                      <c:pt idx="138">
                        <c:v>4219</c:v>
                      </c:pt>
                      <c:pt idx="139">
                        <c:v>4229</c:v>
                      </c:pt>
                      <c:pt idx="140">
                        <c:v>4239</c:v>
                      </c:pt>
                      <c:pt idx="141">
                        <c:v>4249</c:v>
                      </c:pt>
                      <c:pt idx="142">
                        <c:v>4259</c:v>
                      </c:pt>
                      <c:pt idx="143">
                        <c:v>4269</c:v>
                      </c:pt>
                      <c:pt idx="144">
                        <c:v>4279</c:v>
                      </c:pt>
                      <c:pt idx="145">
                        <c:v>4289</c:v>
                      </c:pt>
                      <c:pt idx="146">
                        <c:v>4299</c:v>
                      </c:pt>
                      <c:pt idx="147">
                        <c:v>4309</c:v>
                      </c:pt>
                      <c:pt idx="148">
                        <c:v>4319</c:v>
                      </c:pt>
                      <c:pt idx="149">
                        <c:v>4329</c:v>
                      </c:pt>
                      <c:pt idx="150">
                        <c:v>4339</c:v>
                      </c:pt>
                      <c:pt idx="151">
                        <c:v>4349</c:v>
                      </c:pt>
                      <c:pt idx="152">
                        <c:v>4359</c:v>
                      </c:pt>
                      <c:pt idx="153">
                        <c:v>4369</c:v>
                      </c:pt>
                      <c:pt idx="154">
                        <c:v>4379</c:v>
                      </c:pt>
                      <c:pt idx="155">
                        <c:v>4389</c:v>
                      </c:pt>
                      <c:pt idx="156">
                        <c:v>4399</c:v>
                      </c:pt>
                      <c:pt idx="157">
                        <c:v>4409</c:v>
                      </c:pt>
                      <c:pt idx="158">
                        <c:v>4419</c:v>
                      </c:pt>
                      <c:pt idx="159">
                        <c:v>4429</c:v>
                      </c:pt>
                      <c:pt idx="160">
                        <c:v>4439</c:v>
                      </c:pt>
                      <c:pt idx="161">
                        <c:v>4449</c:v>
                      </c:pt>
                      <c:pt idx="162">
                        <c:v>4459</c:v>
                      </c:pt>
                      <c:pt idx="163">
                        <c:v>4469</c:v>
                      </c:pt>
                      <c:pt idx="164">
                        <c:v>4479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CA4E-4AA8-89BF-DD8949D4DEE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Minutes</c:v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'0524'!$B$2:$B$166</c15:sqref>
                        </c15:formulaRef>
                      </c:ext>
                    </c:extLst>
                    <c:numCache>
                      <c:formatCode>0</c:formatCode>
                      <c:ptCount val="165"/>
                      <c:pt idx="0">
                        <c:v>0.43333333333333002</c:v>
                      </c:pt>
                      <c:pt idx="1">
                        <c:v>1.43333333333333</c:v>
                      </c:pt>
                      <c:pt idx="2">
                        <c:v>1.6000000000000014</c:v>
                      </c:pt>
                      <c:pt idx="3">
                        <c:v>1.7666666666666657</c:v>
                      </c:pt>
                      <c:pt idx="4">
                        <c:v>1.93333333333333</c:v>
                      </c:pt>
                      <c:pt idx="5">
                        <c:v>2.1000000000000014</c:v>
                      </c:pt>
                      <c:pt idx="6">
                        <c:v>2.2666666666666657</c:v>
                      </c:pt>
                      <c:pt idx="7">
                        <c:v>2.43333333333333</c:v>
                      </c:pt>
                      <c:pt idx="8">
                        <c:v>2.6000000000000014</c:v>
                      </c:pt>
                      <c:pt idx="9">
                        <c:v>2.7666666666666657</c:v>
                      </c:pt>
                      <c:pt idx="10">
                        <c:v>2.93333333333333</c:v>
                      </c:pt>
                      <c:pt idx="11">
                        <c:v>3.1000000000000014</c:v>
                      </c:pt>
                      <c:pt idx="12">
                        <c:v>3.2666666666666657</c:v>
                      </c:pt>
                      <c:pt idx="13">
                        <c:v>3.43333333333333</c:v>
                      </c:pt>
                      <c:pt idx="14">
                        <c:v>3.6000000000000014</c:v>
                      </c:pt>
                      <c:pt idx="15">
                        <c:v>3.7666666666666657</c:v>
                      </c:pt>
                      <c:pt idx="16">
                        <c:v>3.93333333333333</c:v>
                      </c:pt>
                      <c:pt idx="17">
                        <c:v>4.1000000000000014</c:v>
                      </c:pt>
                      <c:pt idx="18">
                        <c:v>4.2666666666666657</c:v>
                      </c:pt>
                      <c:pt idx="19">
                        <c:v>4.43333333333333</c:v>
                      </c:pt>
                      <c:pt idx="20">
                        <c:v>4.6000000000000014</c:v>
                      </c:pt>
                      <c:pt idx="21">
                        <c:v>4.7666666666666657</c:v>
                      </c:pt>
                      <c:pt idx="22">
                        <c:v>4.93333333333333</c:v>
                      </c:pt>
                      <c:pt idx="23">
                        <c:v>5.1000000000000014</c:v>
                      </c:pt>
                      <c:pt idx="24">
                        <c:v>5.2666666666666657</c:v>
                      </c:pt>
                      <c:pt idx="25">
                        <c:v>5.43333333333333</c:v>
                      </c:pt>
                      <c:pt idx="26">
                        <c:v>5.6000000000000014</c:v>
                      </c:pt>
                      <c:pt idx="27">
                        <c:v>5.7666666666666657</c:v>
                      </c:pt>
                      <c:pt idx="28">
                        <c:v>5.93333333333333</c:v>
                      </c:pt>
                      <c:pt idx="29">
                        <c:v>6.1000000000000014</c:v>
                      </c:pt>
                      <c:pt idx="30">
                        <c:v>6.2666666666666657</c:v>
                      </c:pt>
                      <c:pt idx="31">
                        <c:v>6.43333333333333</c:v>
                      </c:pt>
                      <c:pt idx="32">
                        <c:v>6.6000000000000014</c:v>
                      </c:pt>
                      <c:pt idx="33">
                        <c:v>6.7666666666666657</c:v>
                      </c:pt>
                      <c:pt idx="34">
                        <c:v>6.9500000000000028</c:v>
                      </c:pt>
                      <c:pt idx="35">
                        <c:v>7.1166666666666671</c:v>
                      </c:pt>
                      <c:pt idx="36">
                        <c:v>7.2833333333333314</c:v>
                      </c:pt>
                      <c:pt idx="37">
                        <c:v>7.4500000000000028</c:v>
                      </c:pt>
                      <c:pt idx="38">
                        <c:v>7.6166666666666671</c:v>
                      </c:pt>
                      <c:pt idx="39">
                        <c:v>7.7833333333333314</c:v>
                      </c:pt>
                      <c:pt idx="40">
                        <c:v>7.9500000000000028</c:v>
                      </c:pt>
                      <c:pt idx="41">
                        <c:v>8.1166666666666671</c:v>
                      </c:pt>
                      <c:pt idx="42">
                        <c:v>8.2833333333333314</c:v>
                      </c:pt>
                      <c:pt idx="43">
                        <c:v>8.4500000000000028</c:v>
                      </c:pt>
                      <c:pt idx="44">
                        <c:v>8.6166666666666671</c:v>
                      </c:pt>
                      <c:pt idx="45">
                        <c:v>8.7833333333333314</c:v>
                      </c:pt>
                      <c:pt idx="46">
                        <c:v>8.9500000000000028</c:v>
                      </c:pt>
                      <c:pt idx="47">
                        <c:v>9.1166666666666671</c:v>
                      </c:pt>
                      <c:pt idx="48">
                        <c:v>9.2833333333333314</c:v>
                      </c:pt>
                      <c:pt idx="49">
                        <c:v>9.4500000000000028</c:v>
                      </c:pt>
                      <c:pt idx="50">
                        <c:v>9.6166666666666671</c:v>
                      </c:pt>
                      <c:pt idx="51">
                        <c:v>9.7833333333333314</c:v>
                      </c:pt>
                      <c:pt idx="52">
                        <c:v>9.9500000000000028</c:v>
                      </c:pt>
                      <c:pt idx="53">
                        <c:v>10.116666666666667</c:v>
                      </c:pt>
                      <c:pt idx="54">
                        <c:v>10.283333333333331</c:v>
                      </c:pt>
                      <c:pt idx="55">
                        <c:v>10.450000000000003</c:v>
                      </c:pt>
                      <c:pt idx="56">
                        <c:v>10.616666666666667</c:v>
                      </c:pt>
                      <c:pt idx="57">
                        <c:v>10.783333333333331</c:v>
                      </c:pt>
                      <c:pt idx="58">
                        <c:v>10.950000000000003</c:v>
                      </c:pt>
                      <c:pt idx="59">
                        <c:v>11.116666666666667</c:v>
                      </c:pt>
                      <c:pt idx="60">
                        <c:v>11.283333333333331</c:v>
                      </c:pt>
                      <c:pt idx="61">
                        <c:v>11.450000000000003</c:v>
                      </c:pt>
                      <c:pt idx="62">
                        <c:v>11.616666666666667</c:v>
                      </c:pt>
                      <c:pt idx="63">
                        <c:v>11.783333333333331</c:v>
                      </c:pt>
                      <c:pt idx="64">
                        <c:v>11.950000000000003</c:v>
                      </c:pt>
                      <c:pt idx="65">
                        <c:v>12.116666666666667</c:v>
                      </c:pt>
                      <c:pt idx="66">
                        <c:v>12.283333333333331</c:v>
                      </c:pt>
                      <c:pt idx="67">
                        <c:v>12.450000000000003</c:v>
                      </c:pt>
                      <c:pt idx="68">
                        <c:v>12.616666666666667</c:v>
                      </c:pt>
                      <c:pt idx="69">
                        <c:v>12.783333333333331</c:v>
                      </c:pt>
                      <c:pt idx="70">
                        <c:v>12.950000000000003</c:v>
                      </c:pt>
                      <c:pt idx="71">
                        <c:v>13.116666666666667</c:v>
                      </c:pt>
                      <c:pt idx="72">
                        <c:v>13.283333333333331</c:v>
                      </c:pt>
                      <c:pt idx="73">
                        <c:v>13.450000000000003</c:v>
                      </c:pt>
                      <c:pt idx="74">
                        <c:v>13.616666666666667</c:v>
                      </c:pt>
                      <c:pt idx="75">
                        <c:v>13.783333333333331</c:v>
                      </c:pt>
                      <c:pt idx="76">
                        <c:v>13.950000000000003</c:v>
                      </c:pt>
                      <c:pt idx="77">
                        <c:v>14.116666666666667</c:v>
                      </c:pt>
                      <c:pt idx="78">
                        <c:v>14.283333333333331</c:v>
                      </c:pt>
                      <c:pt idx="79">
                        <c:v>14.450000000000003</c:v>
                      </c:pt>
                      <c:pt idx="80">
                        <c:v>14.616666666666667</c:v>
                      </c:pt>
                      <c:pt idx="81">
                        <c:v>14.783333333333331</c:v>
                      </c:pt>
                      <c:pt idx="82">
                        <c:v>14.950000000000003</c:v>
                      </c:pt>
                      <c:pt idx="83">
                        <c:v>15.133333333333333</c:v>
                      </c:pt>
                      <c:pt idx="84">
                        <c:v>15.299999999999997</c:v>
                      </c:pt>
                      <c:pt idx="85">
                        <c:v>15.466666666666669</c:v>
                      </c:pt>
                      <c:pt idx="86">
                        <c:v>15.633333333333333</c:v>
                      </c:pt>
                      <c:pt idx="87">
                        <c:v>15.799999999999997</c:v>
                      </c:pt>
                      <c:pt idx="88">
                        <c:v>15.966666666666669</c:v>
                      </c:pt>
                      <c:pt idx="89">
                        <c:v>16.133333333333333</c:v>
                      </c:pt>
                      <c:pt idx="90">
                        <c:v>16.299999999999997</c:v>
                      </c:pt>
                      <c:pt idx="91">
                        <c:v>16.466666666666669</c:v>
                      </c:pt>
                      <c:pt idx="92">
                        <c:v>16.633333333333333</c:v>
                      </c:pt>
                      <c:pt idx="93">
                        <c:v>16.799999999999997</c:v>
                      </c:pt>
                      <c:pt idx="94">
                        <c:v>16.966666666666669</c:v>
                      </c:pt>
                      <c:pt idx="95">
                        <c:v>17.133333333333333</c:v>
                      </c:pt>
                      <c:pt idx="96">
                        <c:v>17.299999999999997</c:v>
                      </c:pt>
                      <c:pt idx="97">
                        <c:v>17.466666666666669</c:v>
                      </c:pt>
                      <c:pt idx="98">
                        <c:v>17.633333333333333</c:v>
                      </c:pt>
                      <c:pt idx="99">
                        <c:v>17.799999999999997</c:v>
                      </c:pt>
                      <c:pt idx="100">
                        <c:v>17.966666666666669</c:v>
                      </c:pt>
                      <c:pt idx="101">
                        <c:v>18.13333333333334</c:v>
                      </c:pt>
                      <c:pt idx="102">
                        <c:v>18.299999999999997</c:v>
                      </c:pt>
                      <c:pt idx="103">
                        <c:v>18.466666666666669</c:v>
                      </c:pt>
                      <c:pt idx="104">
                        <c:v>18.63333333333334</c:v>
                      </c:pt>
                      <c:pt idx="105">
                        <c:v>18.799999999999997</c:v>
                      </c:pt>
                      <c:pt idx="106">
                        <c:v>18.966666666666669</c:v>
                      </c:pt>
                      <c:pt idx="107">
                        <c:v>19.13333333333334</c:v>
                      </c:pt>
                      <c:pt idx="108">
                        <c:v>19.299999999999997</c:v>
                      </c:pt>
                      <c:pt idx="109">
                        <c:v>19.466666666666669</c:v>
                      </c:pt>
                      <c:pt idx="110">
                        <c:v>19.63333333333334</c:v>
                      </c:pt>
                      <c:pt idx="111">
                        <c:v>19.799999999999997</c:v>
                      </c:pt>
                      <c:pt idx="112">
                        <c:v>19.966666666666669</c:v>
                      </c:pt>
                      <c:pt idx="113">
                        <c:v>20.13333333333334</c:v>
                      </c:pt>
                      <c:pt idx="114">
                        <c:v>20.299999999999997</c:v>
                      </c:pt>
                      <c:pt idx="115">
                        <c:v>20.466666666666669</c:v>
                      </c:pt>
                      <c:pt idx="116">
                        <c:v>20.63333333333334</c:v>
                      </c:pt>
                      <c:pt idx="117">
                        <c:v>20.799999999999997</c:v>
                      </c:pt>
                      <c:pt idx="118">
                        <c:v>20.966666666666669</c:v>
                      </c:pt>
                      <c:pt idx="119">
                        <c:v>21.13333333333334</c:v>
                      </c:pt>
                      <c:pt idx="120">
                        <c:v>21.299999999999997</c:v>
                      </c:pt>
                      <c:pt idx="121">
                        <c:v>21.466666666666669</c:v>
                      </c:pt>
                      <c:pt idx="122">
                        <c:v>21.63333333333334</c:v>
                      </c:pt>
                      <c:pt idx="123">
                        <c:v>21.799999999999997</c:v>
                      </c:pt>
                      <c:pt idx="124">
                        <c:v>21.966666666666669</c:v>
                      </c:pt>
                      <c:pt idx="125">
                        <c:v>22.13333333333334</c:v>
                      </c:pt>
                      <c:pt idx="126">
                        <c:v>22.299999999999997</c:v>
                      </c:pt>
                      <c:pt idx="127">
                        <c:v>22.466666666666669</c:v>
                      </c:pt>
                      <c:pt idx="128">
                        <c:v>22.63333333333334</c:v>
                      </c:pt>
                      <c:pt idx="129">
                        <c:v>22.799999999999997</c:v>
                      </c:pt>
                      <c:pt idx="130">
                        <c:v>22.966666666666669</c:v>
                      </c:pt>
                      <c:pt idx="131">
                        <c:v>23.13333333333334</c:v>
                      </c:pt>
                      <c:pt idx="132">
                        <c:v>23.299999999999997</c:v>
                      </c:pt>
                      <c:pt idx="133">
                        <c:v>23.483333333333334</c:v>
                      </c:pt>
                      <c:pt idx="134">
                        <c:v>23.650000000000006</c:v>
                      </c:pt>
                      <c:pt idx="135">
                        <c:v>23.816666666666663</c:v>
                      </c:pt>
                      <c:pt idx="136">
                        <c:v>23.983333333333334</c:v>
                      </c:pt>
                      <c:pt idx="137">
                        <c:v>24.150000000000006</c:v>
                      </c:pt>
                      <c:pt idx="138">
                        <c:v>24.316666666666663</c:v>
                      </c:pt>
                      <c:pt idx="139">
                        <c:v>24.483333333333334</c:v>
                      </c:pt>
                      <c:pt idx="140">
                        <c:v>24.650000000000006</c:v>
                      </c:pt>
                      <c:pt idx="141">
                        <c:v>24.816666666666663</c:v>
                      </c:pt>
                      <c:pt idx="142">
                        <c:v>24.983333333333334</c:v>
                      </c:pt>
                      <c:pt idx="143">
                        <c:v>25.150000000000006</c:v>
                      </c:pt>
                      <c:pt idx="144">
                        <c:v>25.316666666666663</c:v>
                      </c:pt>
                      <c:pt idx="145">
                        <c:v>25.483333333333334</c:v>
                      </c:pt>
                      <c:pt idx="146">
                        <c:v>25.650000000000006</c:v>
                      </c:pt>
                      <c:pt idx="147">
                        <c:v>25.816666666666663</c:v>
                      </c:pt>
                      <c:pt idx="148">
                        <c:v>25.983333333333334</c:v>
                      </c:pt>
                      <c:pt idx="149">
                        <c:v>26.150000000000006</c:v>
                      </c:pt>
                      <c:pt idx="150">
                        <c:v>26.316666666666663</c:v>
                      </c:pt>
                      <c:pt idx="151">
                        <c:v>26.483333333333334</c:v>
                      </c:pt>
                      <c:pt idx="152">
                        <c:v>26.650000000000006</c:v>
                      </c:pt>
                      <c:pt idx="153">
                        <c:v>26.816666666666663</c:v>
                      </c:pt>
                      <c:pt idx="154">
                        <c:v>26.983333333333334</c:v>
                      </c:pt>
                      <c:pt idx="155">
                        <c:v>27.150000000000006</c:v>
                      </c:pt>
                      <c:pt idx="156">
                        <c:v>27.316666666666663</c:v>
                      </c:pt>
                      <c:pt idx="157">
                        <c:v>27.483333333333334</c:v>
                      </c:pt>
                      <c:pt idx="158">
                        <c:v>27.650000000000006</c:v>
                      </c:pt>
                      <c:pt idx="159">
                        <c:v>27.816666666666663</c:v>
                      </c:pt>
                      <c:pt idx="160">
                        <c:v>27.983333333333334</c:v>
                      </c:pt>
                      <c:pt idx="161">
                        <c:v>28.150000000000006</c:v>
                      </c:pt>
                      <c:pt idx="162">
                        <c:v>28.316666666666663</c:v>
                      </c:pt>
                      <c:pt idx="163">
                        <c:v>28.483333333333334</c:v>
                      </c:pt>
                      <c:pt idx="164">
                        <c:v>28.650000000000006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'0524'!$B$2:$B$166</c15:sqref>
                        </c15:formulaRef>
                      </c:ext>
                    </c:extLst>
                    <c:numCache>
                      <c:formatCode>0</c:formatCode>
                      <c:ptCount val="165"/>
                      <c:pt idx="0">
                        <c:v>0.43333333333333002</c:v>
                      </c:pt>
                      <c:pt idx="1">
                        <c:v>1.43333333333333</c:v>
                      </c:pt>
                      <c:pt idx="2">
                        <c:v>1.6000000000000014</c:v>
                      </c:pt>
                      <c:pt idx="3">
                        <c:v>1.7666666666666657</c:v>
                      </c:pt>
                      <c:pt idx="4">
                        <c:v>1.93333333333333</c:v>
                      </c:pt>
                      <c:pt idx="5">
                        <c:v>2.1000000000000014</c:v>
                      </c:pt>
                      <c:pt idx="6">
                        <c:v>2.2666666666666657</c:v>
                      </c:pt>
                      <c:pt idx="7">
                        <c:v>2.43333333333333</c:v>
                      </c:pt>
                      <c:pt idx="8">
                        <c:v>2.6000000000000014</c:v>
                      </c:pt>
                      <c:pt idx="9">
                        <c:v>2.7666666666666657</c:v>
                      </c:pt>
                      <c:pt idx="10">
                        <c:v>2.93333333333333</c:v>
                      </c:pt>
                      <c:pt idx="11">
                        <c:v>3.1000000000000014</c:v>
                      </c:pt>
                      <c:pt idx="12">
                        <c:v>3.2666666666666657</c:v>
                      </c:pt>
                      <c:pt idx="13">
                        <c:v>3.43333333333333</c:v>
                      </c:pt>
                      <c:pt idx="14">
                        <c:v>3.6000000000000014</c:v>
                      </c:pt>
                      <c:pt idx="15">
                        <c:v>3.7666666666666657</c:v>
                      </c:pt>
                      <c:pt idx="16">
                        <c:v>3.93333333333333</c:v>
                      </c:pt>
                      <c:pt idx="17">
                        <c:v>4.1000000000000014</c:v>
                      </c:pt>
                      <c:pt idx="18">
                        <c:v>4.2666666666666657</c:v>
                      </c:pt>
                      <c:pt idx="19">
                        <c:v>4.43333333333333</c:v>
                      </c:pt>
                      <c:pt idx="20">
                        <c:v>4.6000000000000014</c:v>
                      </c:pt>
                      <c:pt idx="21">
                        <c:v>4.7666666666666657</c:v>
                      </c:pt>
                      <c:pt idx="22">
                        <c:v>4.93333333333333</c:v>
                      </c:pt>
                      <c:pt idx="23">
                        <c:v>5.1000000000000014</c:v>
                      </c:pt>
                      <c:pt idx="24">
                        <c:v>5.2666666666666657</c:v>
                      </c:pt>
                      <c:pt idx="25">
                        <c:v>5.43333333333333</c:v>
                      </c:pt>
                      <c:pt idx="26">
                        <c:v>5.6000000000000014</c:v>
                      </c:pt>
                      <c:pt idx="27">
                        <c:v>5.7666666666666657</c:v>
                      </c:pt>
                      <c:pt idx="28">
                        <c:v>5.93333333333333</c:v>
                      </c:pt>
                      <c:pt idx="29">
                        <c:v>6.1000000000000014</c:v>
                      </c:pt>
                      <c:pt idx="30">
                        <c:v>6.2666666666666657</c:v>
                      </c:pt>
                      <c:pt idx="31">
                        <c:v>6.43333333333333</c:v>
                      </c:pt>
                      <c:pt idx="32">
                        <c:v>6.6000000000000014</c:v>
                      </c:pt>
                      <c:pt idx="33">
                        <c:v>6.7666666666666657</c:v>
                      </c:pt>
                      <c:pt idx="34">
                        <c:v>6.9500000000000028</c:v>
                      </c:pt>
                      <c:pt idx="35">
                        <c:v>7.1166666666666671</c:v>
                      </c:pt>
                      <c:pt idx="36">
                        <c:v>7.2833333333333314</c:v>
                      </c:pt>
                      <c:pt idx="37">
                        <c:v>7.4500000000000028</c:v>
                      </c:pt>
                      <c:pt idx="38">
                        <c:v>7.6166666666666671</c:v>
                      </c:pt>
                      <c:pt idx="39">
                        <c:v>7.7833333333333314</c:v>
                      </c:pt>
                      <c:pt idx="40">
                        <c:v>7.9500000000000028</c:v>
                      </c:pt>
                      <c:pt idx="41">
                        <c:v>8.1166666666666671</c:v>
                      </c:pt>
                      <c:pt idx="42">
                        <c:v>8.2833333333333314</c:v>
                      </c:pt>
                      <c:pt idx="43">
                        <c:v>8.4500000000000028</c:v>
                      </c:pt>
                      <c:pt idx="44">
                        <c:v>8.6166666666666671</c:v>
                      </c:pt>
                      <c:pt idx="45">
                        <c:v>8.7833333333333314</c:v>
                      </c:pt>
                      <c:pt idx="46">
                        <c:v>8.9500000000000028</c:v>
                      </c:pt>
                      <c:pt idx="47">
                        <c:v>9.1166666666666671</c:v>
                      </c:pt>
                      <c:pt idx="48">
                        <c:v>9.2833333333333314</c:v>
                      </c:pt>
                      <c:pt idx="49">
                        <c:v>9.4500000000000028</c:v>
                      </c:pt>
                      <c:pt idx="50">
                        <c:v>9.6166666666666671</c:v>
                      </c:pt>
                      <c:pt idx="51">
                        <c:v>9.7833333333333314</c:v>
                      </c:pt>
                      <c:pt idx="52">
                        <c:v>9.9500000000000028</c:v>
                      </c:pt>
                      <c:pt idx="53">
                        <c:v>10.116666666666667</c:v>
                      </c:pt>
                      <c:pt idx="54">
                        <c:v>10.283333333333331</c:v>
                      </c:pt>
                      <c:pt idx="55">
                        <c:v>10.450000000000003</c:v>
                      </c:pt>
                      <c:pt idx="56">
                        <c:v>10.616666666666667</c:v>
                      </c:pt>
                      <c:pt idx="57">
                        <c:v>10.783333333333331</c:v>
                      </c:pt>
                      <c:pt idx="58">
                        <c:v>10.950000000000003</c:v>
                      </c:pt>
                      <c:pt idx="59">
                        <c:v>11.116666666666667</c:v>
                      </c:pt>
                      <c:pt idx="60">
                        <c:v>11.283333333333331</c:v>
                      </c:pt>
                      <c:pt idx="61">
                        <c:v>11.450000000000003</c:v>
                      </c:pt>
                      <c:pt idx="62">
                        <c:v>11.616666666666667</c:v>
                      </c:pt>
                      <c:pt idx="63">
                        <c:v>11.783333333333331</c:v>
                      </c:pt>
                      <c:pt idx="64">
                        <c:v>11.950000000000003</c:v>
                      </c:pt>
                      <c:pt idx="65">
                        <c:v>12.116666666666667</c:v>
                      </c:pt>
                      <c:pt idx="66">
                        <c:v>12.283333333333331</c:v>
                      </c:pt>
                      <c:pt idx="67">
                        <c:v>12.450000000000003</c:v>
                      </c:pt>
                      <c:pt idx="68">
                        <c:v>12.616666666666667</c:v>
                      </c:pt>
                      <c:pt idx="69">
                        <c:v>12.783333333333331</c:v>
                      </c:pt>
                      <c:pt idx="70">
                        <c:v>12.950000000000003</c:v>
                      </c:pt>
                      <c:pt idx="71">
                        <c:v>13.116666666666667</c:v>
                      </c:pt>
                      <c:pt idx="72">
                        <c:v>13.283333333333331</c:v>
                      </c:pt>
                      <c:pt idx="73">
                        <c:v>13.450000000000003</c:v>
                      </c:pt>
                      <c:pt idx="74">
                        <c:v>13.616666666666667</c:v>
                      </c:pt>
                      <c:pt idx="75">
                        <c:v>13.783333333333331</c:v>
                      </c:pt>
                      <c:pt idx="76">
                        <c:v>13.950000000000003</c:v>
                      </c:pt>
                      <c:pt idx="77">
                        <c:v>14.116666666666667</c:v>
                      </c:pt>
                      <c:pt idx="78">
                        <c:v>14.283333333333331</c:v>
                      </c:pt>
                      <c:pt idx="79">
                        <c:v>14.450000000000003</c:v>
                      </c:pt>
                      <c:pt idx="80">
                        <c:v>14.616666666666667</c:v>
                      </c:pt>
                      <c:pt idx="81">
                        <c:v>14.783333333333331</c:v>
                      </c:pt>
                      <c:pt idx="82">
                        <c:v>14.950000000000003</c:v>
                      </c:pt>
                      <c:pt idx="83">
                        <c:v>15.133333333333333</c:v>
                      </c:pt>
                      <c:pt idx="84">
                        <c:v>15.299999999999997</c:v>
                      </c:pt>
                      <c:pt idx="85">
                        <c:v>15.466666666666669</c:v>
                      </c:pt>
                      <c:pt idx="86">
                        <c:v>15.633333333333333</c:v>
                      </c:pt>
                      <c:pt idx="87">
                        <c:v>15.799999999999997</c:v>
                      </c:pt>
                      <c:pt idx="88">
                        <c:v>15.966666666666669</c:v>
                      </c:pt>
                      <c:pt idx="89">
                        <c:v>16.133333333333333</c:v>
                      </c:pt>
                      <c:pt idx="90">
                        <c:v>16.299999999999997</c:v>
                      </c:pt>
                      <c:pt idx="91">
                        <c:v>16.466666666666669</c:v>
                      </c:pt>
                      <c:pt idx="92">
                        <c:v>16.633333333333333</c:v>
                      </c:pt>
                      <c:pt idx="93">
                        <c:v>16.799999999999997</c:v>
                      </c:pt>
                      <c:pt idx="94">
                        <c:v>16.966666666666669</c:v>
                      </c:pt>
                      <c:pt idx="95">
                        <c:v>17.133333333333333</c:v>
                      </c:pt>
                      <c:pt idx="96">
                        <c:v>17.299999999999997</c:v>
                      </c:pt>
                      <c:pt idx="97">
                        <c:v>17.466666666666669</c:v>
                      </c:pt>
                      <c:pt idx="98">
                        <c:v>17.633333333333333</c:v>
                      </c:pt>
                      <c:pt idx="99">
                        <c:v>17.799999999999997</c:v>
                      </c:pt>
                      <c:pt idx="100">
                        <c:v>17.966666666666669</c:v>
                      </c:pt>
                      <c:pt idx="101">
                        <c:v>18.13333333333334</c:v>
                      </c:pt>
                      <c:pt idx="102">
                        <c:v>18.299999999999997</c:v>
                      </c:pt>
                      <c:pt idx="103">
                        <c:v>18.466666666666669</c:v>
                      </c:pt>
                      <c:pt idx="104">
                        <c:v>18.63333333333334</c:v>
                      </c:pt>
                      <c:pt idx="105">
                        <c:v>18.799999999999997</c:v>
                      </c:pt>
                      <c:pt idx="106">
                        <c:v>18.966666666666669</c:v>
                      </c:pt>
                      <c:pt idx="107">
                        <c:v>19.13333333333334</c:v>
                      </c:pt>
                      <c:pt idx="108">
                        <c:v>19.299999999999997</c:v>
                      </c:pt>
                      <c:pt idx="109">
                        <c:v>19.466666666666669</c:v>
                      </c:pt>
                      <c:pt idx="110">
                        <c:v>19.63333333333334</c:v>
                      </c:pt>
                      <c:pt idx="111">
                        <c:v>19.799999999999997</c:v>
                      </c:pt>
                      <c:pt idx="112">
                        <c:v>19.966666666666669</c:v>
                      </c:pt>
                      <c:pt idx="113">
                        <c:v>20.13333333333334</c:v>
                      </c:pt>
                      <c:pt idx="114">
                        <c:v>20.299999999999997</c:v>
                      </c:pt>
                      <c:pt idx="115">
                        <c:v>20.466666666666669</c:v>
                      </c:pt>
                      <c:pt idx="116">
                        <c:v>20.63333333333334</c:v>
                      </c:pt>
                      <c:pt idx="117">
                        <c:v>20.799999999999997</c:v>
                      </c:pt>
                      <c:pt idx="118">
                        <c:v>20.966666666666669</c:v>
                      </c:pt>
                      <c:pt idx="119">
                        <c:v>21.13333333333334</c:v>
                      </c:pt>
                      <c:pt idx="120">
                        <c:v>21.299999999999997</c:v>
                      </c:pt>
                      <c:pt idx="121">
                        <c:v>21.466666666666669</c:v>
                      </c:pt>
                      <c:pt idx="122">
                        <c:v>21.63333333333334</c:v>
                      </c:pt>
                      <c:pt idx="123">
                        <c:v>21.799999999999997</c:v>
                      </c:pt>
                      <c:pt idx="124">
                        <c:v>21.966666666666669</c:v>
                      </c:pt>
                      <c:pt idx="125">
                        <c:v>22.13333333333334</c:v>
                      </c:pt>
                      <c:pt idx="126">
                        <c:v>22.299999999999997</c:v>
                      </c:pt>
                      <c:pt idx="127">
                        <c:v>22.466666666666669</c:v>
                      </c:pt>
                      <c:pt idx="128">
                        <c:v>22.63333333333334</c:v>
                      </c:pt>
                      <c:pt idx="129">
                        <c:v>22.799999999999997</c:v>
                      </c:pt>
                      <c:pt idx="130">
                        <c:v>22.966666666666669</c:v>
                      </c:pt>
                      <c:pt idx="131">
                        <c:v>23.13333333333334</c:v>
                      </c:pt>
                      <c:pt idx="132">
                        <c:v>23.299999999999997</c:v>
                      </c:pt>
                      <c:pt idx="133">
                        <c:v>23.483333333333334</c:v>
                      </c:pt>
                      <c:pt idx="134">
                        <c:v>23.650000000000006</c:v>
                      </c:pt>
                      <c:pt idx="135">
                        <c:v>23.816666666666663</c:v>
                      </c:pt>
                      <c:pt idx="136">
                        <c:v>23.983333333333334</c:v>
                      </c:pt>
                      <c:pt idx="137">
                        <c:v>24.150000000000006</c:v>
                      </c:pt>
                      <c:pt idx="138">
                        <c:v>24.316666666666663</c:v>
                      </c:pt>
                      <c:pt idx="139">
                        <c:v>24.483333333333334</c:v>
                      </c:pt>
                      <c:pt idx="140">
                        <c:v>24.650000000000006</c:v>
                      </c:pt>
                      <c:pt idx="141">
                        <c:v>24.816666666666663</c:v>
                      </c:pt>
                      <c:pt idx="142">
                        <c:v>24.983333333333334</c:v>
                      </c:pt>
                      <c:pt idx="143">
                        <c:v>25.150000000000006</c:v>
                      </c:pt>
                      <c:pt idx="144">
                        <c:v>25.316666666666663</c:v>
                      </c:pt>
                      <c:pt idx="145">
                        <c:v>25.483333333333334</c:v>
                      </c:pt>
                      <c:pt idx="146">
                        <c:v>25.650000000000006</c:v>
                      </c:pt>
                      <c:pt idx="147">
                        <c:v>25.816666666666663</c:v>
                      </c:pt>
                      <c:pt idx="148">
                        <c:v>25.983333333333334</c:v>
                      </c:pt>
                      <c:pt idx="149">
                        <c:v>26.150000000000006</c:v>
                      </c:pt>
                      <c:pt idx="150">
                        <c:v>26.316666666666663</c:v>
                      </c:pt>
                      <c:pt idx="151">
                        <c:v>26.483333333333334</c:v>
                      </c:pt>
                      <c:pt idx="152">
                        <c:v>26.650000000000006</c:v>
                      </c:pt>
                      <c:pt idx="153">
                        <c:v>26.816666666666663</c:v>
                      </c:pt>
                      <c:pt idx="154">
                        <c:v>26.983333333333334</c:v>
                      </c:pt>
                      <c:pt idx="155">
                        <c:v>27.150000000000006</c:v>
                      </c:pt>
                      <c:pt idx="156">
                        <c:v>27.316666666666663</c:v>
                      </c:pt>
                      <c:pt idx="157">
                        <c:v>27.483333333333334</c:v>
                      </c:pt>
                      <c:pt idx="158">
                        <c:v>27.650000000000006</c:v>
                      </c:pt>
                      <c:pt idx="159">
                        <c:v>27.816666666666663</c:v>
                      </c:pt>
                      <c:pt idx="160">
                        <c:v>27.983333333333334</c:v>
                      </c:pt>
                      <c:pt idx="161">
                        <c:v>28.150000000000006</c:v>
                      </c:pt>
                      <c:pt idx="162">
                        <c:v>28.316666666666663</c:v>
                      </c:pt>
                      <c:pt idx="163">
                        <c:v>28.483333333333334</c:v>
                      </c:pt>
                      <c:pt idx="164">
                        <c:v>28.650000000000006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A4E-4AA8-89BF-DD8949D4DEE5}"/>
                  </c:ext>
                </c:extLst>
              </c15:ser>
            </c15:filteredLineSeries>
          </c:ext>
        </c:extLst>
      </c:lineChart>
      <c:catAx>
        <c:axId val="281299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281284880"/>
        <c:crosses val="autoZero"/>
        <c:auto val="0"/>
        <c:lblAlgn val="ctr"/>
        <c:lblOffset val="100"/>
        <c:tickLblSkip val="1"/>
        <c:noMultiLvlLbl val="0"/>
      </c:catAx>
      <c:valAx>
        <c:axId val="281284880"/>
        <c:scaling>
          <c:orientation val="minMax"/>
          <c:min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281299760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'0525'!$C$1</c:f>
              <c:strCache>
                <c:ptCount val="1"/>
                <c:pt idx="0">
                  <c:v>Temperature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'0525'!$B$2:$B$264</c:f>
              <c:numCache>
                <c:formatCode>0</c:formatCode>
                <c:ptCount val="263"/>
                <c:pt idx="0">
                  <c:v>-0.29999999999999982</c:v>
                </c:pt>
                <c:pt idx="1">
                  <c:v>-0.13333333333333375</c:v>
                </c:pt>
                <c:pt idx="2">
                  <c:v>3.3333333333333215E-2</c:v>
                </c:pt>
                <c:pt idx="3">
                  <c:v>0.20000000000000018</c:v>
                </c:pt>
                <c:pt idx="4">
                  <c:v>0.36666666666666625</c:v>
                </c:pt>
                <c:pt idx="5">
                  <c:v>0.53333333333333321</c:v>
                </c:pt>
                <c:pt idx="6">
                  <c:v>0.70000000000000018</c:v>
                </c:pt>
                <c:pt idx="7">
                  <c:v>0.86666666666666625</c:v>
                </c:pt>
                <c:pt idx="8">
                  <c:v>1.0333333333333332</c:v>
                </c:pt>
                <c:pt idx="9">
                  <c:v>1.1999999999999993</c:v>
                </c:pt>
                <c:pt idx="10">
                  <c:v>1.3666666666666671</c:v>
                </c:pt>
                <c:pt idx="11">
                  <c:v>1.5333333333333332</c:v>
                </c:pt>
                <c:pt idx="12">
                  <c:v>1.6999999999999993</c:v>
                </c:pt>
                <c:pt idx="13">
                  <c:v>1.8833333333333329</c:v>
                </c:pt>
                <c:pt idx="14">
                  <c:v>2.0500000000000007</c:v>
                </c:pt>
                <c:pt idx="15">
                  <c:v>2.2166666666666668</c:v>
                </c:pt>
                <c:pt idx="16">
                  <c:v>2.3833333333333329</c:v>
                </c:pt>
                <c:pt idx="17">
                  <c:v>2.5666666666666664</c:v>
                </c:pt>
                <c:pt idx="18">
                  <c:v>2.7333333333333325</c:v>
                </c:pt>
                <c:pt idx="19">
                  <c:v>2.9000000000000004</c:v>
                </c:pt>
                <c:pt idx="20">
                  <c:v>3.0666666666666664</c:v>
                </c:pt>
                <c:pt idx="21">
                  <c:v>3.25</c:v>
                </c:pt>
                <c:pt idx="22">
                  <c:v>3.4166666666666661</c:v>
                </c:pt>
                <c:pt idx="23">
                  <c:v>3.5999999999999996</c:v>
                </c:pt>
                <c:pt idx="24">
                  <c:v>3.7666666666666675</c:v>
                </c:pt>
                <c:pt idx="25">
                  <c:v>3.9333333333333336</c:v>
                </c:pt>
                <c:pt idx="26">
                  <c:v>4.1166666666666671</c:v>
                </c:pt>
                <c:pt idx="27">
                  <c:v>4.2833333333333332</c:v>
                </c:pt>
                <c:pt idx="28">
                  <c:v>4.4499999999999993</c:v>
                </c:pt>
                <c:pt idx="29">
                  <c:v>4.6166666666666671</c:v>
                </c:pt>
                <c:pt idx="30">
                  <c:v>4.7833333333333332</c:v>
                </c:pt>
                <c:pt idx="31">
                  <c:v>4.9666666666666668</c:v>
                </c:pt>
                <c:pt idx="32">
                  <c:v>5.1333333333333329</c:v>
                </c:pt>
                <c:pt idx="33">
                  <c:v>5.3166666666666664</c:v>
                </c:pt>
                <c:pt idx="34">
                  <c:v>5.4833333333333325</c:v>
                </c:pt>
                <c:pt idx="35">
                  <c:v>5.65</c:v>
                </c:pt>
                <c:pt idx="36">
                  <c:v>5.8333333333333339</c:v>
                </c:pt>
                <c:pt idx="37">
                  <c:v>6</c:v>
                </c:pt>
                <c:pt idx="38">
                  <c:v>6.1666666666666661</c:v>
                </c:pt>
                <c:pt idx="39">
                  <c:v>6.3333333333333339</c:v>
                </c:pt>
                <c:pt idx="40">
                  <c:v>6.5</c:v>
                </c:pt>
                <c:pt idx="41">
                  <c:v>6.6666666666666661</c:v>
                </c:pt>
                <c:pt idx="42">
                  <c:v>6.8333333333333339</c:v>
                </c:pt>
                <c:pt idx="43">
                  <c:v>7</c:v>
                </c:pt>
                <c:pt idx="44">
                  <c:v>7.1833333333333336</c:v>
                </c:pt>
                <c:pt idx="45">
                  <c:v>7.35</c:v>
                </c:pt>
                <c:pt idx="46">
                  <c:v>7.5333333333333332</c:v>
                </c:pt>
                <c:pt idx="47">
                  <c:v>7.6999999999999993</c:v>
                </c:pt>
                <c:pt idx="48">
                  <c:v>7.8666666666666671</c:v>
                </c:pt>
                <c:pt idx="49">
                  <c:v>8.0500000000000007</c:v>
                </c:pt>
                <c:pt idx="50">
                  <c:v>8.2166666666666668</c:v>
                </c:pt>
                <c:pt idx="51">
                  <c:v>8.3833333333333329</c:v>
                </c:pt>
                <c:pt idx="52">
                  <c:v>8.5500000000000007</c:v>
                </c:pt>
                <c:pt idx="53">
                  <c:v>8.7333333333333325</c:v>
                </c:pt>
                <c:pt idx="54">
                  <c:v>8.9</c:v>
                </c:pt>
                <c:pt idx="55">
                  <c:v>9.0666666666666664</c:v>
                </c:pt>
                <c:pt idx="56">
                  <c:v>9.2333333333333343</c:v>
                </c:pt>
                <c:pt idx="57">
                  <c:v>9.3999999999999986</c:v>
                </c:pt>
                <c:pt idx="58">
                  <c:v>9.5666666666666664</c:v>
                </c:pt>
                <c:pt idx="59">
                  <c:v>9.7333333333333343</c:v>
                </c:pt>
                <c:pt idx="60">
                  <c:v>9.8999999999999986</c:v>
                </c:pt>
                <c:pt idx="61">
                  <c:v>10.066666666666666</c:v>
                </c:pt>
                <c:pt idx="62">
                  <c:v>10.233333333333334</c:v>
                </c:pt>
                <c:pt idx="63">
                  <c:v>10.416666666666668</c:v>
                </c:pt>
                <c:pt idx="64">
                  <c:v>10.583333333333332</c:v>
                </c:pt>
                <c:pt idx="65">
                  <c:v>10.75</c:v>
                </c:pt>
                <c:pt idx="66">
                  <c:v>10.916666666666668</c:v>
                </c:pt>
                <c:pt idx="67">
                  <c:v>11.100000000000001</c:v>
                </c:pt>
                <c:pt idx="68">
                  <c:v>11.266666666666666</c:v>
                </c:pt>
                <c:pt idx="69">
                  <c:v>11.433333333333334</c:v>
                </c:pt>
                <c:pt idx="70">
                  <c:v>11.600000000000001</c:v>
                </c:pt>
                <c:pt idx="71">
                  <c:v>11.766666666666666</c:v>
                </c:pt>
                <c:pt idx="72">
                  <c:v>11.95</c:v>
                </c:pt>
                <c:pt idx="73">
                  <c:v>12.116666666666667</c:v>
                </c:pt>
                <c:pt idx="74">
                  <c:v>12.283333333333335</c:v>
                </c:pt>
                <c:pt idx="75">
                  <c:v>12.45</c:v>
                </c:pt>
                <c:pt idx="76">
                  <c:v>12.633333333333333</c:v>
                </c:pt>
                <c:pt idx="77">
                  <c:v>12.8</c:v>
                </c:pt>
                <c:pt idx="78">
                  <c:v>12.966666666666665</c:v>
                </c:pt>
                <c:pt idx="79">
                  <c:v>13.133333333333333</c:v>
                </c:pt>
                <c:pt idx="80">
                  <c:v>13.3</c:v>
                </c:pt>
                <c:pt idx="81">
                  <c:v>13.466666666666665</c:v>
                </c:pt>
                <c:pt idx="82">
                  <c:v>13.633333333333333</c:v>
                </c:pt>
                <c:pt idx="83">
                  <c:v>13.816666666666666</c:v>
                </c:pt>
                <c:pt idx="84">
                  <c:v>13.983333333333334</c:v>
                </c:pt>
                <c:pt idx="85">
                  <c:v>14.149999999999999</c:v>
                </c:pt>
                <c:pt idx="86">
                  <c:v>14.316666666666666</c:v>
                </c:pt>
                <c:pt idx="87">
                  <c:v>14.483333333333334</c:v>
                </c:pt>
                <c:pt idx="88">
                  <c:v>14.649999999999999</c:v>
                </c:pt>
                <c:pt idx="89">
                  <c:v>14.816666666666666</c:v>
                </c:pt>
                <c:pt idx="90">
                  <c:v>15</c:v>
                </c:pt>
                <c:pt idx="91">
                  <c:v>15.166666666666668</c:v>
                </c:pt>
                <c:pt idx="92">
                  <c:v>15.333333333333332</c:v>
                </c:pt>
                <c:pt idx="93">
                  <c:v>15.5</c:v>
                </c:pt>
                <c:pt idx="94">
                  <c:v>15.666666666666668</c:v>
                </c:pt>
                <c:pt idx="95">
                  <c:v>15.850000000000001</c:v>
                </c:pt>
                <c:pt idx="96">
                  <c:v>16.016666666666666</c:v>
                </c:pt>
                <c:pt idx="97">
                  <c:v>16.183333333333334</c:v>
                </c:pt>
                <c:pt idx="98">
                  <c:v>16.350000000000001</c:v>
                </c:pt>
                <c:pt idx="99">
                  <c:v>16.516666666666666</c:v>
                </c:pt>
                <c:pt idx="100">
                  <c:v>16.7</c:v>
                </c:pt>
                <c:pt idx="101">
                  <c:v>16.866666666666667</c:v>
                </c:pt>
                <c:pt idx="102">
                  <c:v>17.033333333333335</c:v>
                </c:pt>
                <c:pt idx="103">
                  <c:v>17.2</c:v>
                </c:pt>
                <c:pt idx="104">
                  <c:v>17.366666666666667</c:v>
                </c:pt>
                <c:pt idx="105">
                  <c:v>17.533333333333335</c:v>
                </c:pt>
                <c:pt idx="106">
                  <c:v>17.716666666666665</c:v>
                </c:pt>
                <c:pt idx="107">
                  <c:v>17.883333333333333</c:v>
                </c:pt>
                <c:pt idx="108">
                  <c:v>18.05</c:v>
                </c:pt>
                <c:pt idx="109">
                  <c:v>18.216666666666665</c:v>
                </c:pt>
                <c:pt idx="110">
                  <c:v>18.399999999999999</c:v>
                </c:pt>
                <c:pt idx="111">
                  <c:v>18.566666666666666</c:v>
                </c:pt>
                <c:pt idx="112">
                  <c:v>18.733333333333334</c:v>
                </c:pt>
                <c:pt idx="113">
                  <c:v>18.899999999999999</c:v>
                </c:pt>
                <c:pt idx="114">
                  <c:v>19.066666666666666</c:v>
                </c:pt>
                <c:pt idx="115">
                  <c:v>19.25</c:v>
                </c:pt>
                <c:pt idx="116">
                  <c:v>19.433333333333334</c:v>
                </c:pt>
                <c:pt idx="117">
                  <c:v>19.600000000000001</c:v>
                </c:pt>
                <c:pt idx="118">
                  <c:v>19.766666666666666</c:v>
                </c:pt>
                <c:pt idx="119">
                  <c:v>19.933333333333334</c:v>
                </c:pt>
                <c:pt idx="120">
                  <c:v>20.100000000000001</c:v>
                </c:pt>
                <c:pt idx="121">
                  <c:v>20.283333333333335</c:v>
                </c:pt>
                <c:pt idx="122">
                  <c:v>20.45</c:v>
                </c:pt>
                <c:pt idx="123">
                  <c:v>20.616666666666667</c:v>
                </c:pt>
                <c:pt idx="124">
                  <c:v>20.816666666666666</c:v>
                </c:pt>
                <c:pt idx="125">
                  <c:v>20.983333333333334</c:v>
                </c:pt>
                <c:pt idx="126">
                  <c:v>21.15</c:v>
                </c:pt>
                <c:pt idx="127">
                  <c:v>21.316666666666666</c:v>
                </c:pt>
                <c:pt idx="128">
                  <c:v>21.5</c:v>
                </c:pt>
                <c:pt idx="129">
                  <c:v>21.666666666666668</c:v>
                </c:pt>
                <c:pt idx="130">
                  <c:v>21.833333333333332</c:v>
                </c:pt>
                <c:pt idx="131">
                  <c:v>22.016666666666666</c:v>
                </c:pt>
                <c:pt idx="132">
                  <c:v>22.183333333333334</c:v>
                </c:pt>
                <c:pt idx="133">
                  <c:v>22.35</c:v>
                </c:pt>
                <c:pt idx="134">
                  <c:v>22.516666666666666</c:v>
                </c:pt>
                <c:pt idx="135">
                  <c:v>22.683333333333334</c:v>
                </c:pt>
                <c:pt idx="136">
                  <c:v>22.866666666666667</c:v>
                </c:pt>
                <c:pt idx="137">
                  <c:v>23.033333333333335</c:v>
                </c:pt>
                <c:pt idx="138">
                  <c:v>23.216666666666665</c:v>
                </c:pt>
                <c:pt idx="139">
                  <c:v>23.383333333333333</c:v>
                </c:pt>
                <c:pt idx="140">
                  <c:v>23.55</c:v>
                </c:pt>
                <c:pt idx="141">
                  <c:v>23.716666666666665</c:v>
                </c:pt>
                <c:pt idx="142">
                  <c:v>23.883333333333333</c:v>
                </c:pt>
                <c:pt idx="143">
                  <c:v>24.066666666666666</c:v>
                </c:pt>
                <c:pt idx="144">
                  <c:v>24.233333333333334</c:v>
                </c:pt>
                <c:pt idx="145">
                  <c:v>24.4</c:v>
                </c:pt>
                <c:pt idx="146">
                  <c:v>24.583333333333332</c:v>
                </c:pt>
                <c:pt idx="147">
                  <c:v>24.75</c:v>
                </c:pt>
                <c:pt idx="148">
                  <c:v>24.916666666666668</c:v>
                </c:pt>
                <c:pt idx="149">
                  <c:v>25.083333333333336</c:v>
                </c:pt>
                <c:pt idx="150">
                  <c:v>25.266666666666666</c:v>
                </c:pt>
                <c:pt idx="151">
                  <c:v>25.450000000000003</c:v>
                </c:pt>
                <c:pt idx="152">
                  <c:v>25.633333333333333</c:v>
                </c:pt>
                <c:pt idx="153">
                  <c:v>25.799999999999997</c:v>
                </c:pt>
                <c:pt idx="154">
                  <c:v>25.983333333333334</c:v>
                </c:pt>
                <c:pt idx="155">
                  <c:v>26.15</c:v>
                </c:pt>
                <c:pt idx="156">
                  <c:v>26.31666666666667</c:v>
                </c:pt>
                <c:pt idx="157">
                  <c:v>26.5</c:v>
                </c:pt>
                <c:pt idx="158">
                  <c:v>26.666666666666664</c:v>
                </c:pt>
                <c:pt idx="159">
                  <c:v>26.85</c:v>
                </c:pt>
                <c:pt idx="160">
                  <c:v>27.016666666666666</c:v>
                </c:pt>
                <c:pt idx="161">
                  <c:v>27.200000000000003</c:v>
                </c:pt>
                <c:pt idx="162">
                  <c:v>27.366666666666667</c:v>
                </c:pt>
                <c:pt idx="163">
                  <c:v>27.549999999999997</c:v>
                </c:pt>
                <c:pt idx="164">
                  <c:v>27.716666666666669</c:v>
                </c:pt>
                <c:pt idx="165">
                  <c:v>27.883333333333333</c:v>
                </c:pt>
                <c:pt idx="166">
                  <c:v>28.06666666666667</c:v>
                </c:pt>
                <c:pt idx="167">
                  <c:v>28.25</c:v>
                </c:pt>
                <c:pt idx="168">
                  <c:v>28.416666666666664</c:v>
                </c:pt>
                <c:pt idx="169">
                  <c:v>28.583333333333336</c:v>
                </c:pt>
                <c:pt idx="170">
                  <c:v>28.75</c:v>
                </c:pt>
                <c:pt idx="171">
                  <c:v>28.93333333333333</c:v>
                </c:pt>
                <c:pt idx="172">
                  <c:v>29.1</c:v>
                </c:pt>
                <c:pt idx="173">
                  <c:v>29.266666666666666</c:v>
                </c:pt>
                <c:pt idx="174">
                  <c:v>29.43333333333333</c:v>
                </c:pt>
                <c:pt idx="175">
                  <c:v>29.6</c:v>
                </c:pt>
                <c:pt idx="176">
                  <c:v>29.783333333333331</c:v>
                </c:pt>
                <c:pt idx="177">
                  <c:v>29.950000000000003</c:v>
                </c:pt>
                <c:pt idx="178">
                  <c:v>30.116666666666667</c:v>
                </c:pt>
                <c:pt idx="179">
                  <c:v>30.283333333333331</c:v>
                </c:pt>
                <c:pt idx="180">
                  <c:v>30.450000000000003</c:v>
                </c:pt>
                <c:pt idx="181">
                  <c:v>30.633333333333333</c:v>
                </c:pt>
                <c:pt idx="182">
                  <c:v>30.799999999999997</c:v>
                </c:pt>
                <c:pt idx="183">
                  <c:v>30.966666666666669</c:v>
                </c:pt>
                <c:pt idx="184">
                  <c:v>31.15</c:v>
                </c:pt>
                <c:pt idx="185">
                  <c:v>31.31666666666667</c:v>
                </c:pt>
                <c:pt idx="186">
                  <c:v>31.483333333333334</c:v>
                </c:pt>
                <c:pt idx="187">
                  <c:v>31.666666666666664</c:v>
                </c:pt>
                <c:pt idx="188">
                  <c:v>31.833333333333336</c:v>
                </c:pt>
                <c:pt idx="189">
                  <c:v>32</c:v>
                </c:pt>
                <c:pt idx="190">
                  <c:v>32.18333333333333</c:v>
                </c:pt>
                <c:pt idx="191">
                  <c:v>32.35</c:v>
                </c:pt>
                <c:pt idx="192">
                  <c:v>32.516666666666666</c:v>
                </c:pt>
                <c:pt idx="193">
                  <c:v>32.68333333333333</c:v>
                </c:pt>
                <c:pt idx="194">
                  <c:v>32.866666666666667</c:v>
                </c:pt>
                <c:pt idx="195">
                  <c:v>33.033333333333331</c:v>
                </c:pt>
                <c:pt idx="196">
                  <c:v>33.200000000000003</c:v>
                </c:pt>
                <c:pt idx="197">
                  <c:v>33.366666666666667</c:v>
                </c:pt>
                <c:pt idx="198">
                  <c:v>33.549999999999997</c:v>
                </c:pt>
                <c:pt idx="199">
                  <c:v>33.716666666666669</c:v>
                </c:pt>
                <c:pt idx="200">
                  <c:v>33.883333333333333</c:v>
                </c:pt>
                <c:pt idx="201">
                  <c:v>34.06666666666667</c:v>
                </c:pt>
                <c:pt idx="202">
                  <c:v>34.233333333333334</c:v>
                </c:pt>
                <c:pt idx="203">
                  <c:v>34.4</c:v>
                </c:pt>
                <c:pt idx="204">
                  <c:v>34.56666666666667</c:v>
                </c:pt>
                <c:pt idx="205">
                  <c:v>34.733333333333334</c:v>
                </c:pt>
                <c:pt idx="206">
                  <c:v>34.916666666666664</c:v>
                </c:pt>
                <c:pt idx="207">
                  <c:v>35.083333333333336</c:v>
                </c:pt>
                <c:pt idx="208">
                  <c:v>35.25</c:v>
                </c:pt>
                <c:pt idx="209">
                  <c:v>35.416666666666664</c:v>
                </c:pt>
                <c:pt idx="210">
                  <c:v>35.583333333333336</c:v>
                </c:pt>
                <c:pt idx="211">
                  <c:v>35.75</c:v>
                </c:pt>
                <c:pt idx="212">
                  <c:v>35.93333333333333</c:v>
                </c:pt>
                <c:pt idx="213">
                  <c:v>36.1</c:v>
                </c:pt>
                <c:pt idx="214">
                  <c:v>36.266666666666666</c:v>
                </c:pt>
                <c:pt idx="215">
                  <c:v>36.43333333333333</c:v>
                </c:pt>
                <c:pt idx="216">
                  <c:v>36.6</c:v>
                </c:pt>
                <c:pt idx="217">
                  <c:v>36.766666666666666</c:v>
                </c:pt>
                <c:pt idx="218">
                  <c:v>36.950000000000003</c:v>
                </c:pt>
                <c:pt idx="219">
                  <c:v>37.116666666666667</c:v>
                </c:pt>
                <c:pt idx="220">
                  <c:v>37.299999999999997</c:v>
                </c:pt>
                <c:pt idx="221">
                  <c:v>37.466666666666669</c:v>
                </c:pt>
                <c:pt idx="222">
                  <c:v>37.633333333333333</c:v>
                </c:pt>
                <c:pt idx="223">
                  <c:v>37.799999999999997</c:v>
                </c:pt>
                <c:pt idx="224">
                  <c:v>37.966666666666669</c:v>
                </c:pt>
                <c:pt idx="225">
                  <c:v>38.15</c:v>
                </c:pt>
                <c:pt idx="226">
                  <c:v>38.31666666666667</c:v>
                </c:pt>
                <c:pt idx="227">
                  <c:v>38.483333333333334</c:v>
                </c:pt>
                <c:pt idx="228">
                  <c:v>38.65</c:v>
                </c:pt>
                <c:pt idx="229">
                  <c:v>38.81666666666667</c:v>
                </c:pt>
                <c:pt idx="230">
                  <c:v>39</c:v>
                </c:pt>
                <c:pt idx="231">
                  <c:v>39.166666666666664</c:v>
                </c:pt>
                <c:pt idx="232">
                  <c:v>39.333333333333336</c:v>
                </c:pt>
                <c:pt idx="233">
                  <c:v>39.5</c:v>
                </c:pt>
                <c:pt idx="234">
                  <c:v>39.68333333333333</c:v>
                </c:pt>
                <c:pt idx="235">
                  <c:v>39.85</c:v>
                </c:pt>
                <c:pt idx="236">
                  <c:v>40.016666666666666</c:v>
                </c:pt>
                <c:pt idx="237">
                  <c:v>40.18333333333333</c:v>
                </c:pt>
                <c:pt idx="238">
                  <c:v>40.366666666666667</c:v>
                </c:pt>
                <c:pt idx="239">
                  <c:v>40.533333333333331</c:v>
                </c:pt>
                <c:pt idx="240">
                  <c:v>40.700000000000003</c:v>
                </c:pt>
                <c:pt idx="241">
                  <c:v>40.883333333333333</c:v>
                </c:pt>
                <c:pt idx="242">
                  <c:v>41.05</c:v>
                </c:pt>
                <c:pt idx="243">
                  <c:v>41.233333333333334</c:v>
                </c:pt>
                <c:pt idx="244">
                  <c:v>41.4</c:v>
                </c:pt>
                <c:pt idx="245">
                  <c:v>41.56666666666667</c:v>
                </c:pt>
                <c:pt idx="246">
                  <c:v>41.733333333333334</c:v>
                </c:pt>
                <c:pt idx="247">
                  <c:v>41.9</c:v>
                </c:pt>
                <c:pt idx="248">
                  <c:v>42.06666666666667</c:v>
                </c:pt>
                <c:pt idx="249">
                  <c:v>42.25</c:v>
                </c:pt>
                <c:pt idx="250">
                  <c:v>42.416666666666664</c:v>
                </c:pt>
                <c:pt idx="251">
                  <c:v>42.583333333333336</c:v>
                </c:pt>
                <c:pt idx="252">
                  <c:v>42.766666666666666</c:v>
                </c:pt>
                <c:pt idx="253">
                  <c:v>42.93333333333333</c:v>
                </c:pt>
                <c:pt idx="254">
                  <c:v>43.1</c:v>
                </c:pt>
                <c:pt idx="255">
                  <c:v>43.266666666666666</c:v>
                </c:pt>
                <c:pt idx="256">
                  <c:v>43.43333333333333</c:v>
                </c:pt>
                <c:pt idx="257">
                  <c:v>43.6</c:v>
                </c:pt>
                <c:pt idx="258">
                  <c:v>43.766666666666666</c:v>
                </c:pt>
                <c:pt idx="259">
                  <c:v>43.93333333333333</c:v>
                </c:pt>
                <c:pt idx="260">
                  <c:v>44.116666666666667</c:v>
                </c:pt>
                <c:pt idx="261">
                  <c:v>44.283333333333331</c:v>
                </c:pt>
                <c:pt idx="262">
                  <c:v>44.45</c:v>
                </c:pt>
              </c:numCache>
            </c:numRef>
          </c:cat>
          <c:val>
            <c:numRef>
              <c:f>'0525'!$C$2:$C$264</c:f>
              <c:numCache>
                <c:formatCode>General</c:formatCode>
                <c:ptCount val="263"/>
                <c:pt idx="0">
                  <c:v>28.99</c:v>
                </c:pt>
                <c:pt idx="1">
                  <c:v>29.6</c:v>
                </c:pt>
                <c:pt idx="2">
                  <c:v>30.3</c:v>
                </c:pt>
                <c:pt idx="3">
                  <c:v>30.99</c:v>
                </c:pt>
                <c:pt idx="4">
                  <c:v>31.4</c:v>
                </c:pt>
                <c:pt idx="5">
                  <c:v>31.46</c:v>
                </c:pt>
                <c:pt idx="6">
                  <c:v>32.19</c:v>
                </c:pt>
                <c:pt idx="7">
                  <c:v>33.42</c:v>
                </c:pt>
                <c:pt idx="8">
                  <c:v>33.99</c:v>
                </c:pt>
                <c:pt idx="9">
                  <c:v>34.64</c:v>
                </c:pt>
                <c:pt idx="10">
                  <c:v>35.619999999999997</c:v>
                </c:pt>
                <c:pt idx="11">
                  <c:v>36.369999999999997</c:v>
                </c:pt>
                <c:pt idx="12">
                  <c:v>36.93</c:v>
                </c:pt>
                <c:pt idx="13">
                  <c:v>37.75</c:v>
                </c:pt>
                <c:pt idx="14">
                  <c:v>38.049999999999997</c:v>
                </c:pt>
                <c:pt idx="15">
                  <c:v>38.79</c:v>
                </c:pt>
                <c:pt idx="16">
                  <c:v>40.35</c:v>
                </c:pt>
                <c:pt idx="17">
                  <c:v>41.06</c:v>
                </c:pt>
                <c:pt idx="18">
                  <c:v>41.28</c:v>
                </c:pt>
                <c:pt idx="19">
                  <c:v>42.23</c:v>
                </c:pt>
                <c:pt idx="20">
                  <c:v>43.41</c:v>
                </c:pt>
                <c:pt idx="21">
                  <c:v>43.74</c:v>
                </c:pt>
                <c:pt idx="22">
                  <c:v>43.98</c:v>
                </c:pt>
                <c:pt idx="23">
                  <c:v>44.89</c:v>
                </c:pt>
                <c:pt idx="24">
                  <c:v>45.47</c:v>
                </c:pt>
                <c:pt idx="25">
                  <c:v>46.48</c:v>
                </c:pt>
                <c:pt idx="26">
                  <c:v>48.74</c:v>
                </c:pt>
                <c:pt idx="27">
                  <c:v>48.48</c:v>
                </c:pt>
                <c:pt idx="28">
                  <c:v>49.43</c:v>
                </c:pt>
                <c:pt idx="29">
                  <c:v>49.43</c:v>
                </c:pt>
                <c:pt idx="30">
                  <c:v>49.34</c:v>
                </c:pt>
                <c:pt idx="31">
                  <c:v>50.58</c:v>
                </c:pt>
                <c:pt idx="32">
                  <c:v>51.09</c:v>
                </c:pt>
                <c:pt idx="33">
                  <c:v>51.02</c:v>
                </c:pt>
                <c:pt idx="34">
                  <c:v>51.53</c:v>
                </c:pt>
                <c:pt idx="35">
                  <c:v>51.97</c:v>
                </c:pt>
                <c:pt idx="36">
                  <c:v>52.66</c:v>
                </c:pt>
                <c:pt idx="37">
                  <c:v>52.45</c:v>
                </c:pt>
                <c:pt idx="38">
                  <c:v>52.46</c:v>
                </c:pt>
                <c:pt idx="39">
                  <c:v>53.1</c:v>
                </c:pt>
                <c:pt idx="40">
                  <c:v>54.03</c:v>
                </c:pt>
                <c:pt idx="41">
                  <c:v>54.72</c:v>
                </c:pt>
                <c:pt idx="42">
                  <c:v>55.08</c:v>
                </c:pt>
                <c:pt idx="43">
                  <c:v>54.65</c:v>
                </c:pt>
                <c:pt idx="44">
                  <c:v>55.09</c:v>
                </c:pt>
                <c:pt idx="45">
                  <c:v>54.7</c:v>
                </c:pt>
                <c:pt idx="46">
                  <c:v>54.23</c:v>
                </c:pt>
                <c:pt idx="47">
                  <c:v>54.1</c:v>
                </c:pt>
                <c:pt idx="48">
                  <c:v>54.69</c:v>
                </c:pt>
                <c:pt idx="49">
                  <c:v>55.36</c:v>
                </c:pt>
                <c:pt idx="50">
                  <c:v>55.99</c:v>
                </c:pt>
                <c:pt idx="51">
                  <c:v>57.18</c:v>
                </c:pt>
                <c:pt idx="52">
                  <c:v>56.81</c:v>
                </c:pt>
                <c:pt idx="53">
                  <c:v>56.39</c:v>
                </c:pt>
                <c:pt idx="54">
                  <c:v>56.41</c:v>
                </c:pt>
                <c:pt idx="55">
                  <c:v>56.5</c:v>
                </c:pt>
                <c:pt idx="56">
                  <c:v>57.25</c:v>
                </c:pt>
                <c:pt idx="57">
                  <c:v>57.32</c:v>
                </c:pt>
                <c:pt idx="58">
                  <c:v>58.33</c:v>
                </c:pt>
                <c:pt idx="59">
                  <c:v>59.09</c:v>
                </c:pt>
                <c:pt idx="60">
                  <c:v>58.98</c:v>
                </c:pt>
                <c:pt idx="61">
                  <c:v>58.7</c:v>
                </c:pt>
                <c:pt idx="62">
                  <c:v>59.88</c:v>
                </c:pt>
                <c:pt idx="63">
                  <c:v>59.4</c:v>
                </c:pt>
                <c:pt idx="64">
                  <c:v>58.63</c:v>
                </c:pt>
                <c:pt idx="65">
                  <c:v>59.36</c:v>
                </c:pt>
                <c:pt idx="66">
                  <c:v>59.41</c:v>
                </c:pt>
                <c:pt idx="67">
                  <c:v>59.58</c:v>
                </c:pt>
                <c:pt idx="68">
                  <c:v>60.01</c:v>
                </c:pt>
                <c:pt idx="69">
                  <c:v>60.4</c:v>
                </c:pt>
                <c:pt idx="70">
                  <c:v>60.78</c:v>
                </c:pt>
                <c:pt idx="71">
                  <c:v>61.55</c:v>
                </c:pt>
                <c:pt idx="72">
                  <c:v>61.78</c:v>
                </c:pt>
                <c:pt idx="73">
                  <c:v>60.87</c:v>
                </c:pt>
                <c:pt idx="74">
                  <c:v>59.49</c:v>
                </c:pt>
                <c:pt idx="75">
                  <c:v>59.73</c:v>
                </c:pt>
                <c:pt idx="76">
                  <c:v>59.97</c:v>
                </c:pt>
                <c:pt idx="77">
                  <c:v>60.51</c:v>
                </c:pt>
                <c:pt idx="78">
                  <c:v>60.46</c:v>
                </c:pt>
                <c:pt idx="79">
                  <c:v>61.82</c:v>
                </c:pt>
                <c:pt idx="80">
                  <c:v>61.83</c:v>
                </c:pt>
                <c:pt idx="81">
                  <c:v>61.73</c:v>
                </c:pt>
                <c:pt idx="82">
                  <c:v>62.03</c:v>
                </c:pt>
                <c:pt idx="83">
                  <c:v>62.78</c:v>
                </c:pt>
                <c:pt idx="84">
                  <c:v>63.32</c:v>
                </c:pt>
                <c:pt idx="85">
                  <c:v>62.55</c:v>
                </c:pt>
                <c:pt idx="86">
                  <c:v>62.23</c:v>
                </c:pt>
                <c:pt idx="87">
                  <c:v>62.3</c:v>
                </c:pt>
                <c:pt idx="88">
                  <c:v>62.76</c:v>
                </c:pt>
                <c:pt idx="89">
                  <c:v>63.6</c:v>
                </c:pt>
                <c:pt idx="90">
                  <c:v>64.209999999999994</c:v>
                </c:pt>
                <c:pt idx="91">
                  <c:v>64.709999999999994</c:v>
                </c:pt>
                <c:pt idx="92">
                  <c:v>64.08</c:v>
                </c:pt>
                <c:pt idx="93">
                  <c:v>64.209999999999994</c:v>
                </c:pt>
                <c:pt idx="94">
                  <c:v>64.22</c:v>
                </c:pt>
                <c:pt idx="95">
                  <c:v>64.36</c:v>
                </c:pt>
                <c:pt idx="96">
                  <c:v>63.34</c:v>
                </c:pt>
                <c:pt idx="97">
                  <c:v>64.069999999999993</c:v>
                </c:pt>
                <c:pt idx="98">
                  <c:v>64.23</c:v>
                </c:pt>
                <c:pt idx="99">
                  <c:v>64.75</c:v>
                </c:pt>
                <c:pt idx="100">
                  <c:v>65.91</c:v>
                </c:pt>
                <c:pt idx="101">
                  <c:v>65.62</c:v>
                </c:pt>
                <c:pt idx="102">
                  <c:v>65.790000000000006</c:v>
                </c:pt>
                <c:pt idx="103">
                  <c:v>66.19</c:v>
                </c:pt>
                <c:pt idx="104">
                  <c:v>65.569999999999993</c:v>
                </c:pt>
                <c:pt idx="105">
                  <c:v>65.150000000000006</c:v>
                </c:pt>
                <c:pt idx="106">
                  <c:v>65.72</c:v>
                </c:pt>
                <c:pt idx="107">
                  <c:v>65.89</c:v>
                </c:pt>
                <c:pt idx="108">
                  <c:v>66.349999999999994</c:v>
                </c:pt>
                <c:pt idx="109">
                  <c:v>66.23</c:v>
                </c:pt>
                <c:pt idx="110">
                  <c:v>66.180000000000007</c:v>
                </c:pt>
                <c:pt idx="111">
                  <c:v>67.42</c:v>
                </c:pt>
                <c:pt idx="112">
                  <c:v>67.400000000000006</c:v>
                </c:pt>
                <c:pt idx="113">
                  <c:v>68.099999999999994</c:v>
                </c:pt>
                <c:pt idx="114">
                  <c:v>68.099999999999994</c:v>
                </c:pt>
                <c:pt idx="115">
                  <c:v>68.08</c:v>
                </c:pt>
                <c:pt idx="116">
                  <c:v>68.010000000000005</c:v>
                </c:pt>
                <c:pt idx="117">
                  <c:v>66.95</c:v>
                </c:pt>
                <c:pt idx="118">
                  <c:v>67.349999999999994</c:v>
                </c:pt>
                <c:pt idx="119">
                  <c:v>67.489999999999995</c:v>
                </c:pt>
                <c:pt idx="120">
                  <c:v>68.069999999999993</c:v>
                </c:pt>
                <c:pt idx="121">
                  <c:v>68.349999999999994</c:v>
                </c:pt>
                <c:pt idx="122">
                  <c:v>69.53</c:v>
                </c:pt>
                <c:pt idx="123">
                  <c:v>69.28</c:v>
                </c:pt>
                <c:pt idx="124">
                  <c:v>68.599999999999994</c:v>
                </c:pt>
                <c:pt idx="125">
                  <c:v>68.47</c:v>
                </c:pt>
                <c:pt idx="126">
                  <c:v>67.86</c:v>
                </c:pt>
                <c:pt idx="127">
                  <c:v>67.44</c:v>
                </c:pt>
                <c:pt idx="128">
                  <c:v>68.25</c:v>
                </c:pt>
                <c:pt idx="129">
                  <c:v>68.59</c:v>
                </c:pt>
                <c:pt idx="130">
                  <c:v>68.989999999999995</c:v>
                </c:pt>
                <c:pt idx="131">
                  <c:v>69.08</c:v>
                </c:pt>
                <c:pt idx="132">
                  <c:v>68.78</c:v>
                </c:pt>
                <c:pt idx="133">
                  <c:v>69.849999999999994</c:v>
                </c:pt>
                <c:pt idx="134">
                  <c:v>69.69</c:v>
                </c:pt>
                <c:pt idx="135">
                  <c:v>69.489999999999995</c:v>
                </c:pt>
                <c:pt idx="136">
                  <c:v>70.05</c:v>
                </c:pt>
                <c:pt idx="137">
                  <c:v>70.09</c:v>
                </c:pt>
                <c:pt idx="138">
                  <c:v>69.58</c:v>
                </c:pt>
                <c:pt idx="139">
                  <c:v>69.790000000000006</c:v>
                </c:pt>
                <c:pt idx="140">
                  <c:v>69.569999999999993</c:v>
                </c:pt>
                <c:pt idx="141">
                  <c:v>70.3</c:v>
                </c:pt>
                <c:pt idx="142">
                  <c:v>70.34</c:v>
                </c:pt>
                <c:pt idx="143">
                  <c:v>70.27</c:v>
                </c:pt>
                <c:pt idx="144">
                  <c:v>70.349999999999994</c:v>
                </c:pt>
                <c:pt idx="145">
                  <c:v>70.47</c:v>
                </c:pt>
                <c:pt idx="146">
                  <c:v>70.73</c:v>
                </c:pt>
                <c:pt idx="147">
                  <c:v>70.180000000000007</c:v>
                </c:pt>
                <c:pt idx="148">
                  <c:v>70.39</c:v>
                </c:pt>
                <c:pt idx="149">
                  <c:v>71.13</c:v>
                </c:pt>
                <c:pt idx="150">
                  <c:v>71</c:v>
                </c:pt>
                <c:pt idx="151">
                  <c:v>71.069999999999993</c:v>
                </c:pt>
                <c:pt idx="152">
                  <c:v>71.400000000000006</c:v>
                </c:pt>
                <c:pt idx="153">
                  <c:v>70.959999999999994</c:v>
                </c:pt>
                <c:pt idx="154">
                  <c:v>70.930000000000007</c:v>
                </c:pt>
                <c:pt idx="155">
                  <c:v>72.19</c:v>
                </c:pt>
                <c:pt idx="156">
                  <c:v>71.510000000000005</c:v>
                </c:pt>
                <c:pt idx="157">
                  <c:v>72.239999999999995</c:v>
                </c:pt>
                <c:pt idx="158">
                  <c:v>72.33</c:v>
                </c:pt>
                <c:pt idx="159">
                  <c:v>72.11</c:v>
                </c:pt>
                <c:pt idx="160">
                  <c:v>72.069999999999993</c:v>
                </c:pt>
                <c:pt idx="161">
                  <c:v>72.739999999999995</c:v>
                </c:pt>
                <c:pt idx="162">
                  <c:v>72.52</c:v>
                </c:pt>
                <c:pt idx="163">
                  <c:v>72.69</c:v>
                </c:pt>
                <c:pt idx="164">
                  <c:v>72.67</c:v>
                </c:pt>
                <c:pt idx="165">
                  <c:v>72.39</c:v>
                </c:pt>
                <c:pt idx="166">
                  <c:v>73.05</c:v>
                </c:pt>
                <c:pt idx="167">
                  <c:v>72.819999999999993</c:v>
                </c:pt>
                <c:pt idx="168">
                  <c:v>72.58</c:v>
                </c:pt>
                <c:pt idx="169">
                  <c:v>72.239999999999995</c:v>
                </c:pt>
                <c:pt idx="170">
                  <c:v>73.22</c:v>
                </c:pt>
                <c:pt idx="171">
                  <c:v>72.91</c:v>
                </c:pt>
                <c:pt idx="172">
                  <c:v>73.239999999999995</c:v>
                </c:pt>
                <c:pt idx="173">
                  <c:v>73.069999999999993</c:v>
                </c:pt>
                <c:pt idx="174">
                  <c:v>73.25</c:v>
                </c:pt>
                <c:pt idx="175">
                  <c:v>73.44</c:v>
                </c:pt>
                <c:pt idx="176">
                  <c:v>72.67</c:v>
                </c:pt>
                <c:pt idx="177">
                  <c:v>73.81</c:v>
                </c:pt>
                <c:pt idx="178">
                  <c:v>73.48</c:v>
                </c:pt>
                <c:pt idx="179">
                  <c:v>73.489999999999995</c:v>
                </c:pt>
                <c:pt idx="180">
                  <c:v>73.430000000000007</c:v>
                </c:pt>
                <c:pt idx="181">
                  <c:v>73.569999999999993</c:v>
                </c:pt>
                <c:pt idx="182">
                  <c:v>73.44</c:v>
                </c:pt>
                <c:pt idx="183">
                  <c:v>74.58</c:v>
                </c:pt>
                <c:pt idx="184">
                  <c:v>74.599999999999994</c:v>
                </c:pt>
                <c:pt idx="185">
                  <c:v>74.19</c:v>
                </c:pt>
                <c:pt idx="186">
                  <c:v>74.069999999999993</c:v>
                </c:pt>
                <c:pt idx="187">
                  <c:v>73.75</c:v>
                </c:pt>
                <c:pt idx="188">
                  <c:v>74.16</c:v>
                </c:pt>
                <c:pt idx="189">
                  <c:v>73.81</c:v>
                </c:pt>
                <c:pt idx="190">
                  <c:v>73.62</c:v>
                </c:pt>
                <c:pt idx="191">
                  <c:v>73.62</c:v>
                </c:pt>
                <c:pt idx="192">
                  <c:v>73.459999999999994</c:v>
                </c:pt>
                <c:pt idx="193">
                  <c:v>74.06</c:v>
                </c:pt>
                <c:pt idx="194">
                  <c:v>74.72</c:v>
                </c:pt>
                <c:pt idx="195">
                  <c:v>75.12</c:v>
                </c:pt>
                <c:pt idx="196">
                  <c:v>75.33</c:v>
                </c:pt>
                <c:pt idx="197">
                  <c:v>75.150000000000006</c:v>
                </c:pt>
                <c:pt idx="198">
                  <c:v>75.650000000000006</c:v>
                </c:pt>
                <c:pt idx="199">
                  <c:v>75.430000000000007</c:v>
                </c:pt>
                <c:pt idx="200">
                  <c:v>75.66</c:v>
                </c:pt>
                <c:pt idx="201">
                  <c:v>75.010000000000005</c:v>
                </c:pt>
                <c:pt idx="202">
                  <c:v>75.42</c:v>
                </c:pt>
                <c:pt idx="203">
                  <c:v>75.739999999999995</c:v>
                </c:pt>
                <c:pt idx="204">
                  <c:v>75.3</c:v>
                </c:pt>
                <c:pt idx="205">
                  <c:v>75.599999999999994</c:v>
                </c:pt>
                <c:pt idx="206">
                  <c:v>75.290000000000006</c:v>
                </c:pt>
                <c:pt idx="207">
                  <c:v>75.77</c:v>
                </c:pt>
                <c:pt idx="208">
                  <c:v>75.45</c:v>
                </c:pt>
                <c:pt idx="209">
                  <c:v>75.64</c:v>
                </c:pt>
                <c:pt idx="210">
                  <c:v>75.72</c:v>
                </c:pt>
                <c:pt idx="211">
                  <c:v>75.63</c:v>
                </c:pt>
                <c:pt idx="212">
                  <c:v>75.3</c:v>
                </c:pt>
                <c:pt idx="213">
                  <c:v>75.400000000000006</c:v>
                </c:pt>
                <c:pt idx="214">
                  <c:v>75.77</c:v>
                </c:pt>
                <c:pt idx="215">
                  <c:v>76.040000000000006</c:v>
                </c:pt>
                <c:pt idx="216">
                  <c:v>76.42</c:v>
                </c:pt>
                <c:pt idx="217">
                  <c:v>77.16</c:v>
                </c:pt>
                <c:pt idx="218">
                  <c:v>77.02</c:v>
                </c:pt>
                <c:pt idx="219">
                  <c:v>77.040000000000006</c:v>
                </c:pt>
                <c:pt idx="220">
                  <c:v>76.959999999999994</c:v>
                </c:pt>
                <c:pt idx="221">
                  <c:v>76.599999999999994</c:v>
                </c:pt>
                <c:pt idx="222">
                  <c:v>76.25</c:v>
                </c:pt>
                <c:pt idx="223">
                  <c:v>76.09</c:v>
                </c:pt>
                <c:pt idx="224">
                  <c:v>75.92</c:v>
                </c:pt>
                <c:pt idx="225">
                  <c:v>76.37</c:v>
                </c:pt>
                <c:pt idx="226">
                  <c:v>76.819999999999993</c:v>
                </c:pt>
                <c:pt idx="227">
                  <c:v>77.19</c:v>
                </c:pt>
                <c:pt idx="228">
                  <c:v>76.989999999999995</c:v>
                </c:pt>
                <c:pt idx="229">
                  <c:v>77.040000000000006</c:v>
                </c:pt>
                <c:pt idx="230">
                  <c:v>76.760000000000005</c:v>
                </c:pt>
                <c:pt idx="231">
                  <c:v>76.88</c:v>
                </c:pt>
                <c:pt idx="232">
                  <c:v>76.53</c:v>
                </c:pt>
                <c:pt idx="233">
                  <c:v>76.91</c:v>
                </c:pt>
                <c:pt idx="234">
                  <c:v>77.08</c:v>
                </c:pt>
                <c:pt idx="235">
                  <c:v>77.239999999999995</c:v>
                </c:pt>
                <c:pt idx="236">
                  <c:v>77.099999999999994</c:v>
                </c:pt>
                <c:pt idx="237">
                  <c:v>77.69</c:v>
                </c:pt>
                <c:pt idx="238">
                  <c:v>77.900000000000006</c:v>
                </c:pt>
                <c:pt idx="239">
                  <c:v>77.33</c:v>
                </c:pt>
                <c:pt idx="240">
                  <c:v>76.400000000000006</c:v>
                </c:pt>
                <c:pt idx="241">
                  <c:v>77.56</c:v>
                </c:pt>
                <c:pt idx="242">
                  <c:v>78.209999999999994</c:v>
                </c:pt>
                <c:pt idx="243">
                  <c:v>77.69</c:v>
                </c:pt>
                <c:pt idx="244">
                  <c:v>77.95</c:v>
                </c:pt>
                <c:pt idx="245">
                  <c:v>77.400000000000006</c:v>
                </c:pt>
                <c:pt idx="246">
                  <c:v>77.040000000000006</c:v>
                </c:pt>
                <c:pt idx="247">
                  <c:v>76.53</c:v>
                </c:pt>
                <c:pt idx="248">
                  <c:v>77.64</c:v>
                </c:pt>
                <c:pt idx="249">
                  <c:v>78.819999999999993</c:v>
                </c:pt>
                <c:pt idx="250">
                  <c:v>78.489999999999995</c:v>
                </c:pt>
                <c:pt idx="251">
                  <c:v>78.25</c:v>
                </c:pt>
                <c:pt idx="252">
                  <c:v>77.64</c:v>
                </c:pt>
                <c:pt idx="253">
                  <c:v>78.010000000000005</c:v>
                </c:pt>
                <c:pt idx="254">
                  <c:v>78.34</c:v>
                </c:pt>
                <c:pt idx="255">
                  <c:v>77.92</c:v>
                </c:pt>
                <c:pt idx="256">
                  <c:v>77.94</c:v>
                </c:pt>
                <c:pt idx="257">
                  <c:v>77.58</c:v>
                </c:pt>
                <c:pt idx="258">
                  <c:v>77.819999999999993</c:v>
                </c:pt>
                <c:pt idx="259">
                  <c:v>77.84</c:v>
                </c:pt>
                <c:pt idx="260">
                  <c:v>78.3</c:v>
                </c:pt>
                <c:pt idx="261">
                  <c:v>78.97</c:v>
                </c:pt>
                <c:pt idx="262">
                  <c:v>81.14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F1-4EC5-A42A-CC83BCBF6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979167"/>
        <c:axId val="1059815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'0525'!$A$1</c15:sqref>
                        </c15:formulaRef>
                      </c:ext>
                    </c:extLst>
                    <c:strCache>
                      <c:ptCount val="1"/>
                      <c:pt idx="0">
                        <c:v>Time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'0525'!$B$2:$B$264</c15:sqref>
                        </c15:formulaRef>
                      </c:ext>
                    </c:extLst>
                    <c:numCache>
                      <c:formatCode>0</c:formatCode>
                      <c:ptCount val="263"/>
                      <c:pt idx="0">
                        <c:v>-0.29999999999999982</c:v>
                      </c:pt>
                      <c:pt idx="1">
                        <c:v>-0.13333333333333375</c:v>
                      </c:pt>
                      <c:pt idx="2">
                        <c:v>3.3333333333333215E-2</c:v>
                      </c:pt>
                      <c:pt idx="3">
                        <c:v>0.20000000000000018</c:v>
                      </c:pt>
                      <c:pt idx="4">
                        <c:v>0.36666666666666625</c:v>
                      </c:pt>
                      <c:pt idx="5">
                        <c:v>0.53333333333333321</c:v>
                      </c:pt>
                      <c:pt idx="6">
                        <c:v>0.70000000000000018</c:v>
                      </c:pt>
                      <c:pt idx="7">
                        <c:v>0.86666666666666625</c:v>
                      </c:pt>
                      <c:pt idx="8">
                        <c:v>1.0333333333333332</c:v>
                      </c:pt>
                      <c:pt idx="9">
                        <c:v>1.1999999999999993</c:v>
                      </c:pt>
                      <c:pt idx="10">
                        <c:v>1.3666666666666671</c:v>
                      </c:pt>
                      <c:pt idx="11">
                        <c:v>1.5333333333333332</c:v>
                      </c:pt>
                      <c:pt idx="12">
                        <c:v>1.6999999999999993</c:v>
                      </c:pt>
                      <c:pt idx="13">
                        <c:v>1.8833333333333329</c:v>
                      </c:pt>
                      <c:pt idx="14">
                        <c:v>2.0500000000000007</c:v>
                      </c:pt>
                      <c:pt idx="15">
                        <c:v>2.2166666666666668</c:v>
                      </c:pt>
                      <c:pt idx="16">
                        <c:v>2.3833333333333329</c:v>
                      </c:pt>
                      <c:pt idx="17">
                        <c:v>2.5666666666666664</c:v>
                      </c:pt>
                      <c:pt idx="18">
                        <c:v>2.7333333333333325</c:v>
                      </c:pt>
                      <c:pt idx="19">
                        <c:v>2.9000000000000004</c:v>
                      </c:pt>
                      <c:pt idx="20">
                        <c:v>3.0666666666666664</c:v>
                      </c:pt>
                      <c:pt idx="21">
                        <c:v>3.25</c:v>
                      </c:pt>
                      <c:pt idx="22">
                        <c:v>3.4166666666666661</c:v>
                      </c:pt>
                      <c:pt idx="23">
                        <c:v>3.5999999999999996</c:v>
                      </c:pt>
                      <c:pt idx="24">
                        <c:v>3.7666666666666675</c:v>
                      </c:pt>
                      <c:pt idx="25">
                        <c:v>3.9333333333333336</c:v>
                      </c:pt>
                      <c:pt idx="26">
                        <c:v>4.1166666666666671</c:v>
                      </c:pt>
                      <c:pt idx="27">
                        <c:v>4.2833333333333332</c:v>
                      </c:pt>
                      <c:pt idx="28">
                        <c:v>4.4499999999999993</c:v>
                      </c:pt>
                      <c:pt idx="29">
                        <c:v>4.6166666666666671</c:v>
                      </c:pt>
                      <c:pt idx="30">
                        <c:v>4.7833333333333332</c:v>
                      </c:pt>
                      <c:pt idx="31">
                        <c:v>4.9666666666666668</c:v>
                      </c:pt>
                      <c:pt idx="32">
                        <c:v>5.1333333333333329</c:v>
                      </c:pt>
                      <c:pt idx="33">
                        <c:v>5.3166666666666664</c:v>
                      </c:pt>
                      <c:pt idx="34">
                        <c:v>5.4833333333333325</c:v>
                      </c:pt>
                      <c:pt idx="35">
                        <c:v>5.65</c:v>
                      </c:pt>
                      <c:pt idx="36">
                        <c:v>5.8333333333333339</c:v>
                      </c:pt>
                      <c:pt idx="37">
                        <c:v>6</c:v>
                      </c:pt>
                      <c:pt idx="38">
                        <c:v>6.1666666666666661</c:v>
                      </c:pt>
                      <c:pt idx="39">
                        <c:v>6.3333333333333339</c:v>
                      </c:pt>
                      <c:pt idx="40">
                        <c:v>6.5</c:v>
                      </c:pt>
                      <c:pt idx="41">
                        <c:v>6.6666666666666661</c:v>
                      </c:pt>
                      <c:pt idx="42">
                        <c:v>6.8333333333333339</c:v>
                      </c:pt>
                      <c:pt idx="43">
                        <c:v>7</c:v>
                      </c:pt>
                      <c:pt idx="44">
                        <c:v>7.1833333333333336</c:v>
                      </c:pt>
                      <c:pt idx="45">
                        <c:v>7.35</c:v>
                      </c:pt>
                      <c:pt idx="46">
                        <c:v>7.5333333333333332</c:v>
                      </c:pt>
                      <c:pt idx="47">
                        <c:v>7.6999999999999993</c:v>
                      </c:pt>
                      <c:pt idx="48">
                        <c:v>7.8666666666666671</c:v>
                      </c:pt>
                      <c:pt idx="49">
                        <c:v>8.0500000000000007</c:v>
                      </c:pt>
                      <c:pt idx="50">
                        <c:v>8.2166666666666668</c:v>
                      </c:pt>
                      <c:pt idx="51">
                        <c:v>8.3833333333333329</c:v>
                      </c:pt>
                      <c:pt idx="52">
                        <c:v>8.5500000000000007</c:v>
                      </c:pt>
                      <c:pt idx="53">
                        <c:v>8.7333333333333325</c:v>
                      </c:pt>
                      <c:pt idx="54">
                        <c:v>8.9</c:v>
                      </c:pt>
                      <c:pt idx="55">
                        <c:v>9.0666666666666664</c:v>
                      </c:pt>
                      <c:pt idx="56">
                        <c:v>9.2333333333333343</c:v>
                      </c:pt>
                      <c:pt idx="57">
                        <c:v>9.3999999999999986</c:v>
                      </c:pt>
                      <c:pt idx="58">
                        <c:v>9.5666666666666664</c:v>
                      </c:pt>
                      <c:pt idx="59">
                        <c:v>9.7333333333333343</c:v>
                      </c:pt>
                      <c:pt idx="60">
                        <c:v>9.8999999999999986</c:v>
                      </c:pt>
                      <c:pt idx="61">
                        <c:v>10.066666666666666</c:v>
                      </c:pt>
                      <c:pt idx="62">
                        <c:v>10.233333333333334</c:v>
                      </c:pt>
                      <c:pt idx="63">
                        <c:v>10.416666666666668</c:v>
                      </c:pt>
                      <c:pt idx="64">
                        <c:v>10.583333333333332</c:v>
                      </c:pt>
                      <c:pt idx="65">
                        <c:v>10.75</c:v>
                      </c:pt>
                      <c:pt idx="66">
                        <c:v>10.916666666666668</c:v>
                      </c:pt>
                      <c:pt idx="67">
                        <c:v>11.100000000000001</c:v>
                      </c:pt>
                      <c:pt idx="68">
                        <c:v>11.266666666666666</c:v>
                      </c:pt>
                      <c:pt idx="69">
                        <c:v>11.433333333333334</c:v>
                      </c:pt>
                      <c:pt idx="70">
                        <c:v>11.600000000000001</c:v>
                      </c:pt>
                      <c:pt idx="71">
                        <c:v>11.766666666666666</c:v>
                      </c:pt>
                      <c:pt idx="72">
                        <c:v>11.95</c:v>
                      </c:pt>
                      <c:pt idx="73">
                        <c:v>12.116666666666667</c:v>
                      </c:pt>
                      <c:pt idx="74">
                        <c:v>12.283333333333335</c:v>
                      </c:pt>
                      <c:pt idx="75">
                        <c:v>12.45</c:v>
                      </c:pt>
                      <c:pt idx="76">
                        <c:v>12.633333333333333</c:v>
                      </c:pt>
                      <c:pt idx="77">
                        <c:v>12.8</c:v>
                      </c:pt>
                      <c:pt idx="78">
                        <c:v>12.966666666666665</c:v>
                      </c:pt>
                      <c:pt idx="79">
                        <c:v>13.133333333333333</c:v>
                      </c:pt>
                      <c:pt idx="80">
                        <c:v>13.3</c:v>
                      </c:pt>
                      <c:pt idx="81">
                        <c:v>13.466666666666665</c:v>
                      </c:pt>
                      <c:pt idx="82">
                        <c:v>13.633333333333333</c:v>
                      </c:pt>
                      <c:pt idx="83">
                        <c:v>13.816666666666666</c:v>
                      </c:pt>
                      <c:pt idx="84">
                        <c:v>13.983333333333334</c:v>
                      </c:pt>
                      <c:pt idx="85">
                        <c:v>14.149999999999999</c:v>
                      </c:pt>
                      <c:pt idx="86">
                        <c:v>14.316666666666666</c:v>
                      </c:pt>
                      <c:pt idx="87">
                        <c:v>14.483333333333334</c:v>
                      </c:pt>
                      <c:pt idx="88">
                        <c:v>14.649999999999999</c:v>
                      </c:pt>
                      <c:pt idx="89">
                        <c:v>14.816666666666666</c:v>
                      </c:pt>
                      <c:pt idx="90">
                        <c:v>15</c:v>
                      </c:pt>
                      <c:pt idx="91">
                        <c:v>15.166666666666668</c:v>
                      </c:pt>
                      <c:pt idx="92">
                        <c:v>15.333333333333332</c:v>
                      </c:pt>
                      <c:pt idx="93">
                        <c:v>15.5</c:v>
                      </c:pt>
                      <c:pt idx="94">
                        <c:v>15.666666666666668</c:v>
                      </c:pt>
                      <c:pt idx="95">
                        <c:v>15.850000000000001</c:v>
                      </c:pt>
                      <c:pt idx="96">
                        <c:v>16.016666666666666</c:v>
                      </c:pt>
                      <c:pt idx="97">
                        <c:v>16.183333333333334</c:v>
                      </c:pt>
                      <c:pt idx="98">
                        <c:v>16.350000000000001</c:v>
                      </c:pt>
                      <c:pt idx="99">
                        <c:v>16.516666666666666</c:v>
                      </c:pt>
                      <c:pt idx="100">
                        <c:v>16.7</c:v>
                      </c:pt>
                      <c:pt idx="101">
                        <c:v>16.866666666666667</c:v>
                      </c:pt>
                      <c:pt idx="102">
                        <c:v>17.033333333333335</c:v>
                      </c:pt>
                      <c:pt idx="103">
                        <c:v>17.2</c:v>
                      </c:pt>
                      <c:pt idx="104">
                        <c:v>17.366666666666667</c:v>
                      </c:pt>
                      <c:pt idx="105">
                        <c:v>17.533333333333335</c:v>
                      </c:pt>
                      <c:pt idx="106">
                        <c:v>17.716666666666665</c:v>
                      </c:pt>
                      <c:pt idx="107">
                        <c:v>17.883333333333333</c:v>
                      </c:pt>
                      <c:pt idx="108">
                        <c:v>18.05</c:v>
                      </c:pt>
                      <c:pt idx="109">
                        <c:v>18.216666666666665</c:v>
                      </c:pt>
                      <c:pt idx="110">
                        <c:v>18.399999999999999</c:v>
                      </c:pt>
                      <c:pt idx="111">
                        <c:v>18.566666666666666</c:v>
                      </c:pt>
                      <c:pt idx="112">
                        <c:v>18.733333333333334</c:v>
                      </c:pt>
                      <c:pt idx="113">
                        <c:v>18.899999999999999</c:v>
                      </c:pt>
                      <c:pt idx="114">
                        <c:v>19.066666666666666</c:v>
                      </c:pt>
                      <c:pt idx="115">
                        <c:v>19.25</c:v>
                      </c:pt>
                      <c:pt idx="116">
                        <c:v>19.433333333333334</c:v>
                      </c:pt>
                      <c:pt idx="117">
                        <c:v>19.600000000000001</c:v>
                      </c:pt>
                      <c:pt idx="118">
                        <c:v>19.766666666666666</c:v>
                      </c:pt>
                      <c:pt idx="119">
                        <c:v>19.933333333333334</c:v>
                      </c:pt>
                      <c:pt idx="120">
                        <c:v>20.100000000000001</c:v>
                      </c:pt>
                      <c:pt idx="121">
                        <c:v>20.283333333333335</c:v>
                      </c:pt>
                      <c:pt idx="122">
                        <c:v>20.45</c:v>
                      </c:pt>
                      <c:pt idx="123">
                        <c:v>20.616666666666667</c:v>
                      </c:pt>
                      <c:pt idx="124">
                        <c:v>20.816666666666666</c:v>
                      </c:pt>
                      <c:pt idx="125">
                        <c:v>20.983333333333334</c:v>
                      </c:pt>
                      <c:pt idx="126">
                        <c:v>21.15</c:v>
                      </c:pt>
                      <c:pt idx="127">
                        <c:v>21.316666666666666</c:v>
                      </c:pt>
                      <c:pt idx="128">
                        <c:v>21.5</c:v>
                      </c:pt>
                      <c:pt idx="129">
                        <c:v>21.666666666666668</c:v>
                      </c:pt>
                      <c:pt idx="130">
                        <c:v>21.833333333333332</c:v>
                      </c:pt>
                      <c:pt idx="131">
                        <c:v>22.016666666666666</c:v>
                      </c:pt>
                      <c:pt idx="132">
                        <c:v>22.183333333333334</c:v>
                      </c:pt>
                      <c:pt idx="133">
                        <c:v>22.35</c:v>
                      </c:pt>
                      <c:pt idx="134">
                        <c:v>22.516666666666666</c:v>
                      </c:pt>
                      <c:pt idx="135">
                        <c:v>22.683333333333334</c:v>
                      </c:pt>
                      <c:pt idx="136">
                        <c:v>22.866666666666667</c:v>
                      </c:pt>
                      <c:pt idx="137">
                        <c:v>23.033333333333335</c:v>
                      </c:pt>
                      <c:pt idx="138">
                        <c:v>23.216666666666665</c:v>
                      </c:pt>
                      <c:pt idx="139">
                        <c:v>23.383333333333333</c:v>
                      </c:pt>
                      <c:pt idx="140">
                        <c:v>23.55</c:v>
                      </c:pt>
                      <c:pt idx="141">
                        <c:v>23.716666666666665</c:v>
                      </c:pt>
                      <c:pt idx="142">
                        <c:v>23.883333333333333</c:v>
                      </c:pt>
                      <c:pt idx="143">
                        <c:v>24.066666666666666</c:v>
                      </c:pt>
                      <c:pt idx="144">
                        <c:v>24.233333333333334</c:v>
                      </c:pt>
                      <c:pt idx="145">
                        <c:v>24.4</c:v>
                      </c:pt>
                      <c:pt idx="146">
                        <c:v>24.583333333333332</c:v>
                      </c:pt>
                      <c:pt idx="147">
                        <c:v>24.75</c:v>
                      </c:pt>
                      <c:pt idx="148">
                        <c:v>24.916666666666668</c:v>
                      </c:pt>
                      <c:pt idx="149">
                        <c:v>25.083333333333336</c:v>
                      </c:pt>
                      <c:pt idx="150">
                        <c:v>25.266666666666666</c:v>
                      </c:pt>
                      <c:pt idx="151">
                        <c:v>25.450000000000003</c:v>
                      </c:pt>
                      <c:pt idx="152">
                        <c:v>25.633333333333333</c:v>
                      </c:pt>
                      <c:pt idx="153">
                        <c:v>25.799999999999997</c:v>
                      </c:pt>
                      <c:pt idx="154">
                        <c:v>25.983333333333334</c:v>
                      </c:pt>
                      <c:pt idx="155">
                        <c:v>26.15</c:v>
                      </c:pt>
                      <c:pt idx="156">
                        <c:v>26.31666666666667</c:v>
                      </c:pt>
                      <c:pt idx="157">
                        <c:v>26.5</c:v>
                      </c:pt>
                      <c:pt idx="158">
                        <c:v>26.666666666666664</c:v>
                      </c:pt>
                      <c:pt idx="159">
                        <c:v>26.85</c:v>
                      </c:pt>
                      <c:pt idx="160">
                        <c:v>27.016666666666666</c:v>
                      </c:pt>
                      <c:pt idx="161">
                        <c:v>27.200000000000003</c:v>
                      </c:pt>
                      <c:pt idx="162">
                        <c:v>27.366666666666667</c:v>
                      </c:pt>
                      <c:pt idx="163">
                        <c:v>27.549999999999997</c:v>
                      </c:pt>
                      <c:pt idx="164">
                        <c:v>27.716666666666669</c:v>
                      </c:pt>
                      <c:pt idx="165">
                        <c:v>27.883333333333333</c:v>
                      </c:pt>
                      <c:pt idx="166">
                        <c:v>28.06666666666667</c:v>
                      </c:pt>
                      <c:pt idx="167">
                        <c:v>28.25</c:v>
                      </c:pt>
                      <c:pt idx="168">
                        <c:v>28.416666666666664</c:v>
                      </c:pt>
                      <c:pt idx="169">
                        <c:v>28.583333333333336</c:v>
                      </c:pt>
                      <c:pt idx="170">
                        <c:v>28.75</c:v>
                      </c:pt>
                      <c:pt idx="171">
                        <c:v>28.93333333333333</c:v>
                      </c:pt>
                      <c:pt idx="172">
                        <c:v>29.1</c:v>
                      </c:pt>
                      <c:pt idx="173">
                        <c:v>29.266666666666666</c:v>
                      </c:pt>
                      <c:pt idx="174">
                        <c:v>29.43333333333333</c:v>
                      </c:pt>
                      <c:pt idx="175">
                        <c:v>29.6</c:v>
                      </c:pt>
                      <c:pt idx="176">
                        <c:v>29.783333333333331</c:v>
                      </c:pt>
                      <c:pt idx="177">
                        <c:v>29.950000000000003</c:v>
                      </c:pt>
                      <c:pt idx="178">
                        <c:v>30.116666666666667</c:v>
                      </c:pt>
                      <c:pt idx="179">
                        <c:v>30.283333333333331</c:v>
                      </c:pt>
                      <c:pt idx="180">
                        <c:v>30.450000000000003</c:v>
                      </c:pt>
                      <c:pt idx="181">
                        <c:v>30.633333333333333</c:v>
                      </c:pt>
                      <c:pt idx="182">
                        <c:v>30.799999999999997</c:v>
                      </c:pt>
                      <c:pt idx="183">
                        <c:v>30.966666666666669</c:v>
                      </c:pt>
                      <c:pt idx="184">
                        <c:v>31.15</c:v>
                      </c:pt>
                      <c:pt idx="185">
                        <c:v>31.31666666666667</c:v>
                      </c:pt>
                      <c:pt idx="186">
                        <c:v>31.483333333333334</c:v>
                      </c:pt>
                      <c:pt idx="187">
                        <c:v>31.666666666666664</c:v>
                      </c:pt>
                      <c:pt idx="188">
                        <c:v>31.833333333333336</c:v>
                      </c:pt>
                      <c:pt idx="189">
                        <c:v>32</c:v>
                      </c:pt>
                      <c:pt idx="190">
                        <c:v>32.18333333333333</c:v>
                      </c:pt>
                      <c:pt idx="191">
                        <c:v>32.35</c:v>
                      </c:pt>
                      <c:pt idx="192">
                        <c:v>32.516666666666666</c:v>
                      </c:pt>
                      <c:pt idx="193">
                        <c:v>32.68333333333333</c:v>
                      </c:pt>
                      <c:pt idx="194">
                        <c:v>32.866666666666667</c:v>
                      </c:pt>
                      <c:pt idx="195">
                        <c:v>33.033333333333331</c:v>
                      </c:pt>
                      <c:pt idx="196">
                        <c:v>33.200000000000003</c:v>
                      </c:pt>
                      <c:pt idx="197">
                        <c:v>33.366666666666667</c:v>
                      </c:pt>
                      <c:pt idx="198">
                        <c:v>33.549999999999997</c:v>
                      </c:pt>
                      <c:pt idx="199">
                        <c:v>33.716666666666669</c:v>
                      </c:pt>
                      <c:pt idx="200">
                        <c:v>33.883333333333333</c:v>
                      </c:pt>
                      <c:pt idx="201">
                        <c:v>34.06666666666667</c:v>
                      </c:pt>
                      <c:pt idx="202">
                        <c:v>34.233333333333334</c:v>
                      </c:pt>
                      <c:pt idx="203">
                        <c:v>34.4</c:v>
                      </c:pt>
                      <c:pt idx="204">
                        <c:v>34.56666666666667</c:v>
                      </c:pt>
                      <c:pt idx="205">
                        <c:v>34.733333333333334</c:v>
                      </c:pt>
                      <c:pt idx="206">
                        <c:v>34.916666666666664</c:v>
                      </c:pt>
                      <c:pt idx="207">
                        <c:v>35.083333333333336</c:v>
                      </c:pt>
                      <c:pt idx="208">
                        <c:v>35.25</c:v>
                      </c:pt>
                      <c:pt idx="209">
                        <c:v>35.416666666666664</c:v>
                      </c:pt>
                      <c:pt idx="210">
                        <c:v>35.583333333333336</c:v>
                      </c:pt>
                      <c:pt idx="211">
                        <c:v>35.75</c:v>
                      </c:pt>
                      <c:pt idx="212">
                        <c:v>35.93333333333333</c:v>
                      </c:pt>
                      <c:pt idx="213">
                        <c:v>36.1</c:v>
                      </c:pt>
                      <c:pt idx="214">
                        <c:v>36.266666666666666</c:v>
                      </c:pt>
                      <c:pt idx="215">
                        <c:v>36.43333333333333</c:v>
                      </c:pt>
                      <c:pt idx="216">
                        <c:v>36.6</c:v>
                      </c:pt>
                      <c:pt idx="217">
                        <c:v>36.766666666666666</c:v>
                      </c:pt>
                      <c:pt idx="218">
                        <c:v>36.950000000000003</c:v>
                      </c:pt>
                      <c:pt idx="219">
                        <c:v>37.116666666666667</c:v>
                      </c:pt>
                      <c:pt idx="220">
                        <c:v>37.299999999999997</c:v>
                      </c:pt>
                      <c:pt idx="221">
                        <c:v>37.466666666666669</c:v>
                      </c:pt>
                      <c:pt idx="222">
                        <c:v>37.633333333333333</c:v>
                      </c:pt>
                      <c:pt idx="223">
                        <c:v>37.799999999999997</c:v>
                      </c:pt>
                      <c:pt idx="224">
                        <c:v>37.966666666666669</c:v>
                      </c:pt>
                      <c:pt idx="225">
                        <c:v>38.15</c:v>
                      </c:pt>
                      <c:pt idx="226">
                        <c:v>38.31666666666667</c:v>
                      </c:pt>
                      <c:pt idx="227">
                        <c:v>38.483333333333334</c:v>
                      </c:pt>
                      <c:pt idx="228">
                        <c:v>38.65</c:v>
                      </c:pt>
                      <c:pt idx="229">
                        <c:v>38.81666666666667</c:v>
                      </c:pt>
                      <c:pt idx="230">
                        <c:v>39</c:v>
                      </c:pt>
                      <c:pt idx="231">
                        <c:v>39.166666666666664</c:v>
                      </c:pt>
                      <c:pt idx="232">
                        <c:v>39.333333333333336</c:v>
                      </c:pt>
                      <c:pt idx="233">
                        <c:v>39.5</c:v>
                      </c:pt>
                      <c:pt idx="234">
                        <c:v>39.68333333333333</c:v>
                      </c:pt>
                      <c:pt idx="235">
                        <c:v>39.85</c:v>
                      </c:pt>
                      <c:pt idx="236">
                        <c:v>40.016666666666666</c:v>
                      </c:pt>
                      <c:pt idx="237">
                        <c:v>40.18333333333333</c:v>
                      </c:pt>
                      <c:pt idx="238">
                        <c:v>40.366666666666667</c:v>
                      </c:pt>
                      <c:pt idx="239">
                        <c:v>40.533333333333331</c:v>
                      </c:pt>
                      <c:pt idx="240">
                        <c:v>40.700000000000003</c:v>
                      </c:pt>
                      <c:pt idx="241">
                        <c:v>40.883333333333333</c:v>
                      </c:pt>
                      <c:pt idx="242">
                        <c:v>41.05</c:v>
                      </c:pt>
                      <c:pt idx="243">
                        <c:v>41.233333333333334</c:v>
                      </c:pt>
                      <c:pt idx="244">
                        <c:v>41.4</c:v>
                      </c:pt>
                      <c:pt idx="245">
                        <c:v>41.56666666666667</c:v>
                      </c:pt>
                      <c:pt idx="246">
                        <c:v>41.733333333333334</c:v>
                      </c:pt>
                      <c:pt idx="247">
                        <c:v>41.9</c:v>
                      </c:pt>
                      <c:pt idx="248">
                        <c:v>42.06666666666667</c:v>
                      </c:pt>
                      <c:pt idx="249">
                        <c:v>42.25</c:v>
                      </c:pt>
                      <c:pt idx="250">
                        <c:v>42.416666666666664</c:v>
                      </c:pt>
                      <c:pt idx="251">
                        <c:v>42.583333333333336</c:v>
                      </c:pt>
                      <c:pt idx="252">
                        <c:v>42.766666666666666</c:v>
                      </c:pt>
                      <c:pt idx="253">
                        <c:v>42.93333333333333</c:v>
                      </c:pt>
                      <c:pt idx="254">
                        <c:v>43.1</c:v>
                      </c:pt>
                      <c:pt idx="255">
                        <c:v>43.266666666666666</c:v>
                      </c:pt>
                      <c:pt idx="256">
                        <c:v>43.43333333333333</c:v>
                      </c:pt>
                      <c:pt idx="257">
                        <c:v>43.6</c:v>
                      </c:pt>
                      <c:pt idx="258">
                        <c:v>43.766666666666666</c:v>
                      </c:pt>
                      <c:pt idx="259">
                        <c:v>43.93333333333333</c:v>
                      </c:pt>
                      <c:pt idx="260">
                        <c:v>44.116666666666667</c:v>
                      </c:pt>
                      <c:pt idx="261">
                        <c:v>44.283333333333331</c:v>
                      </c:pt>
                      <c:pt idx="262">
                        <c:v>44.45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'0525'!$A$2:$A$264</c15:sqref>
                        </c15:formulaRef>
                      </c:ext>
                    </c:extLst>
                    <c:numCache>
                      <c:formatCode>General</c:formatCode>
                      <c:ptCount val="263"/>
                      <c:pt idx="0">
                        <c:v>402</c:v>
                      </c:pt>
                      <c:pt idx="1">
                        <c:v>412</c:v>
                      </c:pt>
                      <c:pt idx="2">
                        <c:v>422</c:v>
                      </c:pt>
                      <c:pt idx="3">
                        <c:v>432</c:v>
                      </c:pt>
                      <c:pt idx="4">
                        <c:v>442</c:v>
                      </c:pt>
                      <c:pt idx="5">
                        <c:v>452</c:v>
                      </c:pt>
                      <c:pt idx="6">
                        <c:v>462</c:v>
                      </c:pt>
                      <c:pt idx="7">
                        <c:v>472</c:v>
                      </c:pt>
                      <c:pt idx="8">
                        <c:v>482</c:v>
                      </c:pt>
                      <c:pt idx="9">
                        <c:v>492</c:v>
                      </c:pt>
                      <c:pt idx="10">
                        <c:v>502</c:v>
                      </c:pt>
                      <c:pt idx="11">
                        <c:v>512</c:v>
                      </c:pt>
                      <c:pt idx="12">
                        <c:v>522</c:v>
                      </c:pt>
                      <c:pt idx="13">
                        <c:v>533</c:v>
                      </c:pt>
                      <c:pt idx="14">
                        <c:v>543</c:v>
                      </c:pt>
                      <c:pt idx="15">
                        <c:v>553</c:v>
                      </c:pt>
                      <c:pt idx="16">
                        <c:v>563</c:v>
                      </c:pt>
                      <c:pt idx="17">
                        <c:v>574</c:v>
                      </c:pt>
                      <c:pt idx="18">
                        <c:v>584</c:v>
                      </c:pt>
                      <c:pt idx="19">
                        <c:v>594</c:v>
                      </c:pt>
                      <c:pt idx="20">
                        <c:v>604</c:v>
                      </c:pt>
                      <c:pt idx="21">
                        <c:v>615</c:v>
                      </c:pt>
                      <c:pt idx="22">
                        <c:v>625</c:v>
                      </c:pt>
                      <c:pt idx="23">
                        <c:v>636</c:v>
                      </c:pt>
                      <c:pt idx="24">
                        <c:v>646</c:v>
                      </c:pt>
                      <c:pt idx="25">
                        <c:v>656</c:v>
                      </c:pt>
                      <c:pt idx="26">
                        <c:v>667</c:v>
                      </c:pt>
                      <c:pt idx="27">
                        <c:v>677</c:v>
                      </c:pt>
                      <c:pt idx="28">
                        <c:v>687</c:v>
                      </c:pt>
                      <c:pt idx="29">
                        <c:v>697</c:v>
                      </c:pt>
                      <c:pt idx="30">
                        <c:v>707</c:v>
                      </c:pt>
                      <c:pt idx="31">
                        <c:v>718</c:v>
                      </c:pt>
                      <c:pt idx="32">
                        <c:v>728</c:v>
                      </c:pt>
                      <c:pt idx="33">
                        <c:v>739</c:v>
                      </c:pt>
                      <c:pt idx="34">
                        <c:v>749</c:v>
                      </c:pt>
                      <c:pt idx="35">
                        <c:v>759</c:v>
                      </c:pt>
                      <c:pt idx="36">
                        <c:v>770</c:v>
                      </c:pt>
                      <c:pt idx="37">
                        <c:v>780</c:v>
                      </c:pt>
                      <c:pt idx="38">
                        <c:v>790</c:v>
                      </c:pt>
                      <c:pt idx="39">
                        <c:v>800</c:v>
                      </c:pt>
                      <c:pt idx="40">
                        <c:v>810</c:v>
                      </c:pt>
                      <c:pt idx="41">
                        <c:v>820</c:v>
                      </c:pt>
                      <c:pt idx="42">
                        <c:v>830</c:v>
                      </c:pt>
                      <c:pt idx="43">
                        <c:v>840</c:v>
                      </c:pt>
                      <c:pt idx="44">
                        <c:v>851</c:v>
                      </c:pt>
                      <c:pt idx="45">
                        <c:v>861</c:v>
                      </c:pt>
                      <c:pt idx="46">
                        <c:v>872</c:v>
                      </c:pt>
                      <c:pt idx="47">
                        <c:v>882</c:v>
                      </c:pt>
                      <c:pt idx="48">
                        <c:v>892</c:v>
                      </c:pt>
                      <c:pt idx="49">
                        <c:v>903</c:v>
                      </c:pt>
                      <c:pt idx="50">
                        <c:v>913</c:v>
                      </c:pt>
                      <c:pt idx="51">
                        <c:v>923</c:v>
                      </c:pt>
                      <c:pt idx="52">
                        <c:v>933</c:v>
                      </c:pt>
                      <c:pt idx="53">
                        <c:v>944</c:v>
                      </c:pt>
                      <c:pt idx="54">
                        <c:v>954</c:v>
                      </c:pt>
                      <c:pt idx="55">
                        <c:v>964</c:v>
                      </c:pt>
                      <c:pt idx="56">
                        <c:v>974</c:v>
                      </c:pt>
                      <c:pt idx="57">
                        <c:v>984</c:v>
                      </c:pt>
                      <c:pt idx="58">
                        <c:v>994</c:v>
                      </c:pt>
                      <c:pt idx="59">
                        <c:v>1004</c:v>
                      </c:pt>
                      <c:pt idx="60">
                        <c:v>1014</c:v>
                      </c:pt>
                      <c:pt idx="61">
                        <c:v>1024</c:v>
                      </c:pt>
                      <c:pt idx="62">
                        <c:v>1034</c:v>
                      </c:pt>
                      <c:pt idx="63">
                        <c:v>1045</c:v>
                      </c:pt>
                      <c:pt idx="64">
                        <c:v>1055</c:v>
                      </c:pt>
                      <c:pt idx="65">
                        <c:v>1065</c:v>
                      </c:pt>
                      <c:pt idx="66">
                        <c:v>1075</c:v>
                      </c:pt>
                      <c:pt idx="67">
                        <c:v>1086</c:v>
                      </c:pt>
                      <c:pt idx="68">
                        <c:v>1096</c:v>
                      </c:pt>
                      <c:pt idx="69">
                        <c:v>1106</c:v>
                      </c:pt>
                      <c:pt idx="70">
                        <c:v>1116</c:v>
                      </c:pt>
                      <c:pt idx="71">
                        <c:v>1126</c:v>
                      </c:pt>
                      <c:pt idx="72">
                        <c:v>1137</c:v>
                      </c:pt>
                      <c:pt idx="73">
                        <c:v>1147</c:v>
                      </c:pt>
                      <c:pt idx="74">
                        <c:v>1157</c:v>
                      </c:pt>
                      <c:pt idx="75">
                        <c:v>1167</c:v>
                      </c:pt>
                      <c:pt idx="76">
                        <c:v>1178</c:v>
                      </c:pt>
                      <c:pt idx="77">
                        <c:v>1188</c:v>
                      </c:pt>
                      <c:pt idx="78">
                        <c:v>1198</c:v>
                      </c:pt>
                      <c:pt idx="79">
                        <c:v>1208</c:v>
                      </c:pt>
                      <c:pt idx="80">
                        <c:v>1218</c:v>
                      </c:pt>
                      <c:pt idx="81">
                        <c:v>1228</c:v>
                      </c:pt>
                      <c:pt idx="82">
                        <c:v>1238</c:v>
                      </c:pt>
                      <c:pt idx="83">
                        <c:v>1249</c:v>
                      </c:pt>
                      <c:pt idx="84">
                        <c:v>1259</c:v>
                      </c:pt>
                      <c:pt idx="85">
                        <c:v>1269</c:v>
                      </c:pt>
                      <c:pt idx="86">
                        <c:v>1279</c:v>
                      </c:pt>
                      <c:pt idx="87">
                        <c:v>1289</c:v>
                      </c:pt>
                      <c:pt idx="88">
                        <c:v>1299</c:v>
                      </c:pt>
                      <c:pt idx="89">
                        <c:v>1309</c:v>
                      </c:pt>
                      <c:pt idx="90">
                        <c:v>1320</c:v>
                      </c:pt>
                      <c:pt idx="91">
                        <c:v>1330</c:v>
                      </c:pt>
                      <c:pt idx="92">
                        <c:v>1340</c:v>
                      </c:pt>
                      <c:pt idx="93">
                        <c:v>1350</c:v>
                      </c:pt>
                      <c:pt idx="94">
                        <c:v>1360</c:v>
                      </c:pt>
                      <c:pt idx="95">
                        <c:v>1371</c:v>
                      </c:pt>
                      <c:pt idx="96">
                        <c:v>1381</c:v>
                      </c:pt>
                      <c:pt idx="97">
                        <c:v>1391</c:v>
                      </c:pt>
                      <c:pt idx="98">
                        <c:v>1401</c:v>
                      </c:pt>
                      <c:pt idx="99">
                        <c:v>1411</c:v>
                      </c:pt>
                      <c:pt idx="100">
                        <c:v>1422</c:v>
                      </c:pt>
                      <c:pt idx="101">
                        <c:v>1432</c:v>
                      </c:pt>
                      <c:pt idx="102">
                        <c:v>1442</c:v>
                      </c:pt>
                      <c:pt idx="103">
                        <c:v>1452</c:v>
                      </c:pt>
                      <c:pt idx="104">
                        <c:v>1462</c:v>
                      </c:pt>
                      <c:pt idx="105">
                        <c:v>1472</c:v>
                      </c:pt>
                      <c:pt idx="106">
                        <c:v>1483</c:v>
                      </c:pt>
                      <c:pt idx="107">
                        <c:v>1493</c:v>
                      </c:pt>
                      <c:pt idx="108">
                        <c:v>1503</c:v>
                      </c:pt>
                      <c:pt idx="109">
                        <c:v>1513</c:v>
                      </c:pt>
                      <c:pt idx="110">
                        <c:v>1524</c:v>
                      </c:pt>
                      <c:pt idx="111">
                        <c:v>1534</c:v>
                      </c:pt>
                      <c:pt idx="112">
                        <c:v>1544</c:v>
                      </c:pt>
                      <c:pt idx="113">
                        <c:v>1554</c:v>
                      </c:pt>
                      <c:pt idx="114">
                        <c:v>1564</c:v>
                      </c:pt>
                      <c:pt idx="115">
                        <c:v>1575</c:v>
                      </c:pt>
                      <c:pt idx="116">
                        <c:v>1586</c:v>
                      </c:pt>
                      <c:pt idx="117">
                        <c:v>1596</c:v>
                      </c:pt>
                      <c:pt idx="118">
                        <c:v>1606</c:v>
                      </c:pt>
                      <c:pt idx="119">
                        <c:v>1616</c:v>
                      </c:pt>
                      <c:pt idx="120">
                        <c:v>1626</c:v>
                      </c:pt>
                      <c:pt idx="121">
                        <c:v>1637</c:v>
                      </c:pt>
                      <c:pt idx="122">
                        <c:v>1647</c:v>
                      </c:pt>
                      <c:pt idx="123">
                        <c:v>1657</c:v>
                      </c:pt>
                      <c:pt idx="124">
                        <c:v>1669</c:v>
                      </c:pt>
                      <c:pt idx="125">
                        <c:v>1679</c:v>
                      </c:pt>
                      <c:pt idx="126">
                        <c:v>1689</c:v>
                      </c:pt>
                      <c:pt idx="127">
                        <c:v>1699</c:v>
                      </c:pt>
                      <c:pt idx="128">
                        <c:v>1710</c:v>
                      </c:pt>
                      <c:pt idx="129">
                        <c:v>1720</c:v>
                      </c:pt>
                      <c:pt idx="130">
                        <c:v>1730</c:v>
                      </c:pt>
                      <c:pt idx="131">
                        <c:v>1741</c:v>
                      </c:pt>
                      <c:pt idx="132">
                        <c:v>1751</c:v>
                      </c:pt>
                      <c:pt idx="133">
                        <c:v>1761</c:v>
                      </c:pt>
                      <c:pt idx="134">
                        <c:v>1771</c:v>
                      </c:pt>
                      <c:pt idx="135">
                        <c:v>1781</c:v>
                      </c:pt>
                      <c:pt idx="136">
                        <c:v>1792</c:v>
                      </c:pt>
                      <c:pt idx="137">
                        <c:v>1802</c:v>
                      </c:pt>
                      <c:pt idx="138">
                        <c:v>1813</c:v>
                      </c:pt>
                      <c:pt idx="139">
                        <c:v>1823</c:v>
                      </c:pt>
                      <c:pt idx="140">
                        <c:v>1833</c:v>
                      </c:pt>
                      <c:pt idx="141">
                        <c:v>1843</c:v>
                      </c:pt>
                      <c:pt idx="142">
                        <c:v>1853</c:v>
                      </c:pt>
                      <c:pt idx="143">
                        <c:v>1864</c:v>
                      </c:pt>
                      <c:pt idx="144">
                        <c:v>1874</c:v>
                      </c:pt>
                      <c:pt idx="145">
                        <c:v>1884</c:v>
                      </c:pt>
                      <c:pt idx="146">
                        <c:v>1895</c:v>
                      </c:pt>
                      <c:pt idx="147">
                        <c:v>1905</c:v>
                      </c:pt>
                      <c:pt idx="148">
                        <c:v>1915</c:v>
                      </c:pt>
                      <c:pt idx="149">
                        <c:v>1925</c:v>
                      </c:pt>
                      <c:pt idx="150">
                        <c:v>1936</c:v>
                      </c:pt>
                      <c:pt idx="151">
                        <c:v>1947</c:v>
                      </c:pt>
                      <c:pt idx="152">
                        <c:v>1958</c:v>
                      </c:pt>
                      <c:pt idx="153">
                        <c:v>1968</c:v>
                      </c:pt>
                      <c:pt idx="154">
                        <c:v>1979</c:v>
                      </c:pt>
                      <c:pt idx="155">
                        <c:v>1989</c:v>
                      </c:pt>
                      <c:pt idx="156">
                        <c:v>1999</c:v>
                      </c:pt>
                      <c:pt idx="157">
                        <c:v>2010</c:v>
                      </c:pt>
                      <c:pt idx="158">
                        <c:v>2020</c:v>
                      </c:pt>
                      <c:pt idx="159">
                        <c:v>2031</c:v>
                      </c:pt>
                      <c:pt idx="160">
                        <c:v>2041</c:v>
                      </c:pt>
                      <c:pt idx="161">
                        <c:v>2052</c:v>
                      </c:pt>
                      <c:pt idx="162">
                        <c:v>2062</c:v>
                      </c:pt>
                      <c:pt idx="163">
                        <c:v>2073</c:v>
                      </c:pt>
                      <c:pt idx="164">
                        <c:v>2083</c:v>
                      </c:pt>
                      <c:pt idx="165">
                        <c:v>2093</c:v>
                      </c:pt>
                      <c:pt idx="166">
                        <c:v>2104</c:v>
                      </c:pt>
                      <c:pt idx="167">
                        <c:v>2115</c:v>
                      </c:pt>
                      <c:pt idx="168">
                        <c:v>2125</c:v>
                      </c:pt>
                      <c:pt idx="169">
                        <c:v>2135</c:v>
                      </c:pt>
                      <c:pt idx="170">
                        <c:v>2145</c:v>
                      </c:pt>
                      <c:pt idx="171">
                        <c:v>2156</c:v>
                      </c:pt>
                      <c:pt idx="172">
                        <c:v>2166</c:v>
                      </c:pt>
                      <c:pt idx="173">
                        <c:v>2176</c:v>
                      </c:pt>
                      <c:pt idx="174">
                        <c:v>2186</c:v>
                      </c:pt>
                      <c:pt idx="175">
                        <c:v>2196</c:v>
                      </c:pt>
                      <c:pt idx="176">
                        <c:v>2207</c:v>
                      </c:pt>
                      <c:pt idx="177">
                        <c:v>2217</c:v>
                      </c:pt>
                      <c:pt idx="178">
                        <c:v>2227</c:v>
                      </c:pt>
                      <c:pt idx="179">
                        <c:v>2237</c:v>
                      </c:pt>
                      <c:pt idx="180">
                        <c:v>2247</c:v>
                      </c:pt>
                      <c:pt idx="181">
                        <c:v>2258</c:v>
                      </c:pt>
                      <c:pt idx="182">
                        <c:v>2268</c:v>
                      </c:pt>
                      <c:pt idx="183">
                        <c:v>2278</c:v>
                      </c:pt>
                      <c:pt idx="184">
                        <c:v>2289</c:v>
                      </c:pt>
                      <c:pt idx="185">
                        <c:v>2299</c:v>
                      </c:pt>
                      <c:pt idx="186">
                        <c:v>2309</c:v>
                      </c:pt>
                      <c:pt idx="187">
                        <c:v>2320</c:v>
                      </c:pt>
                      <c:pt idx="188">
                        <c:v>2330</c:v>
                      </c:pt>
                      <c:pt idx="189">
                        <c:v>2340</c:v>
                      </c:pt>
                      <c:pt idx="190">
                        <c:v>2351</c:v>
                      </c:pt>
                      <c:pt idx="191">
                        <c:v>2361</c:v>
                      </c:pt>
                      <c:pt idx="192">
                        <c:v>2371</c:v>
                      </c:pt>
                      <c:pt idx="193">
                        <c:v>2381</c:v>
                      </c:pt>
                      <c:pt idx="194">
                        <c:v>2392</c:v>
                      </c:pt>
                      <c:pt idx="195">
                        <c:v>2402</c:v>
                      </c:pt>
                      <c:pt idx="196">
                        <c:v>2412</c:v>
                      </c:pt>
                      <c:pt idx="197">
                        <c:v>2422</c:v>
                      </c:pt>
                      <c:pt idx="198">
                        <c:v>2433</c:v>
                      </c:pt>
                      <c:pt idx="199">
                        <c:v>2443</c:v>
                      </c:pt>
                      <c:pt idx="200">
                        <c:v>2453</c:v>
                      </c:pt>
                      <c:pt idx="201">
                        <c:v>2464</c:v>
                      </c:pt>
                      <c:pt idx="202">
                        <c:v>2474</c:v>
                      </c:pt>
                      <c:pt idx="203">
                        <c:v>2484</c:v>
                      </c:pt>
                      <c:pt idx="204">
                        <c:v>2494</c:v>
                      </c:pt>
                      <c:pt idx="205">
                        <c:v>2504</c:v>
                      </c:pt>
                      <c:pt idx="206">
                        <c:v>2515</c:v>
                      </c:pt>
                      <c:pt idx="207">
                        <c:v>2525</c:v>
                      </c:pt>
                      <c:pt idx="208">
                        <c:v>2535</c:v>
                      </c:pt>
                      <c:pt idx="209">
                        <c:v>2545</c:v>
                      </c:pt>
                      <c:pt idx="210">
                        <c:v>2555</c:v>
                      </c:pt>
                      <c:pt idx="211">
                        <c:v>2565</c:v>
                      </c:pt>
                      <c:pt idx="212">
                        <c:v>2576</c:v>
                      </c:pt>
                      <c:pt idx="213">
                        <c:v>2586</c:v>
                      </c:pt>
                      <c:pt idx="214">
                        <c:v>2596</c:v>
                      </c:pt>
                      <c:pt idx="215">
                        <c:v>2606</c:v>
                      </c:pt>
                      <c:pt idx="216">
                        <c:v>2616</c:v>
                      </c:pt>
                      <c:pt idx="217">
                        <c:v>2626</c:v>
                      </c:pt>
                      <c:pt idx="218">
                        <c:v>2637</c:v>
                      </c:pt>
                      <c:pt idx="219">
                        <c:v>2647</c:v>
                      </c:pt>
                      <c:pt idx="220">
                        <c:v>2658</c:v>
                      </c:pt>
                      <c:pt idx="221">
                        <c:v>2668</c:v>
                      </c:pt>
                      <c:pt idx="222">
                        <c:v>2678</c:v>
                      </c:pt>
                      <c:pt idx="223">
                        <c:v>2688</c:v>
                      </c:pt>
                      <c:pt idx="224">
                        <c:v>2698</c:v>
                      </c:pt>
                      <c:pt idx="225">
                        <c:v>2709</c:v>
                      </c:pt>
                      <c:pt idx="226">
                        <c:v>2719</c:v>
                      </c:pt>
                      <c:pt idx="227">
                        <c:v>2729</c:v>
                      </c:pt>
                      <c:pt idx="228">
                        <c:v>2739</c:v>
                      </c:pt>
                      <c:pt idx="229">
                        <c:v>2749</c:v>
                      </c:pt>
                      <c:pt idx="230">
                        <c:v>2760</c:v>
                      </c:pt>
                      <c:pt idx="231">
                        <c:v>2770</c:v>
                      </c:pt>
                      <c:pt idx="232">
                        <c:v>2780</c:v>
                      </c:pt>
                      <c:pt idx="233">
                        <c:v>2790</c:v>
                      </c:pt>
                      <c:pt idx="234">
                        <c:v>2801</c:v>
                      </c:pt>
                      <c:pt idx="235">
                        <c:v>2811</c:v>
                      </c:pt>
                      <c:pt idx="236">
                        <c:v>2821</c:v>
                      </c:pt>
                      <c:pt idx="237">
                        <c:v>2831</c:v>
                      </c:pt>
                      <c:pt idx="238">
                        <c:v>2842</c:v>
                      </c:pt>
                      <c:pt idx="239">
                        <c:v>2852</c:v>
                      </c:pt>
                      <c:pt idx="240">
                        <c:v>2862</c:v>
                      </c:pt>
                      <c:pt idx="241">
                        <c:v>2873</c:v>
                      </c:pt>
                      <c:pt idx="242">
                        <c:v>2883</c:v>
                      </c:pt>
                      <c:pt idx="243">
                        <c:v>2894</c:v>
                      </c:pt>
                      <c:pt idx="244">
                        <c:v>2904</c:v>
                      </c:pt>
                      <c:pt idx="245">
                        <c:v>2914</c:v>
                      </c:pt>
                      <c:pt idx="246">
                        <c:v>2924</c:v>
                      </c:pt>
                      <c:pt idx="247">
                        <c:v>2934</c:v>
                      </c:pt>
                      <c:pt idx="248">
                        <c:v>2944</c:v>
                      </c:pt>
                      <c:pt idx="249">
                        <c:v>2955</c:v>
                      </c:pt>
                      <c:pt idx="250">
                        <c:v>2965</c:v>
                      </c:pt>
                      <c:pt idx="251">
                        <c:v>2975</c:v>
                      </c:pt>
                      <c:pt idx="252">
                        <c:v>2986</c:v>
                      </c:pt>
                      <c:pt idx="253">
                        <c:v>2996</c:v>
                      </c:pt>
                      <c:pt idx="254">
                        <c:v>3006</c:v>
                      </c:pt>
                      <c:pt idx="255">
                        <c:v>3016</c:v>
                      </c:pt>
                      <c:pt idx="256">
                        <c:v>3026</c:v>
                      </c:pt>
                      <c:pt idx="257">
                        <c:v>3036</c:v>
                      </c:pt>
                      <c:pt idx="258">
                        <c:v>3046</c:v>
                      </c:pt>
                      <c:pt idx="259">
                        <c:v>3056</c:v>
                      </c:pt>
                      <c:pt idx="260">
                        <c:v>3067</c:v>
                      </c:pt>
                      <c:pt idx="261">
                        <c:v>3077</c:v>
                      </c:pt>
                      <c:pt idx="262">
                        <c:v>3087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D1F1-4EC5-A42A-CC83BCBF68E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Minutes</c:v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'0525'!$B$2:$B$264</c15:sqref>
                        </c15:formulaRef>
                      </c:ext>
                    </c:extLst>
                    <c:numCache>
                      <c:formatCode>0</c:formatCode>
                      <c:ptCount val="263"/>
                      <c:pt idx="0">
                        <c:v>-0.29999999999999982</c:v>
                      </c:pt>
                      <c:pt idx="1">
                        <c:v>-0.13333333333333375</c:v>
                      </c:pt>
                      <c:pt idx="2">
                        <c:v>3.3333333333333215E-2</c:v>
                      </c:pt>
                      <c:pt idx="3">
                        <c:v>0.20000000000000018</c:v>
                      </c:pt>
                      <c:pt idx="4">
                        <c:v>0.36666666666666625</c:v>
                      </c:pt>
                      <c:pt idx="5">
                        <c:v>0.53333333333333321</c:v>
                      </c:pt>
                      <c:pt idx="6">
                        <c:v>0.70000000000000018</c:v>
                      </c:pt>
                      <c:pt idx="7">
                        <c:v>0.86666666666666625</c:v>
                      </c:pt>
                      <c:pt idx="8">
                        <c:v>1.0333333333333332</c:v>
                      </c:pt>
                      <c:pt idx="9">
                        <c:v>1.1999999999999993</c:v>
                      </c:pt>
                      <c:pt idx="10">
                        <c:v>1.3666666666666671</c:v>
                      </c:pt>
                      <c:pt idx="11">
                        <c:v>1.5333333333333332</c:v>
                      </c:pt>
                      <c:pt idx="12">
                        <c:v>1.6999999999999993</c:v>
                      </c:pt>
                      <c:pt idx="13">
                        <c:v>1.8833333333333329</c:v>
                      </c:pt>
                      <c:pt idx="14">
                        <c:v>2.0500000000000007</c:v>
                      </c:pt>
                      <c:pt idx="15">
                        <c:v>2.2166666666666668</c:v>
                      </c:pt>
                      <c:pt idx="16">
                        <c:v>2.3833333333333329</c:v>
                      </c:pt>
                      <c:pt idx="17">
                        <c:v>2.5666666666666664</c:v>
                      </c:pt>
                      <c:pt idx="18">
                        <c:v>2.7333333333333325</c:v>
                      </c:pt>
                      <c:pt idx="19">
                        <c:v>2.9000000000000004</c:v>
                      </c:pt>
                      <c:pt idx="20">
                        <c:v>3.0666666666666664</c:v>
                      </c:pt>
                      <c:pt idx="21">
                        <c:v>3.25</c:v>
                      </c:pt>
                      <c:pt idx="22">
                        <c:v>3.4166666666666661</c:v>
                      </c:pt>
                      <c:pt idx="23">
                        <c:v>3.5999999999999996</c:v>
                      </c:pt>
                      <c:pt idx="24">
                        <c:v>3.7666666666666675</c:v>
                      </c:pt>
                      <c:pt idx="25">
                        <c:v>3.9333333333333336</c:v>
                      </c:pt>
                      <c:pt idx="26">
                        <c:v>4.1166666666666671</c:v>
                      </c:pt>
                      <c:pt idx="27">
                        <c:v>4.2833333333333332</c:v>
                      </c:pt>
                      <c:pt idx="28">
                        <c:v>4.4499999999999993</c:v>
                      </c:pt>
                      <c:pt idx="29">
                        <c:v>4.6166666666666671</c:v>
                      </c:pt>
                      <c:pt idx="30">
                        <c:v>4.7833333333333332</c:v>
                      </c:pt>
                      <c:pt idx="31">
                        <c:v>4.9666666666666668</c:v>
                      </c:pt>
                      <c:pt idx="32">
                        <c:v>5.1333333333333329</c:v>
                      </c:pt>
                      <c:pt idx="33">
                        <c:v>5.3166666666666664</c:v>
                      </c:pt>
                      <c:pt idx="34">
                        <c:v>5.4833333333333325</c:v>
                      </c:pt>
                      <c:pt idx="35">
                        <c:v>5.65</c:v>
                      </c:pt>
                      <c:pt idx="36">
                        <c:v>5.8333333333333339</c:v>
                      </c:pt>
                      <c:pt idx="37">
                        <c:v>6</c:v>
                      </c:pt>
                      <c:pt idx="38">
                        <c:v>6.1666666666666661</c:v>
                      </c:pt>
                      <c:pt idx="39">
                        <c:v>6.3333333333333339</c:v>
                      </c:pt>
                      <c:pt idx="40">
                        <c:v>6.5</c:v>
                      </c:pt>
                      <c:pt idx="41">
                        <c:v>6.6666666666666661</c:v>
                      </c:pt>
                      <c:pt idx="42">
                        <c:v>6.8333333333333339</c:v>
                      </c:pt>
                      <c:pt idx="43">
                        <c:v>7</c:v>
                      </c:pt>
                      <c:pt idx="44">
                        <c:v>7.1833333333333336</c:v>
                      </c:pt>
                      <c:pt idx="45">
                        <c:v>7.35</c:v>
                      </c:pt>
                      <c:pt idx="46">
                        <c:v>7.5333333333333332</c:v>
                      </c:pt>
                      <c:pt idx="47">
                        <c:v>7.6999999999999993</c:v>
                      </c:pt>
                      <c:pt idx="48">
                        <c:v>7.8666666666666671</c:v>
                      </c:pt>
                      <c:pt idx="49">
                        <c:v>8.0500000000000007</c:v>
                      </c:pt>
                      <c:pt idx="50">
                        <c:v>8.2166666666666668</c:v>
                      </c:pt>
                      <c:pt idx="51">
                        <c:v>8.3833333333333329</c:v>
                      </c:pt>
                      <c:pt idx="52">
                        <c:v>8.5500000000000007</c:v>
                      </c:pt>
                      <c:pt idx="53">
                        <c:v>8.7333333333333325</c:v>
                      </c:pt>
                      <c:pt idx="54">
                        <c:v>8.9</c:v>
                      </c:pt>
                      <c:pt idx="55">
                        <c:v>9.0666666666666664</c:v>
                      </c:pt>
                      <c:pt idx="56">
                        <c:v>9.2333333333333343</c:v>
                      </c:pt>
                      <c:pt idx="57">
                        <c:v>9.3999999999999986</c:v>
                      </c:pt>
                      <c:pt idx="58">
                        <c:v>9.5666666666666664</c:v>
                      </c:pt>
                      <c:pt idx="59">
                        <c:v>9.7333333333333343</c:v>
                      </c:pt>
                      <c:pt idx="60">
                        <c:v>9.8999999999999986</c:v>
                      </c:pt>
                      <c:pt idx="61">
                        <c:v>10.066666666666666</c:v>
                      </c:pt>
                      <c:pt idx="62">
                        <c:v>10.233333333333334</c:v>
                      </c:pt>
                      <c:pt idx="63">
                        <c:v>10.416666666666668</c:v>
                      </c:pt>
                      <c:pt idx="64">
                        <c:v>10.583333333333332</c:v>
                      </c:pt>
                      <c:pt idx="65">
                        <c:v>10.75</c:v>
                      </c:pt>
                      <c:pt idx="66">
                        <c:v>10.916666666666668</c:v>
                      </c:pt>
                      <c:pt idx="67">
                        <c:v>11.100000000000001</c:v>
                      </c:pt>
                      <c:pt idx="68">
                        <c:v>11.266666666666666</c:v>
                      </c:pt>
                      <c:pt idx="69">
                        <c:v>11.433333333333334</c:v>
                      </c:pt>
                      <c:pt idx="70">
                        <c:v>11.600000000000001</c:v>
                      </c:pt>
                      <c:pt idx="71">
                        <c:v>11.766666666666666</c:v>
                      </c:pt>
                      <c:pt idx="72">
                        <c:v>11.95</c:v>
                      </c:pt>
                      <c:pt idx="73">
                        <c:v>12.116666666666667</c:v>
                      </c:pt>
                      <c:pt idx="74">
                        <c:v>12.283333333333335</c:v>
                      </c:pt>
                      <c:pt idx="75">
                        <c:v>12.45</c:v>
                      </c:pt>
                      <c:pt idx="76">
                        <c:v>12.633333333333333</c:v>
                      </c:pt>
                      <c:pt idx="77">
                        <c:v>12.8</c:v>
                      </c:pt>
                      <c:pt idx="78">
                        <c:v>12.966666666666665</c:v>
                      </c:pt>
                      <c:pt idx="79">
                        <c:v>13.133333333333333</c:v>
                      </c:pt>
                      <c:pt idx="80">
                        <c:v>13.3</c:v>
                      </c:pt>
                      <c:pt idx="81">
                        <c:v>13.466666666666665</c:v>
                      </c:pt>
                      <c:pt idx="82">
                        <c:v>13.633333333333333</c:v>
                      </c:pt>
                      <c:pt idx="83">
                        <c:v>13.816666666666666</c:v>
                      </c:pt>
                      <c:pt idx="84">
                        <c:v>13.983333333333334</c:v>
                      </c:pt>
                      <c:pt idx="85">
                        <c:v>14.149999999999999</c:v>
                      </c:pt>
                      <c:pt idx="86">
                        <c:v>14.316666666666666</c:v>
                      </c:pt>
                      <c:pt idx="87">
                        <c:v>14.483333333333334</c:v>
                      </c:pt>
                      <c:pt idx="88">
                        <c:v>14.649999999999999</c:v>
                      </c:pt>
                      <c:pt idx="89">
                        <c:v>14.816666666666666</c:v>
                      </c:pt>
                      <c:pt idx="90">
                        <c:v>15</c:v>
                      </c:pt>
                      <c:pt idx="91">
                        <c:v>15.166666666666668</c:v>
                      </c:pt>
                      <c:pt idx="92">
                        <c:v>15.333333333333332</c:v>
                      </c:pt>
                      <c:pt idx="93">
                        <c:v>15.5</c:v>
                      </c:pt>
                      <c:pt idx="94">
                        <c:v>15.666666666666668</c:v>
                      </c:pt>
                      <c:pt idx="95">
                        <c:v>15.850000000000001</c:v>
                      </c:pt>
                      <c:pt idx="96">
                        <c:v>16.016666666666666</c:v>
                      </c:pt>
                      <c:pt idx="97">
                        <c:v>16.183333333333334</c:v>
                      </c:pt>
                      <c:pt idx="98">
                        <c:v>16.350000000000001</c:v>
                      </c:pt>
                      <c:pt idx="99">
                        <c:v>16.516666666666666</c:v>
                      </c:pt>
                      <c:pt idx="100">
                        <c:v>16.7</c:v>
                      </c:pt>
                      <c:pt idx="101">
                        <c:v>16.866666666666667</c:v>
                      </c:pt>
                      <c:pt idx="102">
                        <c:v>17.033333333333335</c:v>
                      </c:pt>
                      <c:pt idx="103">
                        <c:v>17.2</c:v>
                      </c:pt>
                      <c:pt idx="104">
                        <c:v>17.366666666666667</c:v>
                      </c:pt>
                      <c:pt idx="105">
                        <c:v>17.533333333333335</c:v>
                      </c:pt>
                      <c:pt idx="106">
                        <c:v>17.716666666666665</c:v>
                      </c:pt>
                      <c:pt idx="107">
                        <c:v>17.883333333333333</c:v>
                      </c:pt>
                      <c:pt idx="108">
                        <c:v>18.05</c:v>
                      </c:pt>
                      <c:pt idx="109">
                        <c:v>18.216666666666665</c:v>
                      </c:pt>
                      <c:pt idx="110">
                        <c:v>18.399999999999999</c:v>
                      </c:pt>
                      <c:pt idx="111">
                        <c:v>18.566666666666666</c:v>
                      </c:pt>
                      <c:pt idx="112">
                        <c:v>18.733333333333334</c:v>
                      </c:pt>
                      <c:pt idx="113">
                        <c:v>18.899999999999999</c:v>
                      </c:pt>
                      <c:pt idx="114">
                        <c:v>19.066666666666666</c:v>
                      </c:pt>
                      <c:pt idx="115">
                        <c:v>19.25</c:v>
                      </c:pt>
                      <c:pt idx="116">
                        <c:v>19.433333333333334</c:v>
                      </c:pt>
                      <c:pt idx="117">
                        <c:v>19.600000000000001</c:v>
                      </c:pt>
                      <c:pt idx="118">
                        <c:v>19.766666666666666</c:v>
                      </c:pt>
                      <c:pt idx="119">
                        <c:v>19.933333333333334</c:v>
                      </c:pt>
                      <c:pt idx="120">
                        <c:v>20.100000000000001</c:v>
                      </c:pt>
                      <c:pt idx="121">
                        <c:v>20.283333333333335</c:v>
                      </c:pt>
                      <c:pt idx="122">
                        <c:v>20.45</c:v>
                      </c:pt>
                      <c:pt idx="123">
                        <c:v>20.616666666666667</c:v>
                      </c:pt>
                      <c:pt idx="124">
                        <c:v>20.816666666666666</c:v>
                      </c:pt>
                      <c:pt idx="125">
                        <c:v>20.983333333333334</c:v>
                      </c:pt>
                      <c:pt idx="126">
                        <c:v>21.15</c:v>
                      </c:pt>
                      <c:pt idx="127">
                        <c:v>21.316666666666666</c:v>
                      </c:pt>
                      <c:pt idx="128">
                        <c:v>21.5</c:v>
                      </c:pt>
                      <c:pt idx="129">
                        <c:v>21.666666666666668</c:v>
                      </c:pt>
                      <c:pt idx="130">
                        <c:v>21.833333333333332</c:v>
                      </c:pt>
                      <c:pt idx="131">
                        <c:v>22.016666666666666</c:v>
                      </c:pt>
                      <c:pt idx="132">
                        <c:v>22.183333333333334</c:v>
                      </c:pt>
                      <c:pt idx="133">
                        <c:v>22.35</c:v>
                      </c:pt>
                      <c:pt idx="134">
                        <c:v>22.516666666666666</c:v>
                      </c:pt>
                      <c:pt idx="135">
                        <c:v>22.683333333333334</c:v>
                      </c:pt>
                      <c:pt idx="136">
                        <c:v>22.866666666666667</c:v>
                      </c:pt>
                      <c:pt idx="137">
                        <c:v>23.033333333333335</c:v>
                      </c:pt>
                      <c:pt idx="138">
                        <c:v>23.216666666666665</c:v>
                      </c:pt>
                      <c:pt idx="139">
                        <c:v>23.383333333333333</c:v>
                      </c:pt>
                      <c:pt idx="140">
                        <c:v>23.55</c:v>
                      </c:pt>
                      <c:pt idx="141">
                        <c:v>23.716666666666665</c:v>
                      </c:pt>
                      <c:pt idx="142">
                        <c:v>23.883333333333333</c:v>
                      </c:pt>
                      <c:pt idx="143">
                        <c:v>24.066666666666666</c:v>
                      </c:pt>
                      <c:pt idx="144">
                        <c:v>24.233333333333334</c:v>
                      </c:pt>
                      <c:pt idx="145">
                        <c:v>24.4</c:v>
                      </c:pt>
                      <c:pt idx="146">
                        <c:v>24.583333333333332</c:v>
                      </c:pt>
                      <c:pt idx="147">
                        <c:v>24.75</c:v>
                      </c:pt>
                      <c:pt idx="148">
                        <c:v>24.916666666666668</c:v>
                      </c:pt>
                      <c:pt idx="149">
                        <c:v>25.083333333333336</c:v>
                      </c:pt>
                      <c:pt idx="150">
                        <c:v>25.266666666666666</c:v>
                      </c:pt>
                      <c:pt idx="151">
                        <c:v>25.450000000000003</c:v>
                      </c:pt>
                      <c:pt idx="152">
                        <c:v>25.633333333333333</c:v>
                      </c:pt>
                      <c:pt idx="153">
                        <c:v>25.799999999999997</c:v>
                      </c:pt>
                      <c:pt idx="154">
                        <c:v>25.983333333333334</c:v>
                      </c:pt>
                      <c:pt idx="155">
                        <c:v>26.15</c:v>
                      </c:pt>
                      <c:pt idx="156">
                        <c:v>26.31666666666667</c:v>
                      </c:pt>
                      <c:pt idx="157">
                        <c:v>26.5</c:v>
                      </c:pt>
                      <c:pt idx="158">
                        <c:v>26.666666666666664</c:v>
                      </c:pt>
                      <c:pt idx="159">
                        <c:v>26.85</c:v>
                      </c:pt>
                      <c:pt idx="160">
                        <c:v>27.016666666666666</c:v>
                      </c:pt>
                      <c:pt idx="161">
                        <c:v>27.200000000000003</c:v>
                      </c:pt>
                      <c:pt idx="162">
                        <c:v>27.366666666666667</c:v>
                      </c:pt>
                      <c:pt idx="163">
                        <c:v>27.549999999999997</c:v>
                      </c:pt>
                      <c:pt idx="164">
                        <c:v>27.716666666666669</c:v>
                      </c:pt>
                      <c:pt idx="165">
                        <c:v>27.883333333333333</c:v>
                      </c:pt>
                      <c:pt idx="166">
                        <c:v>28.06666666666667</c:v>
                      </c:pt>
                      <c:pt idx="167">
                        <c:v>28.25</c:v>
                      </c:pt>
                      <c:pt idx="168">
                        <c:v>28.416666666666664</c:v>
                      </c:pt>
                      <c:pt idx="169">
                        <c:v>28.583333333333336</c:v>
                      </c:pt>
                      <c:pt idx="170">
                        <c:v>28.75</c:v>
                      </c:pt>
                      <c:pt idx="171">
                        <c:v>28.93333333333333</c:v>
                      </c:pt>
                      <c:pt idx="172">
                        <c:v>29.1</c:v>
                      </c:pt>
                      <c:pt idx="173">
                        <c:v>29.266666666666666</c:v>
                      </c:pt>
                      <c:pt idx="174">
                        <c:v>29.43333333333333</c:v>
                      </c:pt>
                      <c:pt idx="175">
                        <c:v>29.6</c:v>
                      </c:pt>
                      <c:pt idx="176">
                        <c:v>29.783333333333331</c:v>
                      </c:pt>
                      <c:pt idx="177">
                        <c:v>29.950000000000003</c:v>
                      </c:pt>
                      <c:pt idx="178">
                        <c:v>30.116666666666667</c:v>
                      </c:pt>
                      <c:pt idx="179">
                        <c:v>30.283333333333331</c:v>
                      </c:pt>
                      <c:pt idx="180">
                        <c:v>30.450000000000003</c:v>
                      </c:pt>
                      <c:pt idx="181">
                        <c:v>30.633333333333333</c:v>
                      </c:pt>
                      <c:pt idx="182">
                        <c:v>30.799999999999997</c:v>
                      </c:pt>
                      <c:pt idx="183">
                        <c:v>30.966666666666669</c:v>
                      </c:pt>
                      <c:pt idx="184">
                        <c:v>31.15</c:v>
                      </c:pt>
                      <c:pt idx="185">
                        <c:v>31.31666666666667</c:v>
                      </c:pt>
                      <c:pt idx="186">
                        <c:v>31.483333333333334</c:v>
                      </c:pt>
                      <c:pt idx="187">
                        <c:v>31.666666666666664</c:v>
                      </c:pt>
                      <c:pt idx="188">
                        <c:v>31.833333333333336</c:v>
                      </c:pt>
                      <c:pt idx="189">
                        <c:v>32</c:v>
                      </c:pt>
                      <c:pt idx="190">
                        <c:v>32.18333333333333</c:v>
                      </c:pt>
                      <c:pt idx="191">
                        <c:v>32.35</c:v>
                      </c:pt>
                      <c:pt idx="192">
                        <c:v>32.516666666666666</c:v>
                      </c:pt>
                      <c:pt idx="193">
                        <c:v>32.68333333333333</c:v>
                      </c:pt>
                      <c:pt idx="194">
                        <c:v>32.866666666666667</c:v>
                      </c:pt>
                      <c:pt idx="195">
                        <c:v>33.033333333333331</c:v>
                      </c:pt>
                      <c:pt idx="196">
                        <c:v>33.200000000000003</c:v>
                      </c:pt>
                      <c:pt idx="197">
                        <c:v>33.366666666666667</c:v>
                      </c:pt>
                      <c:pt idx="198">
                        <c:v>33.549999999999997</c:v>
                      </c:pt>
                      <c:pt idx="199">
                        <c:v>33.716666666666669</c:v>
                      </c:pt>
                      <c:pt idx="200">
                        <c:v>33.883333333333333</c:v>
                      </c:pt>
                      <c:pt idx="201">
                        <c:v>34.06666666666667</c:v>
                      </c:pt>
                      <c:pt idx="202">
                        <c:v>34.233333333333334</c:v>
                      </c:pt>
                      <c:pt idx="203">
                        <c:v>34.4</c:v>
                      </c:pt>
                      <c:pt idx="204">
                        <c:v>34.56666666666667</c:v>
                      </c:pt>
                      <c:pt idx="205">
                        <c:v>34.733333333333334</c:v>
                      </c:pt>
                      <c:pt idx="206">
                        <c:v>34.916666666666664</c:v>
                      </c:pt>
                      <c:pt idx="207">
                        <c:v>35.083333333333336</c:v>
                      </c:pt>
                      <c:pt idx="208">
                        <c:v>35.25</c:v>
                      </c:pt>
                      <c:pt idx="209">
                        <c:v>35.416666666666664</c:v>
                      </c:pt>
                      <c:pt idx="210">
                        <c:v>35.583333333333336</c:v>
                      </c:pt>
                      <c:pt idx="211">
                        <c:v>35.75</c:v>
                      </c:pt>
                      <c:pt idx="212">
                        <c:v>35.93333333333333</c:v>
                      </c:pt>
                      <c:pt idx="213">
                        <c:v>36.1</c:v>
                      </c:pt>
                      <c:pt idx="214">
                        <c:v>36.266666666666666</c:v>
                      </c:pt>
                      <c:pt idx="215">
                        <c:v>36.43333333333333</c:v>
                      </c:pt>
                      <c:pt idx="216">
                        <c:v>36.6</c:v>
                      </c:pt>
                      <c:pt idx="217">
                        <c:v>36.766666666666666</c:v>
                      </c:pt>
                      <c:pt idx="218">
                        <c:v>36.950000000000003</c:v>
                      </c:pt>
                      <c:pt idx="219">
                        <c:v>37.116666666666667</c:v>
                      </c:pt>
                      <c:pt idx="220">
                        <c:v>37.299999999999997</c:v>
                      </c:pt>
                      <c:pt idx="221">
                        <c:v>37.466666666666669</c:v>
                      </c:pt>
                      <c:pt idx="222">
                        <c:v>37.633333333333333</c:v>
                      </c:pt>
                      <c:pt idx="223">
                        <c:v>37.799999999999997</c:v>
                      </c:pt>
                      <c:pt idx="224">
                        <c:v>37.966666666666669</c:v>
                      </c:pt>
                      <c:pt idx="225">
                        <c:v>38.15</c:v>
                      </c:pt>
                      <c:pt idx="226">
                        <c:v>38.31666666666667</c:v>
                      </c:pt>
                      <c:pt idx="227">
                        <c:v>38.483333333333334</c:v>
                      </c:pt>
                      <c:pt idx="228">
                        <c:v>38.65</c:v>
                      </c:pt>
                      <c:pt idx="229">
                        <c:v>38.81666666666667</c:v>
                      </c:pt>
                      <c:pt idx="230">
                        <c:v>39</c:v>
                      </c:pt>
                      <c:pt idx="231">
                        <c:v>39.166666666666664</c:v>
                      </c:pt>
                      <c:pt idx="232">
                        <c:v>39.333333333333336</c:v>
                      </c:pt>
                      <c:pt idx="233">
                        <c:v>39.5</c:v>
                      </c:pt>
                      <c:pt idx="234">
                        <c:v>39.68333333333333</c:v>
                      </c:pt>
                      <c:pt idx="235">
                        <c:v>39.85</c:v>
                      </c:pt>
                      <c:pt idx="236">
                        <c:v>40.016666666666666</c:v>
                      </c:pt>
                      <c:pt idx="237">
                        <c:v>40.18333333333333</c:v>
                      </c:pt>
                      <c:pt idx="238">
                        <c:v>40.366666666666667</c:v>
                      </c:pt>
                      <c:pt idx="239">
                        <c:v>40.533333333333331</c:v>
                      </c:pt>
                      <c:pt idx="240">
                        <c:v>40.700000000000003</c:v>
                      </c:pt>
                      <c:pt idx="241">
                        <c:v>40.883333333333333</c:v>
                      </c:pt>
                      <c:pt idx="242">
                        <c:v>41.05</c:v>
                      </c:pt>
                      <c:pt idx="243">
                        <c:v>41.233333333333334</c:v>
                      </c:pt>
                      <c:pt idx="244">
                        <c:v>41.4</c:v>
                      </c:pt>
                      <c:pt idx="245">
                        <c:v>41.56666666666667</c:v>
                      </c:pt>
                      <c:pt idx="246">
                        <c:v>41.733333333333334</c:v>
                      </c:pt>
                      <c:pt idx="247">
                        <c:v>41.9</c:v>
                      </c:pt>
                      <c:pt idx="248">
                        <c:v>42.06666666666667</c:v>
                      </c:pt>
                      <c:pt idx="249">
                        <c:v>42.25</c:v>
                      </c:pt>
                      <c:pt idx="250">
                        <c:v>42.416666666666664</c:v>
                      </c:pt>
                      <c:pt idx="251">
                        <c:v>42.583333333333336</c:v>
                      </c:pt>
                      <c:pt idx="252">
                        <c:v>42.766666666666666</c:v>
                      </c:pt>
                      <c:pt idx="253">
                        <c:v>42.93333333333333</c:v>
                      </c:pt>
                      <c:pt idx="254">
                        <c:v>43.1</c:v>
                      </c:pt>
                      <c:pt idx="255">
                        <c:v>43.266666666666666</c:v>
                      </c:pt>
                      <c:pt idx="256">
                        <c:v>43.43333333333333</c:v>
                      </c:pt>
                      <c:pt idx="257">
                        <c:v>43.6</c:v>
                      </c:pt>
                      <c:pt idx="258">
                        <c:v>43.766666666666666</c:v>
                      </c:pt>
                      <c:pt idx="259">
                        <c:v>43.93333333333333</c:v>
                      </c:pt>
                      <c:pt idx="260">
                        <c:v>44.116666666666667</c:v>
                      </c:pt>
                      <c:pt idx="261">
                        <c:v>44.283333333333331</c:v>
                      </c:pt>
                      <c:pt idx="262">
                        <c:v>44.45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'0525'!$B$2:$B$264</c15:sqref>
                        </c15:formulaRef>
                      </c:ext>
                    </c:extLst>
                    <c:numCache>
                      <c:formatCode>0</c:formatCode>
                      <c:ptCount val="263"/>
                      <c:pt idx="0">
                        <c:v>-0.29999999999999982</c:v>
                      </c:pt>
                      <c:pt idx="1">
                        <c:v>-0.13333333333333375</c:v>
                      </c:pt>
                      <c:pt idx="2">
                        <c:v>3.3333333333333215E-2</c:v>
                      </c:pt>
                      <c:pt idx="3">
                        <c:v>0.20000000000000018</c:v>
                      </c:pt>
                      <c:pt idx="4">
                        <c:v>0.36666666666666625</c:v>
                      </c:pt>
                      <c:pt idx="5">
                        <c:v>0.53333333333333321</c:v>
                      </c:pt>
                      <c:pt idx="6">
                        <c:v>0.70000000000000018</c:v>
                      </c:pt>
                      <c:pt idx="7">
                        <c:v>0.86666666666666625</c:v>
                      </c:pt>
                      <c:pt idx="8">
                        <c:v>1.0333333333333332</c:v>
                      </c:pt>
                      <c:pt idx="9">
                        <c:v>1.1999999999999993</c:v>
                      </c:pt>
                      <c:pt idx="10">
                        <c:v>1.3666666666666671</c:v>
                      </c:pt>
                      <c:pt idx="11">
                        <c:v>1.5333333333333332</c:v>
                      </c:pt>
                      <c:pt idx="12">
                        <c:v>1.6999999999999993</c:v>
                      </c:pt>
                      <c:pt idx="13">
                        <c:v>1.8833333333333329</c:v>
                      </c:pt>
                      <c:pt idx="14">
                        <c:v>2.0500000000000007</c:v>
                      </c:pt>
                      <c:pt idx="15">
                        <c:v>2.2166666666666668</c:v>
                      </c:pt>
                      <c:pt idx="16">
                        <c:v>2.3833333333333329</c:v>
                      </c:pt>
                      <c:pt idx="17">
                        <c:v>2.5666666666666664</c:v>
                      </c:pt>
                      <c:pt idx="18">
                        <c:v>2.7333333333333325</c:v>
                      </c:pt>
                      <c:pt idx="19">
                        <c:v>2.9000000000000004</c:v>
                      </c:pt>
                      <c:pt idx="20">
                        <c:v>3.0666666666666664</c:v>
                      </c:pt>
                      <c:pt idx="21">
                        <c:v>3.25</c:v>
                      </c:pt>
                      <c:pt idx="22">
                        <c:v>3.4166666666666661</c:v>
                      </c:pt>
                      <c:pt idx="23">
                        <c:v>3.5999999999999996</c:v>
                      </c:pt>
                      <c:pt idx="24">
                        <c:v>3.7666666666666675</c:v>
                      </c:pt>
                      <c:pt idx="25">
                        <c:v>3.9333333333333336</c:v>
                      </c:pt>
                      <c:pt idx="26">
                        <c:v>4.1166666666666671</c:v>
                      </c:pt>
                      <c:pt idx="27">
                        <c:v>4.2833333333333332</c:v>
                      </c:pt>
                      <c:pt idx="28">
                        <c:v>4.4499999999999993</c:v>
                      </c:pt>
                      <c:pt idx="29">
                        <c:v>4.6166666666666671</c:v>
                      </c:pt>
                      <c:pt idx="30">
                        <c:v>4.7833333333333332</c:v>
                      </c:pt>
                      <c:pt idx="31">
                        <c:v>4.9666666666666668</c:v>
                      </c:pt>
                      <c:pt idx="32">
                        <c:v>5.1333333333333329</c:v>
                      </c:pt>
                      <c:pt idx="33">
                        <c:v>5.3166666666666664</c:v>
                      </c:pt>
                      <c:pt idx="34">
                        <c:v>5.4833333333333325</c:v>
                      </c:pt>
                      <c:pt idx="35">
                        <c:v>5.65</c:v>
                      </c:pt>
                      <c:pt idx="36">
                        <c:v>5.8333333333333339</c:v>
                      </c:pt>
                      <c:pt idx="37">
                        <c:v>6</c:v>
                      </c:pt>
                      <c:pt idx="38">
                        <c:v>6.1666666666666661</c:v>
                      </c:pt>
                      <c:pt idx="39">
                        <c:v>6.3333333333333339</c:v>
                      </c:pt>
                      <c:pt idx="40">
                        <c:v>6.5</c:v>
                      </c:pt>
                      <c:pt idx="41">
                        <c:v>6.6666666666666661</c:v>
                      </c:pt>
                      <c:pt idx="42">
                        <c:v>6.8333333333333339</c:v>
                      </c:pt>
                      <c:pt idx="43">
                        <c:v>7</c:v>
                      </c:pt>
                      <c:pt idx="44">
                        <c:v>7.1833333333333336</c:v>
                      </c:pt>
                      <c:pt idx="45">
                        <c:v>7.35</c:v>
                      </c:pt>
                      <c:pt idx="46">
                        <c:v>7.5333333333333332</c:v>
                      </c:pt>
                      <c:pt idx="47">
                        <c:v>7.6999999999999993</c:v>
                      </c:pt>
                      <c:pt idx="48">
                        <c:v>7.8666666666666671</c:v>
                      </c:pt>
                      <c:pt idx="49">
                        <c:v>8.0500000000000007</c:v>
                      </c:pt>
                      <c:pt idx="50">
                        <c:v>8.2166666666666668</c:v>
                      </c:pt>
                      <c:pt idx="51">
                        <c:v>8.3833333333333329</c:v>
                      </c:pt>
                      <c:pt idx="52">
                        <c:v>8.5500000000000007</c:v>
                      </c:pt>
                      <c:pt idx="53">
                        <c:v>8.7333333333333325</c:v>
                      </c:pt>
                      <c:pt idx="54">
                        <c:v>8.9</c:v>
                      </c:pt>
                      <c:pt idx="55">
                        <c:v>9.0666666666666664</c:v>
                      </c:pt>
                      <c:pt idx="56">
                        <c:v>9.2333333333333343</c:v>
                      </c:pt>
                      <c:pt idx="57">
                        <c:v>9.3999999999999986</c:v>
                      </c:pt>
                      <c:pt idx="58">
                        <c:v>9.5666666666666664</c:v>
                      </c:pt>
                      <c:pt idx="59">
                        <c:v>9.7333333333333343</c:v>
                      </c:pt>
                      <c:pt idx="60">
                        <c:v>9.8999999999999986</c:v>
                      </c:pt>
                      <c:pt idx="61">
                        <c:v>10.066666666666666</c:v>
                      </c:pt>
                      <c:pt idx="62">
                        <c:v>10.233333333333334</c:v>
                      </c:pt>
                      <c:pt idx="63">
                        <c:v>10.416666666666668</c:v>
                      </c:pt>
                      <c:pt idx="64">
                        <c:v>10.583333333333332</c:v>
                      </c:pt>
                      <c:pt idx="65">
                        <c:v>10.75</c:v>
                      </c:pt>
                      <c:pt idx="66">
                        <c:v>10.916666666666668</c:v>
                      </c:pt>
                      <c:pt idx="67">
                        <c:v>11.100000000000001</c:v>
                      </c:pt>
                      <c:pt idx="68">
                        <c:v>11.266666666666666</c:v>
                      </c:pt>
                      <c:pt idx="69">
                        <c:v>11.433333333333334</c:v>
                      </c:pt>
                      <c:pt idx="70">
                        <c:v>11.600000000000001</c:v>
                      </c:pt>
                      <c:pt idx="71">
                        <c:v>11.766666666666666</c:v>
                      </c:pt>
                      <c:pt idx="72">
                        <c:v>11.95</c:v>
                      </c:pt>
                      <c:pt idx="73">
                        <c:v>12.116666666666667</c:v>
                      </c:pt>
                      <c:pt idx="74">
                        <c:v>12.283333333333335</c:v>
                      </c:pt>
                      <c:pt idx="75">
                        <c:v>12.45</c:v>
                      </c:pt>
                      <c:pt idx="76">
                        <c:v>12.633333333333333</c:v>
                      </c:pt>
                      <c:pt idx="77">
                        <c:v>12.8</c:v>
                      </c:pt>
                      <c:pt idx="78">
                        <c:v>12.966666666666665</c:v>
                      </c:pt>
                      <c:pt idx="79">
                        <c:v>13.133333333333333</c:v>
                      </c:pt>
                      <c:pt idx="80">
                        <c:v>13.3</c:v>
                      </c:pt>
                      <c:pt idx="81">
                        <c:v>13.466666666666665</c:v>
                      </c:pt>
                      <c:pt idx="82">
                        <c:v>13.633333333333333</c:v>
                      </c:pt>
                      <c:pt idx="83">
                        <c:v>13.816666666666666</c:v>
                      </c:pt>
                      <c:pt idx="84">
                        <c:v>13.983333333333334</c:v>
                      </c:pt>
                      <c:pt idx="85">
                        <c:v>14.149999999999999</c:v>
                      </c:pt>
                      <c:pt idx="86">
                        <c:v>14.316666666666666</c:v>
                      </c:pt>
                      <c:pt idx="87">
                        <c:v>14.483333333333334</c:v>
                      </c:pt>
                      <c:pt idx="88">
                        <c:v>14.649999999999999</c:v>
                      </c:pt>
                      <c:pt idx="89">
                        <c:v>14.816666666666666</c:v>
                      </c:pt>
                      <c:pt idx="90">
                        <c:v>15</c:v>
                      </c:pt>
                      <c:pt idx="91">
                        <c:v>15.166666666666668</c:v>
                      </c:pt>
                      <c:pt idx="92">
                        <c:v>15.333333333333332</c:v>
                      </c:pt>
                      <c:pt idx="93">
                        <c:v>15.5</c:v>
                      </c:pt>
                      <c:pt idx="94">
                        <c:v>15.666666666666668</c:v>
                      </c:pt>
                      <c:pt idx="95">
                        <c:v>15.850000000000001</c:v>
                      </c:pt>
                      <c:pt idx="96">
                        <c:v>16.016666666666666</c:v>
                      </c:pt>
                      <c:pt idx="97">
                        <c:v>16.183333333333334</c:v>
                      </c:pt>
                      <c:pt idx="98">
                        <c:v>16.350000000000001</c:v>
                      </c:pt>
                      <c:pt idx="99">
                        <c:v>16.516666666666666</c:v>
                      </c:pt>
                      <c:pt idx="100">
                        <c:v>16.7</c:v>
                      </c:pt>
                      <c:pt idx="101">
                        <c:v>16.866666666666667</c:v>
                      </c:pt>
                      <c:pt idx="102">
                        <c:v>17.033333333333335</c:v>
                      </c:pt>
                      <c:pt idx="103">
                        <c:v>17.2</c:v>
                      </c:pt>
                      <c:pt idx="104">
                        <c:v>17.366666666666667</c:v>
                      </c:pt>
                      <c:pt idx="105">
                        <c:v>17.533333333333335</c:v>
                      </c:pt>
                      <c:pt idx="106">
                        <c:v>17.716666666666665</c:v>
                      </c:pt>
                      <c:pt idx="107">
                        <c:v>17.883333333333333</c:v>
                      </c:pt>
                      <c:pt idx="108">
                        <c:v>18.05</c:v>
                      </c:pt>
                      <c:pt idx="109">
                        <c:v>18.216666666666665</c:v>
                      </c:pt>
                      <c:pt idx="110">
                        <c:v>18.399999999999999</c:v>
                      </c:pt>
                      <c:pt idx="111">
                        <c:v>18.566666666666666</c:v>
                      </c:pt>
                      <c:pt idx="112">
                        <c:v>18.733333333333334</c:v>
                      </c:pt>
                      <c:pt idx="113">
                        <c:v>18.899999999999999</c:v>
                      </c:pt>
                      <c:pt idx="114">
                        <c:v>19.066666666666666</c:v>
                      </c:pt>
                      <c:pt idx="115">
                        <c:v>19.25</c:v>
                      </c:pt>
                      <c:pt idx="116">
                        <c:v>19.433333333333334</c:v>
                      </c:pt>
                      <c:pt idx="117">
                        <c:v>19.600000000000001</c:v>
                      </c:pt>
                      <c:pt idx="118">
                        <c:v>19.766666666666666</c:v>
                      </c:pt>
                      <c:pt idx="119">
                        <c:v>19.933333333333334</c:v>
                      </c:pt>
                      <c:pt idx="120">
                        <c:v>20.100000000000001</c:v>
                      </c:pt>
                      <c:pt idx="121">
                        <c:v>20.283333333333335</c:v>
                      </c:pt>
                      <c:pt idx="122">
                        <c:v>20.45</c:v>
                      </c:pt>
                      <c:pt idx="123">
                        <c:v>20.616666666666667</c:v>
                      </c:pt>
                      <c:pt idx="124">
                        <c:v>20.816666666666666</c:v>
                      </c:pt>
                      <c:pt idx="125">
                        <c:v>20.983333333333334</c:v>
                      </c:pt>
                      <c:pt idx="126">
                        <c:v>21.15</c:v>
                      </c:pt>
                      <c:pt idx="127">
                        <c:v>21.316666666666666</c:v>
                      </c:pt>
                      <c:pt idx="128">
                        <c:v>21.5</c:v>
                      </c:pt>
                      <c:pt idx="129">
                        <c:v>21.666666666666668</c:v>
                      </c:pt>
                      <c:pt idx="130">
                        <c:v>21.833333333333332</c:v>
                      </c:pt>
                      <c:pt idx="131">
                        <c:v>22.016666666666666</c:v>
                      </c:pt>
                      <c:pt idx="132">
                        <c:v>22.183333333333334</c:v>
                      </c:pt>
                      <c:pt idx="133">
                        <c:v>22.35</c:v>
                      </c:pt>
                      <c:pt idx="134">
                        <c:v>22.516666666666666</c:v>
                      </c:pt>
                      <c:pt idx="135">
                        <c:v>22.683333333333334</c:v>
                      </c:pt>
                      <c:pt idx="136">
                        <c:v>22.866666666666667</c:v>
                      </c:pt>
                      <c:pt idx="137">
                        <c:v>23.033333333333335</c:v>
                      </c:pt>
                      <c:pt idx="138">
                        <c:v>23.216666666666665</c:v>
                      </c:pt>
                      <c:pt idx="139">
                        <c:v>23.383333333333333</c:v>
                      </c:pt>
                      <c:pt idx="140">
                        <c:v>23.55</c:v>
                      </c:pt>
                      <c:pt idx="141">
                        <c:v>23.716666666666665</c:v>
                      </c:pt>
                      <c:pt idx="142">
                        <c:v>23.883333333333333</c:v>
                      </c:pt>
                      <c:pt idx="143">
                        <c:v>24.066666666666666</c:v>
                      </c:pt>
                      <c:pt idx="144">
                        <c:v>24.233333333333334</c:v>
                      </c:pt>
                      <c:pt idx="145">
                        <c:v>24.4</c:v>
                      </c:pt>
                      <c:pt idx="146">
                        <c:v>24.583333333333332</c:v>
                      </c:pt>
                      <c:pt idx="147">
                        <c:v>24.75</c:v>
                      </c:pt>
                      <c:pt idx="148">
                        <c:v>24.916666666666668</c:v>
                      </c:pt>
                      <c:pt idx="149">
                        <c:v>25.083333333333336</c:v>
                      </c:pt>
                      <c:pt idx="150">
                        <c:v>25.266666666666666</c:v>
                      </c:pt>
                      <c:pt idx="151">
                        <c:v>25.450000000000003</c:v>
                      </c:pt>
                      <c:pt idx="152">
                        <c:v>25.633333333333333</c:v>
                      </c:pt>
                      <c:pt idx="153">
                        <c:v>25.799999999999997</c:v>
                      </c:pt>
                      <c:pt idx="154">
                        <c:v>25.983333333333334</c:v>
                      </c:pt>
                      <c:pt idx="155">
                        <c:v>26.15</c:v>
                      </c:pt>
                      <c:pt idx="156">
                        <c:v>26.31666666666667</c:v>
                      </c:pt>
                      <c:pt idx="157">
                        <c:v>26.5</c:v>
                      </c:pt>
                      <c:pt idx="158">
                        <c:v>26.666666666666664</c:v>
                      </c:pt>
                      <c:pt idx="159">
                        <c:v>26.85</c:v>
                      </c:pt>
                      <c:pt idx="160">
                        <c:v>27.016666666666666</c:v>
                      </c:pt>
                      <c:pt idx="161">
                        <c:v>27.200000000000003</c:v>
                      </c:pt>
                      <c:pt idx="162">
                        <c:v>27.366666666666667</c:v>
                      </c:pt>
                      <c:pt idx="163">
                        <c:v>27.549999999999997</c:v>
                      </c:pt>
                      <c:pt idx="164">
                        <c:v>27.716666666666669</c:v>
                      </c:pt>
                      <c:pt idx="165">
                        <c:v>27.883333333333333</c:v>
                      </c:pt>
                      <c:pt idx="166">
                        <c:v>28.06666666666667</c:v>
                      </c:pt>
                      <c:pt idx="167">
                        <c:v>28.25</c:v>
                      </c:pt>
                      <c:pt idx="168">
                        <c:v>28.416666666666664</c:v>
                      </c:pt>
                      <c:pt idx="169">
                        <c:v>28.583333333333336</c:v>
                      </c:pt>
                      <c:pt idx="170">
                        <c:v>28.75</c:v>
                      </c:pt>
                      <c:pt idx="171">
                        <c:v>28.93333333333333</c:v>
                      </c:pt>
                      <c:pt idx="172">
                        <c:v>29.1</c:v>
                      </c:pt>
                      <c:pt idx="173">
                        <c:v>29.266666666666666</c:v>
                      </c:pt>
                      <c:pt idx="174">
                        <c:v>29.43333333333333</c:v>
                      </c:pt>
                      <c:pt idx="175">
                        <c:v>29.6</c:v>
                      </c:pt>
                      <c:pt idx="176">
                        <c:v>29.783333333333331</c:v>
                      </c:pt>
                      <c:pt idx="177">
                        <c:v>29.950000000000003</c:v>
                      </c:pt>
                      <c:pt idx="178">
                        <c:v>30.116666666666667</c:v>
                      </c:pt>
                      <c:pt idx="179">
                        <c:v>30.283333333333331</c:v>
                      </c:pt>
                      <c:pt idx="180">
                        <c:v>30.450000000000003</c:v>
                      </c:pt>
                      <c:pt idx="181">
                        <c:v>30.633333333333333</c:v>
                      </c:pt>
                      <c:pt idx="182">
                        <c:v>30.799999999999997</c:v>
                      </c:pt>
                      <c:pt idx="183">
                        <c:v>30.966666666666669</c:v>
                      </c:pt>
                      <c:pt idx="184">
                        <c:v>31.15</c:v>
                      </c:pt>
                      <c:pt idx="185">
                        <c:v>31.31666666666667</c:v>
                      </c:pt>
                      <c:pt idx="186">
                        <c:v>31.483333333333334</c:v>
                      </c:pt>
                      <c:pt idx="187">
                        <c:v>31.666666666666664</c:v>
                      </c:pt>
                      <c:pt idx="188">
                        <c:v>31.833333333333336</c:v>
                      </c:pt>
                      <c:pt idx="189">
                        <c:v>32</c:v>
                      </c:pt>
                      <c:pt idx="190">
                        <c:v>32.18333333333333</c:v>
                      </c:pt>
                      <c:pt idx="191">
                        <c:v>32.35</c:v>
                      </c:pt>
                      <c:pt idx="192">
                        <c:v>32.516666666666666</c:v>
                      </c:pt>
                      <c:pt idx="193">
                        <c:v>32.68333333333333</c:v>
                      </c:pt>
                      <c:pt idx="194">
                        <c:v>32.866666666666667</c:v>
                      </c:pt>
                      <c:pt idx="195">
                        <c:v>33.033333333333331</c:v>
                      </c:pt>
                      <c:pt idx="196">
                        <c:v>33.200000000000003</c:v>
                      </c:pt>
                      <c:pt idx="197">
                        <c:v>33.366666666666667</c:v>
                      </c:pt>
                      <c:pt idx="198">
                        <c:v>33.549999999999997</c:v>
                      </c:pt>
                      <c:pt idx="199">
                        <c:v>33.716666666666669</c:v>
                      </c:pt>
                      <c:pt idx="200">
                        <c:v>33.883333333333333</c:v>
                      </c:pt>
                      <c:pt idx="201">
                        <c:v>34.06666666666667</c:v>
                      </c:pt>
                      <c:pt idx="202">
                        <c:v>34.233333333333334</c:v>
                      </c:pt>
                      <c:pt idx="203">
                        <c:v>34.4</c:v>
                      </c:pt>
                      <c:pt idx="204">
                        <c:v>34.56666666666667</c:v>
                      </c:pt>
                      <c:pt idx="205">
                        <c:v>34.733333333333334</c:v>
                      </c:pt>
                      <c:pt idx="206">
                        <c:v>34.916666666666664</c:v>
                      </c:pt>
                      <c:pt idx="207">
                        <c:v>35.083333333333336</c:v>
                      </c:pt>
                      <c:pt idx="208">
                        <c:v>35.25</c:v>
                      </c:pt>
                      <c:pt idx="209">
                        <c:v>35.416666666666664</c:v>
                      </c:pt>
                      <c:pt idx="210">
                        <c:v>35.583333333333336</c:v>
                      </c:pt>
                      <c:pt idx="211">
                        <c:v>35.75</c:v>
                      </c:pt>
                      <c:pt idx="212">
                        <c:v>35.93333333333333</c:v>
                      </c:pt>
                      <c:pt idx="213">
                        <c:v>36.1</c:v>
                      </c:pt>
                      <c:pt idx="214">
                        <c:v>36.266666666666666</c:v>
                      </c:pt>
                      <c:pt idx="215">
                        <c:v>36.43333333333333</c:v>
                      </c:pt>
                      <c:pt idx="216">
                        <c:v>36.6</c:v>
                      </c:pt>
                      <c:pt idx="217">
                        <c:v>36.766666666666666</c:v>
                      </c:pt>
                      <c:pt idx="218">
                        <c:v>36.950000000000003</c:v>
                      </c:pt>
                      <c:pt idx="219">
                        <c:v>37.116666666666667</c:v>
                      </c:pt>
                      <c:pt idx="220">
                        <c:v>37.299999999999997</c:v>
                      </c:pt>
                      <c:pt idx="221">
                        <c:v>37.466666666666669</c:v>
                      </c:pt>
                      <c:pt idx="222">
                        <c:v>37.633333333333333</c:v>
                      </c:pt>
                      <c:pt idx="223">
                        <c:v>37.799999999999997</c:v>
                      </c:pt>
                      <c:pt idx="224">
                        <c:v>37.966666666666669</c:v>
                      </c:pt>
                      <c:pt idx="225">
                        <c:v>38.15</c:v>
                      </c:pt>
                      <c:pt idx="226">
                        <c:v>38.31666666666667</c:v>
                      </c:pt>
                      <c:pt idx="227">
                        <c:v>38.483333333333334</c:v>
                      </c:pt>
                      <c:pt idx="228">
                        <c:v>38.65</c:v>
                      </c:pt>
                      <c:pt idx="229">
                        <c:v>38.81666666666667</c:v>
                      </c:pt>
                      <c:pt idx="230">
                        <c:v>39</c:v>
                      </c:pt>
                      <c:pt idx="231">
                        <c:v>39.166666666666664</c:v>
                      </c:pt>
                      <c:pt idx="232">
                        <c:v>39.333333333333336</c:v>
                      </c:pt>
                      <c:pt idx="233">
                        <c:v>39.5</c:v>
                      </c:pt>
                      <c:pt idx="234">
                        <c:v>39.68333333333333</c:v>
                      </c:pt>
                      <c:pt idx="235">
                        <c:v>39.85</c:v>
                      </c:pt>
                      <c:pt idx="236">
                        <c:v>40.016666666666666</c:v>
                      </c:pt>
                      <c:pt idx="237">
                        <c:v>40.18333333333333</c:v>
                      </c:pt>
                      <c:pt idx="238">
                        <c:v>40.366666666666667</c:v>
                      </c:pt>
                      <c:pt idx="239">
                        <c:v>40.533333333333331</c:v>
                      </c:pt>
                      <c:pt idx="240">
                        <c:v>40.700000000000003</c:v>
                      </c:pt>
                      <c:pt idx="241">
                        <c:v>40.883333333333333</c:v>
                      </c:pt>
                      <c:pt idx="242">
                        <c:v>41.05</c:v>
                      </c:pt>
                      <c:pt idx="243">
                        <c:v>41.233333333333334</c:v>
                      </c:pt>
                      <c:pt idx="244">
                        <c:v>41.4</c:v>
                      </c:pt>
                      <c:pt idx="245">
                        <c:v>41.56666666666667</c:v>
                      </c:pt>
                      <c:pt idx="246">
                        <c:v>41.733333333333334</c:v>
                      </c:pt>
                      <c:pt idx="247">
                        <c:v>41.9</c:v>
                      </c:pt>
                      <c:pt idx="248">
                        <c:v>42.06666666666667</c:v>
                      </c:pt>
                      <c:pt idx="249">
                        <c:v>42.25</c:v>
                      </c:pt>
                      <c:pt idx="250">
                        <c:v>42.416666666666664</c:v>
                      </c:pt>
                      <c:pt idx="251">
                        <c:v>42.583333333333336</c:v>
                      </c:pt>
                      <c:pt idx="252">
                        <c:v>42.766666666666666</c:v>
                      </c:pt>
                      <c:pt idx="253">
                        <c:v>42.93333333333333</c:v>
                      </c:pt>
                      <c:pt idx="254">
                        <c:v>43.1</c:v>
                      </c:pt>
                      <c:pt idx="255">
                        <c:v>43.266666666666666</c:v>
                      </c:pt>
                      <c:pt idx="256">
                        <c:v>43.43333333333333</c:v>
                      </c:pt>
                      <c:pt idx="257">
                        <c:v>43.6</c:v>
                      </c:pt>
                      <c:pt idx="258">
                        <c:v>43.766666666666666</c:v>
                      </c:pt>
                      <c:pt idx="259">
                        <c:v>43.93333333333333</c:v>
                      </c:pt>
                      <c:pt idx="260">
                        <c:v>44.116666666666667</c:v>
                      </c:pt>
                      <c:pt idx="261">
                        <c:v>44.283333333333331</c:v>
                      </c:pt>
                      <c:pt idx="262">
                        <c:v>44.45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1F1-4EC5-A42A-CC83BCBF68E2}"/>
                  </c:ext>
                </c:extLst>
              </c15:ser>
            </c15:filteredLineSeries>
          </c:ext>
        </c:extLst>
      </c:lineChart>
      <c:catAx>
        <c:axId val="105979167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wordArtVert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05981567"/>
        <c:crosses val="autoZero"/>
        <c:auto val="0"/>
        <c:lblAlgn val="ctr"/>
        <c:lblOffset val="100"/>
        <c:noMultiLvlLbl val="0"/>
      </c:catAx>
      <c:valAx>
        <c:axId val="105981567"/>
        <c:scaling>
          <c:orientation val="minMax"/>
          <c:min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05979167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'0530'!$B$2:$B$157</c:f>
              <c:numCache>
                <c:formatCode>0</c:formatCode>
                <c:ptCount val="156"/>
                <c:pt idx="0">
                  <c:v>-0.31666666666666998</c:v>
                </c:pt>
                <c:pt idx="1">
                  <c:v>-0.14999999999999858</c:v>
                </c:pt>
                <c:pt idx="2">
                  <c:v>1.6666666666665719E-2</c:v>
                </c:pt>
                <c:pt idx="3">
                  <c:v>0.18333333333333002</c:v>
                </c:pt>
                <c:pt idx="4">
                  <c:v>0.35000000000000142</c:v>
                </c:pt>
                <c:pt idx="5">
                  <c:v>0.51666666666666572</c:v>
                </c:pt>
                <c:pt idx="6">
                  <c:v>0.68333333333333002</c:v>
                </c:pt>
                <c:pt idx="7">
                  <c:v>0.86666666666666714</c:v>
                </c:pt>
                <c:pt idx="8">
                  <c:v>1.0333333333333314</c:v>
                </c:pt>
                <c:pt idx="9">
                  <c:v>1.2000000000000028</c:v>
                </c:pt>
                <c:pt idx="10">
                  <c:v>1.3666666666666671</c:v>
                </c:pt>
                <c:pt idx="11">
                  <c:v>1.5333333333333314</c:v>
                </c:pt>
                <c:pt idx="12">
                  <c:v>1.7000000000000028</c:v>
                </c:pt>
                <c:pt idx="13">
                  <c:v>1.8666666666666671</c:v>
                </c:pt>
                <c:pt idx="14">
                  <c:v>2.0333333333333314</c:v>
                </c:pt>
                <c:pt idx="15">
                  <c:v>2.2000000000000028</c:v>
                </c:pt>
                <c:pt idx="16">
                  <c:v>2.3666666666666671</c:v>
                </c:pt>
                <c:pt idx="17">
                  <c:v>2.5333333333333314</c:v>
                </c:pt>
                <c:pt idx="18">
                  <c:v>2.7000000000000028</c:v>
                </c:pt>
                <c:pt idx="19">
                  <c:v>2.8666666666666671</c:v>
                </c:pt>
                <c:pt idx="20">
                  <c:v>3.0333333333333314</c:v>
                </c:pt>
                <c:pt idx="21">
                  <c:v>3.2000000000000028</c:v>
                </c:pt>
                <c:pt idx="22">
                  <c:v>3.3666666666666671</c:v>
                </c:pt>
                <c:pt idx="23">
                  <c:v>3.5333333333333314</c:v>
                </c:pt>
                <c:pt idx="24">
                  <c:v>3.7000000000000028</c:v>
                </c:pt>
                <c:pt idx="25">
                  <c:v>3.8666666666666671</c:v>
                </c:pt>
                <c:pt idx="26">
                  <c:v>4.0333333333333314</c:v>
                </c:pt>
                <c:pt idx="27">
                  <c:v>4.2000000000000028</c:v>
                </c:pt>
                <c:pt idx="28">
                  <c:v>4.3666666666666671</c:v>
                </c:pt>
                <c:pt idx="29">
                  <c:v>4.5333333333333314</c:v>
                </c:pt>
                <c:pt idx="30">
                  <c:v>4.7000000000000028</c:v>
                </c:pt>
                <c:pt idx="31">
                  <c:v>4.8666666666666671</c:v>
                </c:pt>
                <c:pt idx="32">
                  <c:v>5.0333333333333314</c:v>
                </c:pt>
                <c:pt idx="33">
                  <c:v>5.2000000000000028</c:v>
                </c:pt>
                <c:pt idx="34">
                  <c:v>5.3666666666666671</c:v>
                </c:pt>
                <c:pt idx="35">
                  <c:v>5.5333333333333314</c:v>
                </c:pt>
                <c:pt idx="36">
                  <c:v>5.7000000000000028</c:v>
                </c:pt>
                <c:pt idx="37">
                  <c:v>5.8666666666666671</c:v>
                </c:pt>
                <c:pt idx="38">
                  <c:v>6.0333333333333314</c:v>
                </c:pt>
                <c:pt idx="39">
                  <c:v>6.2000000000000028</c:v>
                </c:pt>
                <c:pt idx="40">
                  <c:v>6.3666666666666671</c:v>
                </c:pt>
                <c:pt idx="41">
                  <c:v>6.5333333333333314</c:v>
                </c:pt>
                <c:pt idx="42">
                  <c:v>6.7000000000000028</c:v>
                </c:pt>
                <c:pt idx="43">
                  <c:v>6.8666666666666671</c:v>
                </c:pt>
                <c:pt idx="44">
                  <c:v>7.0333333333333314</c:v>
                </c:pt>
                <c:pt idx="45">
                  <c:v>7.2000000000000028</c:v>
                </c:pt>
                <c:pt idx="46">
                  <c:v>7.3666666666666671</c:v>
                </c:pt>
                <c:pt idx="47">
                  <c:v>7.5333333333333314</c:v>
                </c:pt>
                <c:pt idx="48">
                  <c:v>7.7000000000000028</c:v>
                </c:pt>
                <c:pt idx="49">
                  <c:v>7.8666666666666671</c:v>
                </c:pt>
                <c:pt idx="50">
                  <c:v>8.0333333333333314</c:v>
                </c:pt>
                <c:pt idx="51">
                  <c:v>8.2000000000000028</c:v>
                </c:pt>
                <c:pt idx="52">
                  <c:v>8.3666666666666671</c:v>
                </c:pt>
                <c:pt idx="53">
                  <c:v>8.5499999999999972</c:v>
                </c:pt>
                <c:pt idx="54">
                  <c:v>8.7166666666666686</c:v>
                </c:pt>
                <c:pt idx="55">
                  <c:v>8.8833333333333329</c:v>
                </c:pt>
                <c:pt idx="56">
                  <c:v>9.0499999999999972</c:v>
                </c:pt>
                <c:pt idx="57">
                  <c:v>9.2166666666666686</c:v>
                </c:pt>
                <c:pt idx="58">
                  <c:v>9.3833333333333329</c:v>
                </c:pt>
                <c:pt idx="59">
                  <c:v>9.5499999999999972</c:v>
                </c:pt>
                <c:pt idx="60">
                  <c:v>9.7166666666666686</c:v>
                </c:pt>
                <c:pt idx="61">
                  <c:v>9.8833333333333329</c:v>
                </c:pt>
                <c:pt idx="62">
                  <c:v>10.049999999999997</c:v>
                </c:pt>
                <c:pt idx="63">
                  <c:v>10.216666666666669</c:v>
                </c:pt>
                <c:pt idx="64">
                  <c:v>10.383333333333333</c:v>
                </c:pt>
                <c:pt idx="65">
                  <c:v>10.549999999999997</c:v>
                </c:pt>
                <c:pt idx="66">
                  <c:v>10.716666666666669</c:v>
                </c:pt>
                <c:pt idx="67">
                  <c:v>10.883333333333333</c:v>
                </c:pt>
                <c:pt idx="68">
                  <c:v>11.049999999999997</c:v>
                </c:pt>
                <c:pt idx="69">
                  <c:v>11.216666666666669</c:v>
                </c:pt>
                <c:pt idx="70">
                  <c:v>11.383333333333333</c:v>
                </c:pt>
                <c:pt idx="71">
                  <c:v>11.549999999999997</c:v>
                </c:pt>
                <c:pt idx="72">
                  <c:v>11.716666666666669</c:v>
                </c:pt>
                <c:pt idx="73">
                  <c:v>11.883333333333333</c:v>
                </c:pt>
                <c:pt idx="74">
                  <c:v>12.049999999999997</c:v>
                </c:pt>
                <c:pt idx="75">
                  <c:v>12.216666666666669</c:v>
                </c:pt>
                <c:pt idx="76">
                  <c:v>12.383333333333333</c:v>
                </c:pt>
                <c:pt idx="77">
                  <c:v>12.549999999999997</c:v>
                </c:pt>
                <c:pt idx="78">
                  <c:v>12.716666666666669</c:v>
                </c:pt>
                <c:pt idx="79">
                  <c:v>12.883333333333333</c:v>
                </c:pt>
                <c:pt idx="80">
                  <c:v>13.049999999999997</c:v>
                </c:pt>
                <c:pt idx="81">
                  <c:v>13.216666666666669</c:v>
                </c:pt>
                <c:pt idx="82">
                  <c:v>13.383333333333333</c:v>
                </c:pt>
                <c:pt idx="83">
                  <c:v>13.549999999999997</c:v>
                </c:pt>
                <c:pt idx="84">
                  <c:v>13.716666666666669</c:v>
                </c:pt>
                <c:pt idx="85">
                  <c:v>13.883333333333333</c:v>
                </c:pt>
                <c:pt idx="86">
                  <c:v>14.049999999999997</c:v>
                </c:pt>
                <c:pt idx="87">
                  <c:v>14.216666666666669</c:v>
                </c:pt>
                <c:pt idx="88">
                  <c:v>14.383333333333333</c:v>
                </c:pt>
                <c:pt idx="89">
                  <c:v>14.549999999999997</c:v>
                </c:pt>
                <c:pt idx="90">
                  <c:v>14.716666666666669</c:v>
                </c:pt>
                <c:pt idx="91">
                  <c:v>14.883333333333333</c:v>
                </c:pt>
                <c:pt idx="92">
                  <c:v>15.049999999999997</c:v>
                </c:pt>
                <c:pt idx="93">
                  <c:v>15.216666666666669</c:v>
                </c:pt>
                <c:pt idx="94">
                  <c:v>15.383333333333333</c:v>
                </c:pt>
                <c:pt idx="95">
                  <c:v>15.549999999999997</c:v>
                </c:pt>
                <c:pt idx="96">
                  <c:v>15.716666666666669</c:v>
                </c:pt>
                <c:pt idx="97">
                  <c:v>15.883333333333333</c:v>
                </c:pt>
                <c:pt idx="98">
                  <c:v>16.049999999999997</c:v>
                </c:pt>
                <c:pt idx="99">
                  <c:v>16.216666666666669</c:v>
                </c:pt>
                <c:pt idx="100">
                  <c:v>16.383333333333333</c:v>
                </c:pt>
                <c:pt idx="101">
                  <c:v>16.56666666666667</c:v>
                </c:pt>
                <c:pt idx="102">
                  <c:v>16.733333333333334</c:v>
                </c:pt>
                <c:pt idx="103">
                  <c:v>16.899999999999999</c:v>
                </c:pt>
                <c:pt idx="104">
                  <c:v>17.06666666666667</c:v>
                </c:pt>
                <c:pt idx="105">
                  <c:v>17.233333333333334</c:v>
                </c:pt>
                <c:pt idx="106">
                  <c:v>17.399999999999999</c:v>
                </c:pt>
                <c:pt idx="107">
                  <c:v>17.56666666666667</c:v>
                </c:pt>
                <c:pt idx="108">
                  <c:v>17.733333333333334</c:v>
                </c:pt>
                <c:pt idx="109">
                  <c:v>17.899999999999999</c:v>
                </c:pt>
                <c:pt idx="110">
                  <c:v>18.06666666666667</c:v>
                </c:pt>
                <c:pt idx="111">
                  <c:v>18.233333333333334</c:v>
                </c:pt>
                <c:pt idx="112">
                  <c:v>18.399999999999999</c:v>
                </c:pt>
                <c:pt idx="113">
                  <c:v>18.56666666666667</c:v>
                </c:pt>
                <c:pt idx="114">
                  <c:v>18.733333333333334</c:v>
                </c:pt>
                <c:pt idx="115">
                  <c:v>18.899999999999999</c:v>
                </c:pt>
                <c:pt idx="116">
                  <c:v>19.06666666666667</c:v>
                </c:pt>
                <c:pt idx="117">
                  <c:v>19.233333333333334</c:v>
                </c:pt>
                <c:pt idx="118">
                  <c:v>19.399999999999999</c:v>
                </c:pt>
                <c:pt idx="119">
                  <c:v>19.56666666666667</c:v>
                </c:pt>
                <c:pt idx="120">
                  <c:v>19.733333333333334</c:v>
                </c:pt>
                <c:pt idx="121">
                  <c:v>19.899999999999999</c:v>
                </c:pt>
                <c:pt idx="122">
                  <c:v>20.06666666666667</c:v>
                </c:pt>
                <c:pt idx="123">
                  <c:v>20.233333333333334</c:v>
                </c:pt>
                <c:pt idx="124">
                  <c:v>20.399999999999999</c:v>
                </c:pt>
                <c:pt idx="125">
                  <c:v>20.56666666666667</c:v>
                </c:pt>
                <c:pt idx="126">
                  <c:v>20.733333333333334</c:v>
                </c:pt>
                <c:pt idx="127">
                  <c:v>20.9</c:v>
                </c:pt>
                <c:pt idx="128">
                  <c:v>21.066666666666663</c:v>
                </c:pt>
                <c:pt idx="129">
                  <c:v>21.233333333333334</c:v>
                </c:pt>
                <c:pt idx="130">
                  <c:v>21.400000000000006</c:v>
                </c:pt>
                <c:pt idx="131">
                  <c:v>21.566666666666663</c:v>
                </c:pt>
                <c:pt idx="132">
                  <c:v>21.733333333333334</c:v>
                </c:pt>
                <c:pt idx="133">
                  <c:v>21.900000000000006</c:v>
                </c:pt>
                <c:pt idx="134">
                  <c:v>22.066666666666663</c:v>
                </c:pt>
                <c:pt idx="135">
                  <c:v>22.233333333333334</c:v>
                </c:pt>
                <c:pt idx="136">
                  <c:v>22.416666666666671</c:v>
                </c:pt>
                <c:pt idx="137">
                  <c:v>22.583333333333329</c:v>
                </c:pt>
                <c:pt idx="138">
                  <c:v>22.75</c:v>
                </c:pt>
                <c:pt idx="139">
                  <c:v>22.916666666666671</c:v>
                </c:pt>
                <c:pt idx="140">
                  <c:v>23.083333333333329</c:v>
                </c:pt>
                <c:pt idx="141">
                  <c:v>23.25</c:v>
                </c:pt>
                <c:pt idx="142">
                  <c:v>23.416666666666671</c:v>
                </c:pt>
                <c:pt idx="143">
                  <c:v>23.583333333333329</c:v>
                </c:pt>
                <c:pt idx="144">
                  <c:v>23.75</c:v>
                </c:pt>
                <c:pt idx="145">
                  <c:v>23.916666666666671</c:v>
                </c:pt>
                <c:pt idx="146">
                  <c:v>24.083333333333329</c:v>
                </c:pt>
                <c:pt idx="147">
                  <c:v>24.25</c:v>
                </c:pt>
                <c:pt idx="148">
                  <c:v>24.416666666666671</c:v>
                </c:pt>
                <c:pt idx="149">
                  <c:v>24.583333333333329</c:v>
                </c:pt>
                <c:pt idx="150">
                  <c:v>24.75</c:v>
                </c:pt>
                <c:pt idx="151">
                  <c:v>24.916666666666671</c:v>
                </c:pt>
                <c:pt idx="152">
                  <c:v>25.083333333333329</c:v>
                </c:pt>
                <c:pt idx="153">
                  <c:v>25.25</c:v>
                </c:pt>
                <c:pt idx="154">
                  <c:v>25.416666666666671</c:v>
                </c:pt>
                <c:pt idx="155">
                  <c:v>25.583333333333329</c:v>
                </c:pt>
              </c:numCache>
            </c:numRef>
          </c:cat>
          <c:val>
            <c:numRef>
              <c:f>'0530'!$C$2:$C$157</c:f>
              <c:numCache>
                <c:formatCode>General</c:formatCode>
                <c:ptCount val="156"/>
                <c:pt idx="0">
                  <c:v>24.1</c:v>
                </c:pt>
                <c:pt idx="1">
                  <c:v>24.88</c:v>
                </c:pt>
                <c:pt idx="2">
                  <c:v>27.2</c:v>
                </c:pt>
                <c:pt idx="3">
                  <c:v>28.73</c:v>
                </c:pt>
                <c:pt idx="4">
                  <c:v>30.44</c:v>
                </c:pt>
                <c:pt idx="5">
                  <c:v>31.65</c:v>
                </c:pt>
                <c:pt idx="6">
                  <c:v>33.44</c:v>
                </c:pt>
                <c:pt idx="7">
                  <c:v>34.18</c:v>
                </c:pt>
                <c:pt idx="8">
                  <c:v>34.82</c:v>
                </c:pt>
                <c:pt idx="9">
                  <c:v>34.11</c:v>
                </c:pt>
                <c:pt idx="10">
                  <c:v>33.32</c:v>
                </c:pt>
                <c:pt idx="11">
                  <c:v>33.53</c:v>
                </c:pt>
                <c:pt idx="12">
                  <c:v>34.25</c:v>
                </c:pt>
                <c:pt idx="13">
                  <c:v>34.28</c:v>
                </c:pt>
                <c:pt idx="14">
                  <c:v>35.14</c:v>
                </c:pt>
                <c:pt idx="15">
                  <c:v>35.549999999999997</c:v>
                </c:pt>
                <c:pt idx="16">
                  <c:v>36.9</c:v>
                </c:pt>
                <c:pt idx="17">
                  <c:v>38.130000000000003</c:v>
                </c:pt>
                <c:pt idx="18">
                  <c:v>37.72</c:v>
                </c:pt>
                <c:pt idx="19">
                  <c:v>37.83</c:v>
                </c:pt>
                <c:pt idx="20">
                  <c:v>37.090000000000003</c:v>
                </c:pt>
                <c:pt idx="21">
                  <c:v>37.979999999999997</c:v>
                </c:pt>
                <c:pt idx="22">
                  <c:v>38.229999999999997</c:v>
                </c:pt>
                <c:pt idx="23">
                  <c:v>40.090000000000003</c:v>
                </c:pt>
                <c:pt idx="24">
                  <c:v>40.19</c:v>
                </c:pt>
                <c:pt idx="25">
                  <c:v>40.24</c:v>
                </c:pt>
                <c:pt idx="26">
                  <c:v>42.65</c:v>
                </c:pt>
                <c:pt idx="27">
                  <c:v>43.54</c:v>
                </c:pt>
                <c:pt idx="28">
                  <c:v>42.8</c:v>
                </c:pt>
                <c:pt idx="29">
                  <c:v>42.88</c:v>
                </c:pt>
                <c:pt idx="30">
                  <c:v>43.81</c:v>
                </c:pt>
                <c:pt idx="31">
                  <c:v>43.52</c:v>
                </c:pt>
                <c:pt idx="32">
                  <c:v>43.7</c:v>
                </c:pt>
                <c:pt idx="33">
                  <c:v>43.21</c:v>
                </c:pt>
                <c:pt idx="34">
                  <c:v>41.56</c:v>
                </c:pt>
                <c:pt idx="35">
                  <c:v>40.15</c:v>
                </c:pt>
                <c:pt idx="36">
                  <c:v>40.65</c:v>
                </c:pt>
                <c:pt idx="37">
                  <c:v>41.81</c:v>
                </c:pt>
                <c:pt idx="38">
                  <c:v>42.1</c:v>
                </c:pt>
                <c:pt idx="39">
                  <c:v>42.44</c:v>
                </c:pt>
                <c:pt idx="40">
                  <c:v>43.65</c:v>
                </c:pt>
                <c:pt idx="41">
                  <c:v>43.75</c:v>
                </c:pt>
                <c:pt idx="42">
                  <c:v>45.61</c:v>
                </c:pt>
                <c:pt idx="43">
                  <c:v>44.45</c:v>
                </c:pt>
                <c:pt idx="44">
                  <c:v>45.35</c:v>
                </c:pt>
                <c:pt idx="45">
                  <c:v>46.34</c:v>
                </c:pt>
                <c:pt idx="46">
                  <c:v>46.93</c:v>
                </c:pt>
                <c:pt idx="47">
                  <c:v>47.7</c:v>
                </c:pt>
                <c:pt idx="48">
                  <c:v>47.4</c:v>
                </c:pt>
                <c:pt idx="49">
                  <c:v>46.9</c:v>
                </c:pt>
                <c:pt idx="50">
                  <c:v>46.63</c:v>
                </c:pt>
                <c:pt idx="51">
                  <c:v>46.95</c:v>
                </c:pt>
                <c:pt idx="52">
                  <c:v>47.37</c:v>
                </c:pt>
                <c:pt idx="53">
                  <c:v>47.06</c:v>
                </c:pt>
                <c:pt idx="54">
                  <c:v>47.31</c:v>
                </c:pt>
                <c:pt idx="55">
                  <c:v>48.11</c:v>
                </c:pt>
                <c:pt idx="56">
                  <c:v>47.25</c:v>
                </c:pt>
                <c:pt idx="57">
                  <c:v>47.39</c:v>
                </c:pt>
                <c:pt idx="58">
                  <c:v>48.61</c:v>
                </c:pt>
                <c:pt idx="59">
                  <c:v>50.73</c:v>
                </c:pt>
                <c:pt idx="60">
                  <c:v>50.87</c:v>
                </c:pt>
                <c:pt idx="61">
                  <c:v>49.26</c:v>
                </c:pt>
                <c:pt idx="62">
                  <c:v>47.2</c:v>
                </c:pt>
                <c:pt idx="63">
                  <c:v>48.25</c:v>
                </c:pt>
                <c:pt idx="64">
                  <c:v>49.36</c:v>
                </c:pt>
                <c:pt idx="65">
                  <c:v>48.79</c:v>
                </c:pt>
                <c:pt idx="66">
                  <c:v>51</c:v>
                </c:pt>
                <c:pt idx="67">
                  <c:v>49.74</c:v>
                </c:pt>
                <c:pt idx="68">
                  <c:v>51.77</c:v>
                </c:pt>
                <c:pt idx="69">
                  <c:v>51.16</c:v>
                </c:pt>
                <c:pt idx="70">
                  <c:v>51.31</c:v>
                </c:pt>
                <c:pt idx="71">
                  <c:v>52.18</c:v>
                </c:pt>
                <c:pt idx="72">
                  <c:v>51.07</c:v>
                </c:pt>
                <c:pt idx="73">
                  <c:v>50.11</c:v>
                </c:pt>
                <c:pt idx="74">
                  <c:v>48.89</c:v>
                </c:pt>
                <c:pt idx="75">
                  <c:v>50.03</c:v>
                </c:pt>
                <c:pt idx="76">
                  <c:v>49.85</c:v>
                </c:pt>
                <c:pt idx="77">
                  <c:v>50.6</c:v>
                </c:pt>
                <c:pt idx="78">
                  <c:v>51.49</c:v>
                </c:pt>
                <c:pt idx="79">
                  <c:v>53.07</c:v>
                </c:pt>
                <c:pt idx="80">
                  <c:v>53.44</c:v>
                </c:pt>
                <c:pt idx="81">
                  <c:v>52.23</c:v>
                </c:pt>
                <c:pt idx="82">
                  <c:v>51.93</c:v>
                </c:pt>
                <c:pt idx="83">
                  <c:v>52.53</c:v>
                </c:pt>
                <c:pt idx="84">
                  <c:v>53.55</c:v>
                </c:pt>
                <c:pt idx="85">
                  <c:v>52.91</c:v>
                </c:pt>
                <c:pt idx="86">
                  <c:v>54.95</c:v>
                </c:pt>
                <c:pt idx="87">
                  <c:v>53.3</c:v>
                </c:pt>
                <c:pt idx="88">
                  <c:v>53.32</c:v>
                </c:pt>
                <c:pt idx="89">
                  <c:v>54.14</c:v>
                </c:pt>
                <c:pt idx="90">
                  <c:v>53.85</c:v>
                </c:pt>
                <c:pt idx="91">
                  <c:v>52.38</c:v>
                </c:pt>
                <c:pt idx="92">
                  <c:v>53.88</c:v>
                </c:pt>
                <c:pt idx="93">
                  <c:v>54.97</c:v>
                </c:pt>
                <c:pt idx="94">
                  <c:v>54.65</c:v>
                </c:pt>
                <c:pt idx="95">
                  <c:v>55.41</c:v>
                </c:pt>
                <c:pt idx="96">
                  <c:v>54.91</c:v>
                </c:pt>
                <c:pt idx="97">
                  <c:v>54.44</c:v>
                </c:pt>
                <c:pt idx="98">
                  <c:v>55.54</c:v>
                </c:pt>
                <c:pt idx="99">
                  <c:v>56.78</c:v>
                </c:pt>
                <c:pt idx="100">
                  <c:v>56.23</c:v>
                </c:pt>
                <c:pt idx="101">
                  <c:v>55.01</c:v>
                </c:pt>
                <c:pt idx="102">
                  <c:v>54.84</c:v>
                </c:pt>
                <c:pt idx="103">
                  <c:v>55.1</c:v>
                </c:pt>
                <c:pt idx="104">
                  <c:v>56.44</c:v>
                </c:pt>
                <c:pt idx="105">
                  <c:v>57.82</c:v>
                </c:pt>
                <c:pt idx="106">
                  <c:v>57.5</c:v>
                </c:pt>
                <c:pt idx="107">
                  <c:v>57.28</c:v>
                </c:pt>
                <c:pt idx="108">
                  <c:v>55.85</c:v>
                </c:pt>
                <c:pt idx="109">
                  <c:v>57.42</c:v>
                </c:pt>
                <c:pt idx="110">
                  <c:v>56.34</c:v>
                </c:pt>
                <c:pt idx="111">
                  <c:v>56.17</c:v>
                </c:pt>
                <c:pt idx="112">
                  <c:v>57.96</c:v>
                </c:pt>
                <c:pt idx="113">
                  <c:v>57.58</c:v>
                </c:pt>
                <c:pt idx="114">
                  <c:v>58.01</c:v>
                </c:pt>
                <c:pt idx="115">
                  <c:v>57.06</c:v>
                </c:pt>
                <c:pt idx="116">
                  <c:v>58.1</c:v>
                </c:pt>
                <c:pt idx="117">
                  <c:v>57.58</c:v>
                </c:pt>
                <c:pt idx="118">
                  <c:v>57.54</c:v>
                </c:pt>
                <c:pt idx="119">
                  <c:v>57.98</c:v>
                </c:pt>
                <c:pt idx="120">
                  <c:v>57.73</c:v>
                </c:pt>
                <c:pt idx="121">
                  <c:v>57.15</c:v>
                </c:pt>
                <c:pt idx="122">
                  <c:v>57.38</c:v>
                </c:pt>
                <c:pt idx="123">
                  <c:v>57.96</c:v>
                </c:pt>
                <c:pt idx="124">
                  <c:v>58.51</c:v>
                </c:pt>
                <c:pt idx="125">
                  <c:v>58.67</c:v>
                </c:pt>
                <c:pt idx="126">
                  <c:v>57.92</c:v>
                </c:pt>
                <c:pt idx="127">
                  <c:v>58.06</c:v>
                </c:pt>
                <c:pt idx="128">
                  <c:v>59.34</c:v>
                </c:pt>
                <c:pt idx="129">
                  <c:v>58.74</c:v>
                </c:pt>
                <c:pt idx="130">
                  <c:v>59.68</c:v>
                </c:pt>
                <c:pt idx="131">
                  <c:v>59.05</c:v>
                </c:pt>
                <c:pt idx="132">
                  <c:v>58.79</c:v>
                </c:pt>
                <c:pt idx="133">
                  <c:v>59.73</c:v>
                </c:pt>
                <c:pt idx="134">
                  <c:v>59.77</c:v>
                </c:pt>
                <c:pt idx="135">
                  <c:v>60.32</c:v>
                </c:pt>
                <c:pt idx="136">
                  <c:v>60.01</c:v>
                </c:pt>
                <c:pt idx="137">
                  <c:v>60.51</c:v>
                </c:pt>
                <c:pt idx="138">
                  <c:v>60.21</c:v>
                </c:pt>
                <c:pt idx="139">
                  <c:v>60.25</c:v>
                </c:pt>
                <c:pt idx="140">
                  <c:v>61.34</c:v>
                </c:pt>
                <c:pt idx="141">
                  <c:v>61.4</c:v>
                </c:pt>
                <c:pt idx="142">
                  <c:v>61.73</c:v>
                </c:pt>
                <c:pt idx="143">
                  <c:v>60.84</c:v>
                </c:pt>
                <c:pt idx="144">
                  <c:v>60.29</c:v>
                </c:pt>
                <c:pt idx="145">
                  <c:v>60.08</c:v>
                </c:pt>
                <c:pt idx="146">
                  <c:v>58.98</c:v>
                </c:pt>
                <c:pt idx="147">
                  <c:v>58.26</c:v>
                </c:pt>
                <c:pt idx="148">
                  <c:v>58.07</c:v>
                </c:pt>
                <c:pt idx="149">
                  <c:v>58.56</c:v>
                </c:pt>
                <c:pt idx="150">
                  <c:v>58.95</c:v>
                </c:pt>
                <c:pt idx="151">
                  <c:v>58.35</c:v>
                </c:pt>
                <c:pt idx="152">
                  <c:v>58.85</c:v>
                </c:pt>
                <c:pt idx="153">
                  <c:v>60.8</c:v>
                </c:pt>
                <c:pt idx="154">
                  <c:v>60.58</c:v>
                </c:pt>
                <c:pt idx="155">
                  <c:v>60.22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E8-4BBB-849B-0CD7693833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5586671"/>
        <c:axId val="1875582831"/>
      </c:lineChart>
      <c:catAx>
        <c:axId val="1875586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875582831"/>
        <c:crosses val="autoZero"/>
        <c:auto val="1"/>
        <c:lblAlgn val="ctr"/>
        <c:lblOffset val="100"/>
        <c:tickMarkSkip val="5"/>
        <c:noMultiLvlLbl val="0"/>
      </c:catAx>
      <c:valAx>
        <c:axId val="187558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875586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temp/time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'0606'!$C$1</c:f>
              <c:strCache>
                <c:ptCount val="1"/>
                <c:pt idx="0">
                  <c:v>temp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'0606'!$B$2:$B$43</c:f>
              <c:numCache>
                <c:formatCode>0</c:formatCode>
                <c:ptCount val="42"/>
                <c:pt idx="0">
                  <c:v>-0.10000000000002274</c:v>
                </c:pt>
                <c:pt idx="1">
                  <c:v>6.6666666666719721E-2</c:v>
                </c:pt>
                <c:pt idx="2">
                  <c:v>0.23333333333334849</c:v>
                </c:pt>
                <c:pt idx="3">
                  <c:v>0.39999999999997726</c:v>
                </c:pt>
                <c:pt idx="4">
                  <c:v>0.56666666666671972</c:v>
                </c:pt>
                <c:pt idx="5">
                  <c:v>0.73333333333334849</c:v>
                </c:pt>
                <c:pt idx="6">
                  <c:v>0.89999999999997726</c:v>
                </c:pt>
                <c:pt idx="7">
                  <c:v>1.0666666666667197</c:v>
                </c:pt>
                <c:pt idx="8">
                  <c:v>1.2333333333333485</c:v>
                </c:pt>
                <c:pt idx="9">
                  <c:v>1.3999999999999773</c:v>
                </c:pt>
                <c:pt idx="10">
                  <c:v>1.5666666666667197</c:v>
                </c:pt>
                <c:pt idx="11">
                  <c:v>1.7333333333333485</c:v>
                </c:pt>
                <c:pt idx="12">
                  <c:v>1.8999999999999773</c:v>
                </c:pt>
                <c:pt idx="13">
                  <c:v>2.0833333333333712</c:v>
                </c:pt>
                <c:pt idx="14">
                  <c:v>2.25</c:v>
                </c:pt>
                <c:pt idx="15">
                  <c:v>2.4166666666666288</c:v>
                </c:pt>
                <c:pt idx="16">
                  <c:v>2.5833333333333712</c:v>
                </c:pt>
                <c:pt idx="17">
                  <c:v>2.75</c:v>
                </c:pt>
                <c:pt idx="18">
                  <c:v>2.9166666666666288</c:v>
                </c:pt>
                <c:pt idx="19">
                  <c:v>3.0833333333333712</c:v>
                </c:pt>
                <c:pt idx="20">
                  <c:v>3.25</c:v>
                </c:pt>
                <c:pt idx="21">
                  <c:v>3.4166666666666288</c:v>
                </c:pt>
                <c:pt idx="22">
                  <c:v>3.5833333333333712</c:v>
                </c:pt>
                <c:pt idx="23">
                  <c:v>3.75</c:v>
                </c:pt>
                <c:pt idx="24">
                  <c:v>3.9166666666666288</c:v>
                </c:pt>
                <c:pt idx="25">
                  <c:v>4.0833333333333712</c:v>
                </c:pt>
                <c:pt idx="26">
                  <c:v>4.25</c:v>
                </c:pt>
                <c:pt idx="27">
                  <c:v>4.4166666666666288</c:v>
                </c:pt>
                <c:pt idx="28">
                  <c:v>4.5833333333333712</c:v>
                </c:pt>
                <c:pt idx="29">
                  <c:v>4.75</c:v>
                </c:pt>
                <c:pt idx="30">
                  <c:v>4.9166666666666288</c:v>
                </c:pt>
                <c:pt idx="31">
                  <c:v>5.0833333333333712</c:v>
                </c:pt>
                <c:pt idx="32">
                  <c:v>5.25</c:v>
                </c:pt>
                <c:pt idx="33">
                  <c:v>5.4166666666666288</c:v>
                </c:pt>
                <c:pt idx="34">
                  <c:v>5.5833333333333712</c:v>
                </c:pt>
                <c:pt idx="35">
                  <c:v>5.75</c:v>
                </c:pt>
                <c:pt idx="36">
                  <c:v>5.9166666666666288</c:v>
                </c:pt>
                <c:pt idx="37">
                  <c:v>6.0833333333333712</c:v>
                </c:pt>
                <c:pt idx="38">
                  <c:v>6.25</c:v>
                </c:pt>
                <c:pt idx="39">
                  <c:v>6.4166666666666288</c:v>
                </c:pt>
                <c:pt idx="40">
                  <c:v>6.5833333333333712</c:v>
                </c:pt>
                <c:pt idx="41">
                  <c:v>6.75</c:v>
                </c:pt>
              </c:numCache>
            </c:numRef>
          </c:cat>
          <c:val>
            <c:numRef>
              <c:f>'0606'!$C$2:$C$44</c:f>
              <c:numCache>
                <c:formatCode>General</c:formatCode>
                <c:ptCount val="43"/>
                <c:pt idx="0">
                  <c:v>25.65</c:v>
                </c:pt>
                <c:pt idx="1">
                  <c:v>25.96</c:v>
                </c:pt>
                <c:pt idx="2">
                  <c:v>26.02</c:v>
                </c:pt>
                <c:pt idx="3">
                  <c:v>26.95</c:v>
                </c:pt>
                <c:pt idx="4">
                  <c:v>28.55</c:v>
                </c:pt>
                <c:pt idx="5">
                  <c:v>30.28</c:v>
                </c:pt>
                <c:pt idx="6">
                  <c:v>32.68</c:v>
                </c:pt>
                <c:pt idx="7">
                  <c:v>35.18</c:v>
                </c:pt>
                <c:pt idx="8">
                  <c:v>36.43</c:v>
                </c:pt>
                <c:pt idx="9">
                  <c:v>37.43</c:v>
                </c:pt>
                <c:pt idx="10">
                  <c:v>39.14</c:v>
                </c:pt>
                <c:pt idx="11">
                  <c:v>40.450000000000003</c:v>
                </c:pt>
                <c:pt idx="12">
                  <c:v>41.52</c:v>
                </c:pt>
                <c:pt idx="13">
                  <c:v>42.18</c:v>
                </c:pt>
                <c:pt idx="14">
                  <c:v>42.62</c:v>
                </c:pt>
                <c:pt idx="15">
                  <c:v>43.77</c:v>
                </c:pt>
                <c:pt idx="16">
                  <c:v>44.7</c:v>
                </c:pt>
                <c:pt idx="17">
                  <c:v>45.53</c:v>
                </c:pt>
                <c:pt idx="18">
                  <c:v>46.32</c:v>
                </c:pt>
                <c:pt idx="19">
                  <c:v>46.86</c:v>
                </c:pt>
                <c:pt idx="20">
                  <c:v>47.28</c:v>
                </c:pt>
                <c:pt idx="21">
                  <c:v>48.14</c:v>
                </c:pt>
                <c:pt idx="22">
                  <c:v>48.53</c:v>
                </c:pt>
                <c:pt idx="23">
                  <c:v>48.96</c:v>
                </c:pt>
                <c:pt idx="24">
                  <c:v>48.84</c:v>
                </c:pt>
                <c:pt idx="25">
                  <c:v>50.44</c:v>
                </c:pt>
                <c:pt idx="26">
                  <c:v>50.52</c:v>
                </c:pt>
                <c:pt idx="27">
                  <c:v>51.05</c:v>
                </c:pt>
                <c:pt idx="28">
                  <c:v>51.27</c:v>
                </c:pt>
                <c:pt idx="29">
                  <c:v>52.24</c:v>
                </c:pt>
                <c:pt idx="30">
                  <c:v>51.94</c:v>
                </c:pt>
                <c:pt idx="31">
                  <c:v>52.64</c:v>
                </c:pt>
                <c:pt idx="32">
                  <c:v>52.85</c:v>
                </c:pt>
                <c:pt idx="33">
                  <c:v>53.51</c:v>
                </c:pt>
                <c:pt idx="34">
                  <c:v>53.9</c:v>
                </c:pt>
                <c:pt idx="35">
                  <c:v>54.62</c:v>
                </c:pt>
                <c:pt idx="36">
                  <c:v>56</c:v>
                </c:pt>
                <c:pt idx="37">
                  <c:v>55.37</c:v>
                </c:pt>
                <c:pt idx="38">
                  <c:v>55.43</c:v>
                </c:pt>
                <c:pt idx="39">
                  <c:v>55.94</c:v>
                </c:pt>
                <c:pt idx="40">
                  <c:v>56.7</c:v>
                </c:pt>
                <c:pt idx="41">
                  <c:v>58.26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C6-4E7B-A597-E2D4E1D9E8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6301455"/>
        <c:axId val="1326303375"/>
      </c:lineChart>
      <c:catAx>
        <c:axId val="1326301455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326303375"/>
        <c:crosses val="autoZero"/>
        <c:auto val="1"/>
        <c:lblAlgn val="ctr"/>
        <c:lblOffset val="100"/>
        <c:noMultiLvlLbl val="0"/>
      </c:catAx>
      <c:valAx>
        <c:axId val="1326303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in"/>
        <c:minorTickMark val="out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326301455"/>
        <c:crosses val="autoZero"/>
        <c:crossBetween val="between"/>
        <c:min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'0607'!$C$1</c:f>
              <c:strCache>
                <c:ptCount val="1"/>
                <c:pt idx="0">
                  <c:v>temp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'0607'!$B$2:$B$92</c:f>
              <c:numCache>
                <c:formatCode>0</c:formatCode>
                <c:ptCount val="91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7.85</c:v>
                </c:pt>
                <c:pt idx="48">
                  <c:v>8.0166666666666675</c:v>
                </c:pt>
                <c:pt idx="49">
                  <c:v>8.1833333333333336</c:v>
                </c:pt>
                <c:pt idx="50">
                  <c:v>8.35</c:v>
                </c:pt>
                <c:pt idx="51">
                  <c:v>8.5166666666666675</c:v>
                </c:pt>
                <c:pt idx="52">
                  <c:v>8.6833333333333336</c:v>
                </c:pt>
                <c:pt idx="53">
                  <c:v>8.85</c:v>
                </c:pt>
                <c:pt idx="54">
                  <c:v>9.0166666666666675</c:v>
                </c:pt>
                <c:pt idx="55">
                  <c:v>9.1833333333333336</c:v>
                </c:pt>
                <c:pt idx="56">
                  <c:v>9.35</c:v>
                </c:pt>
                <c:pt idx="57">
                  <c:v>9.5166666666666675</c:v>
                </c:pt>
                <c:pt idx="58">
                  <c:v>9.6833333333333336</c:v>
                </c:pt>
                <c:pt idx="59">
                  <c:v>9.85</c:v>
                </c:pt>
                <c:pt idx="60">
                  <c:v>10.016666666666667</c:v>
                </c:pt>
                <c:pt idx="61">
                  <c:v>10.183333333333334</c:v>
                </c:pt>
                <c:pt idx="62">
                  <c:v>10.35</c:v>
                </c:pt>
                <c:pt idx="63">
                  <c:v>10.516666666666667</c:v>
                </c:pt>
                <c:pt idx="64">
                  <c:v>10.683333333333334</c:v>
                </c:pt>
                <c:pt idx="65">
                  <c:v>10.85</c:v>
                </c:pt>
                <c:pt idx="66">
                  <c:v>11.016666666666667</c:v>
                </c:pt>
                <c:pt idx="67">
                  <c:v>11.183333333333334</c:v>
                </c:pt>
                <c:pt idx="68">
                  <c:v>11.35</c:v>
                </c:pt>
                <c:pt idx="69">
                  <c:v>11.516666666666667</c:v>
                </c:pt>
                <c:pt idx="70">
                  <c:v>11.683333333333334</c:v>
                </c:pt>
                <c:pt idx="71">
                  <c:v>11.85</c:v>
                </c:pt>
                <c:pt idx="72">
                  <c:v>12.016666666666667</c:v>
                </c:pt>
                <c:pt idx="73">
                  <c:v>12.183333333333334</c:v>
                </c:pt>
                <c:pt idx="74">
                  <c:v>12.35</c:v>
                </c:pt>
                <c:pt idx="75">
                  <c:v>12.516666666666667</c:v>
                </c:pt>
                <c:pt idx="76">
                  <c:v>12.683333333333334</c:v>
                </c:pt>
                <c:pt idx="77">
                  <c:v>12.85</c:v>
                </c:pt>
                <c:pt idx="78">
                  <c:v>13.016666666666667</c:v>
                </c:pt>
                <c:pt idx="79">
                  <c:v>13.183333333333334</c:v>
                </c:pt>
                <c:pt idx="80">
                  <c:v>13.35</c:v>
                </c:pt>
                <c:pt idx="81">
                  <c:v>13.516666666666667</c:v>
                </c:pt>
                <c:pt idx="82">
                  <c:v>13.683333333333334</c:v>
                </c:pt>
                <c:pt idx="83">
                  <c:v>13.85</c:v>
                </c:pt>
                <c:pt idx="84">
                  <c:v>14.016666666666667</c:v>
                </c:pt>
                <c:pt idx="85">
                  <c:v>14.183333333333334</c:v>
                </c:pt>
                <c:pt idx="86">
                  <c:v>14.35</c:v>
                </c:pt>
                <c:pt idx="87">
                  <c:v>14.516666666666667</c:v>
                </c:pt>
                <c:pt idx="88">
                  <c:v>14.683333333333334</c:v>
                </c:pt>
                <c:pt idx="89">
                  <c:v>14.85</c:v>
                </c:pt>
                <c:pt idx="90">
                  <c:v>15.016666666666667</c:v>
                </c:pt>
              </c:numCache>
            </c:numRef>
          </c:cat>
          <c:val>
            <c:numRef>
              <c:f>'0607'!$C$2:$C$92</c:f>
              <c:numCache>
                <c:formatCode>0</c:formatCode>
                <c:ptCount val="91"/>
                <c:pt idx="0">
                  <c:v>23.65</c:v>
                </c:pt>
                <c:pt idx="1">
                  <c:v>23.84</c:v>
                </c:pt>
                <c:pt idx="2">
                  <c:v>25.12</c:v>
                </c:pt>
                <c:pt idx="3">
                  <c:v>27</c:v>
                </c:pt>
                <c:pt idx="4">
                  <c:v>29.98</c:v>
                </c:pt>
                <c:pt idx="5">
                  <c:v>31.73</c:v>
                </c:pt>
                <c:pt idx="6">
                  <c:v>33.43</c:v>
                </c:pt>
                <c:pt idx="7">
                  <c:v>34.81</c:v>
                </c:pt>
                <c:pt idx="8">
                  <c:v>36.619999999999997</c:v>
                </c:pt>
                <c:pt idx="9">
                  <c:v>37.729999999999997</c:v>
                </c:pt>
                <c:pt idx="10">
                  <c:v>38.97</c:v>
                </c:pt>
                <c:pt idx="11">
                  <c:v>40.200000000000003</c:v>
                </c:pt>
                <c:pt idx="12">
                  <c:v>40.76</c:v>
                </c:pt>
                <c:pt idx="13">
                  <c:v>40.46</c:v>
                </c:pt>
                <c:pt idx="14">
                  <c:v>41.28</c:v>
                </c:pt>
                <c:pt idx="15">
                  <c:v>43.08</c:v>
                </c:pt>
                <c:pt idx="16">
                  <c:v>43.55</c:v>
                </c:pt>
                <c:pt idx="17">
                  <c:v>44.33</c:v>
                </c:pt>
                <c:pt idx="18">
                  <c:v>45.01</c:v>
                </c:pt>
                <c:pt idx="19">
                  <c:v>45.45</c:v>
                </c:pt>
                <c:pt idx="20">
                  <c:v>46.08</c:v>
                </c:pt>
                <c:pt idx="21">
                  <c:v>46.5</c:v>
                </c:pt>
                <c:pt idx="22">
                  <c:v>46.77</c:v>
                </c:pt>
                <c:pt idx="23">
                  <c:v>48.12</c:v>
                </c:pt>
                <c:pt idx="24">
                  <c:v>48.08</c:v>
                </c:pt>
                <c:pt idx="25">
                  <c:v>48.57</c:v>
                </c:pt>
                <c:pt idx="26">
                  <c:v>49.4</c:v>
                </c:pt>
                <c:pt idx="27">
                  <c:v>49.87</c:v>
                </c:pt>
                <c:pt idx="28">
                  <c:v>50.46</c:v>
                </c:pt>
                <c:pt idx="29">
                  <c:v>50.86</c:v>
                </c:pt>
                <c:pt idx="30">
                  <c:v>49.91</c:v>
                </c:pt>
                <c:pt idx="31">
                  <c:v>50.8</c:v>
                </c:pt>
                <c:pt idx="32">
                  <c:v>51.67</c:v>
                </c:pt>
                <c:pt idx="33">
                  <c:v>51.81</c:v>
                </c:pt>
                <c:pt idx="34">
                  <c:v>52.38</c:v>
                </c:pt>
                <c:pt idx="35">
                  <c:v>53.17</c:v>
                </c:pt>
                <c:pt idx="36">
                  <c:v>53.35</c:v>
                </c:pt>
                <c:pt idx="37">
                  <c:v>52.78</c:v>
                </c:pt>
                <c:pt idx="38">
                  <c:v>52.79</c:v>
                </c:pt>
                <c:pt idx="39">
                  <c:v>52.92</c:v>
                </c:pt>
                <c:pt idx="40">
                  <c:v>54.07</c:v>
                </c:pt>
                <c:pt idx="41">
                  <c:v>54.04</c:v>
                </c:pt>
                <c:pt idx="42">
                  <c:v>54.09</c:v>
                </c:pt>
                <c:pt idx="43">
                  <c:v>54.72</c:v>
                </c:pt>
                <c:pt idx="44">
                  <c:v>54.73</c:v>
                </c:pt>
                <c:pt idx="45">
                  <c:v>55.45</c:v>
                </c:pt>
                <c:pt idx="46">
                  <c:v>55.99</c:v>
                </c:pt>
                <c:pt idx="47">
                  <c:v>56.72</c:v>
                </c:pt>
                <c:pt idx="48">
                  <c:v>56.37</c:v>
                </c:pt>
                <c:pt idx="49">
                  <c:v>55.48</c:v>
                </c:pt>
                <c:pt idx="50">
                  <c:v>56.69</c:v>
                </c:pt>
                <c:pt idx="51">
                  <c:v>57.12</c:v>
                </c:pt>
                <c:pt idx="52">
                  <c:v>56.99</c:v>
                </c:pt>
                <c:pt idx="53">
                  <c:v>57.87</c:v>
                </c:pt>
                <c:pt idx="54">
                  <c:v>58.8</c:v>
                </c:pt>
                <c:pt idx="55">
                  <c:v>57.42</c:v>
                </c:pt>
                <c:pt idx="56">
                  <c:v>58.65</c:v>
                </c:pt>
                <c:pt idx="57">
                  <c:v>57.2</c:v>
                </c:pt>
                <c:pt idx="58">
                  <c:v>58.7</c:v>
                </c:pt>
                <c:pt idx="59">
                  <c:v>59.59</c:v>
                </c:pt>
                <c:pt idx="60">
                  <c:v>59.74</c:v>
                </c:pt>
                <c:pt idx="61">
                  <c:v>61.17</c:v>
                </c:pt>
                <c:pt idx="62">
                  <c:v>61.39</c:v>
                </c:pt>
                <c:pt idx="63">
                  <c:v>60.65</c:v>
                </c:pt>
                <c:pt idx="64">
                  <c:v>59.51</c:v>
                </c:pt>
                <c:pt idx="65">
                  <c:v>60.41</c:v>
                </c:pt>
                <c:pt idx="66">
                  <c:v>60.41</c:v>
                </c:pt>
                <c:pt idx="67">
                  <c:v>60.46</c:v>
                </c:pt>
                <c:pt idx="68">
                  <c:v>60.2</c:v>
                </c:pt>
                <c:pt idx="69">
                  <c:v>61.32</c:v>
                </c:pt>
                <c:pt idx="70">
                  <c:v>60.87</c:v>
                </c:pt>
                <c:pt idx="71">
                  <c:v>61.65</c:v>
                </c:pt>
                <c:pt idx="72">
                  <c:v>61.32</c:v>
                </c:pt>
                <c:pt idx="73">
                  <c:v>62.45</c:v>
                </c:pt>
                <c:pt idx="74">
                  <c:v>62.51</c:v>
                </c:pt>
                <c:pt idx="75">
                  <c:v>63.11</c:v>
                </c:pt>
                <c:pt idx="76">
                  <c:v>62.63</c:v>
                </c:pt>
                <c:pt idx="77">
                  <c:v>61.93</c:v>
                </c:pt>
                <c:pt idx="78">
                  <c:v>63.34</c:v>
                </c:pt>
                <c:pt idx="79">
                  <c:v>62.88</c:v>
                </c:pt>
                <c:pt idx="80">
                  <c:v>63.9</c:v>
                </c:pt>
                <c:pt idx="81">
                  <c:v>64.069999999999993</c:v>
                </c:pt>
                <c:pt idx="82">
                  <c:v>63.88</c:v>
                </c:pt>
                <c:pt idx="83">
                  <c:v>64.98</c:v>
                </c:pt>
                <c:pt idx="84">
                  <c:v>64.2</c:v>
                </c:pt>
                <c:pt idx="85">
                  <c:v>64.16</c:v>
                </c:pt>
                <c:pt idx="86">
                  <c:v>65.14</c:v>
                </c:pt>
                <c:pt idx="87">
                  <c:v>65.459999999999994</c:v>
                </c:pt>
                <c:pt idx="88">
                  <c:v>65.8</c:v>
                </c:pt>
                <c:pt idx="89">
                  <c:v>66.64</c:v>
                </c:pt>
                <c:pt idx="90">
                  <c:v>66.760000000000005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91-44EC-A103-E2D6745BF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001439"/>
        <c:axId val="269995199"/>
      </c:lineChart>
      <c:catAx>
        <c:axId val="270001439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269995199"/>
        <c:crosses val="autoZero"/>
        <c:auto val="1"/>
        <c:lblAlgn val="ctr"/>
        <c:lblOffset val="100"/>
        <c:noMultiLvlLbl val="0"/>
      </c:catAx>
      <c:valAx>
        <c:axId val="26999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270001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'0607-a'!$C$1</c:f>
              <c:strCache>
                <c:ptCount val="1"/>
                <c:pt idx="0">
                  <c:v>temp/time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'0607-a'!$B:$B</c:f>
              <c:strCache>
                <c:ptCount val="140"/>
                <c:pt idx="0">
                  <c:v>minutes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6</c:v>
                </c:pt>
                <c:pt idx="35">
                  <c:v>6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8</c:v>
                </c:pt>
                <c:pt idx="52">
                  <c:v>9</c:v>
                </c:pt>
                <c:pt idx="53">
                  <c:v>9</c:v>
                </c:pt>
                <c:pt idx="54">
                  <c:v>9</c:v>
                </c:pt>
                <c:pt idx="55">
                  <c:v>9</c:v>
                </c:pt>
                <c:pt idx="56">
                  <c:v>9</c:v>
                </c:pt>
                <c:pt idx="57">
                  <c:v>9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11</c:v>
                </c:pt>
                <c:pt idx="65">
                  <c:v>11</c:v>
                </c:pt>
                <c:pt idx="66">
                  <c:v>11</c:v>
                </c:pt>
                <c:pt idx="67">
                  <c:v>11</c:v>
                </c:pt>
                <c:pt idx="68">
                  <c:v>11</c:v>
                </c:pt>
                <c:pt idx="69">
                  <c:v>11</c:v>
                </c:pt>
                <c:pt idx="70">
                  <c:v>12</c:v>
                </c:pt>
                <c:pt idx="71">
                  <c:v>12</c:v>
                </c:pt>
                <c:pt idx="72">
                  <c:v>12</c:v>
                </c:pt>
                <c:pt idx="73">
                  <c:v>12</c:v>
                </c:pt>
                <c:pt idx="74">
                  <c:v>12</c:v>
                </c:pt>
                <c:pt idx="75">
                  <c:v>12</c:v>
                </c:pt>
                <c:pt idx="76">
                  <c:v>13</c:v>
                </c:pt>
                <c:pt idx="77">
                  <c:v>13</c:v>
                </c:pt>
                <c:pt idx="78">
                  <c:v>13</c:v>
                </c:pt>
                <c:pt idx="79">
                  <c:v>13</c:v>
                </c:pt>
                <c:pt idx="80">
                  <c:v>13</c:v>
                </c:pt>
                <c:pt idx="81">
                  <c:v>13</c:v>
                </c:pt>
                <c:pt idx="82">
                  <c:v>14</c:v>
                </c:pt>
                <c:pt idx="83">
                  <c:v>14</c:v>
                </c:pt>
                <c:pt idx="84">
                  <c:v>14</c:v>
                </c:pt>
                <c:pt idx="85">
                  <c:v>14</c:v>
                </c:pt>
                <c:pt idx="86">
                  <c:v>14</c:v>
                </c:pt>
                <c:pt idx="87">
                  <c:v>14</c:v>
                </c:pt>
                <c:pt idx="88">
                  <c:v>15</c:v>
                </c:pt>
                <c:pt idx="89">
                  <c:v>15</c:v>
                </c:pt>
                <c:pt idx="90">
                  <c:v>15</c:v>
                </c:pt>
                <c:pt idx="91">
                  <c:v>15</c:v>
                </c:pt>
                <c:pt idx="92">
                  <c:v>15</c:v>
                </c:pt>
                <c:pt idx="93">
                  <c:v>15</c:v>
                </c:pt>
                <c:pt idx="94">
                  <c:v>16</c:v>
                </c:pt>
                <c:pt idx="95">
                  <c:v>16</c:v>
                </c:pt>
                <c:pt idx="96">
                  <c:v>16</c:v>
                </c:pt>
                <c:pt idx="97">
                  <c:v>16</c:v>
                </c:pt>
                <c:pt idx="98">
                  <c:v>16</c:v>
                </c:pt>
                <c:pt idx="99">
                  <c:v>16</c:v>
                </c:pt>
                <c:pt idx="100">
                  <c:v>17</c:v>
                </c:pt>
                <c:pt idx="101">
                  <c:v>17</c:v>
                </c:pt>
                <c:pt idx="102">
                  <c:v>17</c:v>
                </c:pt>
                <c:pt idx="103">
                  <c:v>17</c:v>
                </c:pt>
                <c:pt idx="104">
                  <c:v>17</c:v>
                </c:pt>
                <c:pt idx="105">
                  <c:v>17</c:v>
                </c:pt>
                <c:pt idx="106">
                  <c:v>18</c:v>
                </c:pt>
                <c:pt idx="107">
                  <c:v>18</c:v>
                </c:pt>
                <c:pt idx="108">
                  <c:v>18</c:v>
                </c:pt>
                <c:pt idx="109">
                  <c:v>18</c:v>
                </c:pt>
                <c:pt idx="110">
                  <c:v>18</c:v>
                </c:pt>
                <c:pt idx="111">
                  <c:v>18</c:v>
                </c:pt>
                <c:pt idx="112">
                  <c:v>19</c:v>
                </c:pt>
                <c:pt idx="113">
                  <c:v>19</c:v>
                </c:pt>
                <c:pt idx="114">
                  <c:v>19</c:v>
                </c:pt>
                <c:pt idx="115">
                  <c:v>19</c:v>
                </c:pt>
                <c:pt idx="116">
                  <c:v>19</c:v>
                </c:pt>
                <c:pt idx="117">
                  <c:v>19</c:v>
                </c:pt>
                <c:pt idx="118">
                  <c:v>20</c:v>
                </c:pt>
                <c:pt idx="119">
                  <c:v>20</c:v>
                </c:pt>
                <c:pt idx="120">
                  <c:v>20</c:v>
                </c:pt>
                <c:pt idx="121">
                  <c:v>20</c:v>
                </c:pt>
                <c:pt idx="122">
                  <c:v>20</c:v>
                </c:pt>
                <c:pt idx="123">
                  <c:v>20</c:v>
                </c:pt>
                <c:pt idx="124">
                  <c:v>21</c:v>
                </c:pt>
                <c:pt idx="125">
                  <c:v>21</c:v>
                </c:pt>
                <c:pt idx="126">
                  <c:v>21</c:v>
                </c:pt>
                <c:pt idx="127">
                  <c:v>21</c:v>
                </c:pt>
                <c:pt idx="128">
                  <c:v>21</c:v>
                </c:pt>
                <c:pt idx="129">
                  <c:v>21</c:v>
                </c:pt>
                <c:pt idx="130">
                  <c:v>22</c:v>
                </c:pt>
                <c:pt idx="131">
                  <c:v>22</c:v>
                </c:pt>
                <c:pt idx="132">
                  <c:v>22</c:v>
                </c:pt>
                <c:pt idx="133">
                  <c:v>22</c:v>
                </c:pt>
                <c:pt idx="134">
                  <c:v>22</c:v>
                </c:pt>
                <c:pt idx="135">
                  <c:v>22</c:v>
                </c:pt>
                <c:pt idx="136">
                  <c:v>23</c:v>
                </c:pt>
                <c:pt idx="137">
                  <c:v>23</c:v>
                </c:pt>
                <c:pt idx="138">
                  <c:v>23</c:v>
                </c:pt>
                <c:pt idx="139">
                  <c:v>23</c:v>
                </c:pt>
              </c:strCache>
            </c:strRef>
          </c:cat>
          <c:val>
            <c:numRef>
              <c:f>'0607-a'!$C$2:$C$140</c:f>
              <c:numCache>
                <c:formatCode>0</c:formatCode>
                <c:ptCount val="139"/>
                <c:pt idx="0">
                  <c:v>25.85</c:v>
                </c:pt>
                <c:pt idx="1">
                  <c:v>25.85</c:v>
                </c:pt>
                <c:pt idx="2">
                  <c:v>25.8</c:v>
                </c:pt>
                <c:pt idx="3">
                  <c:v>25.86</c:v>
                </c:pt>
                <c:pt idx="4">
                  <c:v>25.82</c:v>
                </c:pt>
                <c:pt idx="5">
                  <c:v>25.86</c:v>
                </c:pt>
                <c:pt idx="6">
                  <c:v>25.79</c:v>
                </c:pt>
                <c:pt idx="7">
                  <c:v>25.77</c:v>
                </c:pt>
                <c:pt idx="8">
                  <c:v>25.79</c:v>
                </c:pt>
                <c:pt idx="9">
                  <c:v>25.85</c:v>
                </c:pt>
                <c:pt idx="10">
                  <c:v>26.52</c:v>
                </c:pt>
                <c:pt idx="11">
                  <c:v>29.96</c:v>
                </c:pt>
                <c:pt idx="12">
                  <c:v>33.85</c:v>
                </c:pt>
                <c:pt idx="13">
                  <c:v>36.83</c:v>
                </c:pt>
                <c:pt idx="14">
                  <c:v>39.659999999999997</c:v>
                </c:pt>
                <c:pt idx="15">
                  <c:v>41.64</c:v>
                </c:pt>
                <c:pt idx="16">
                  <c:v>43.64</c:v>
                </c:pt>
                <c:pt idx="17">
                  <c:v>45.85</c:v>
                </c:pt>
                <c:pt idx="18">
                  <c:v>47.54</c:v>
                </c:pt>
                <c:pt idx="19">
                  <c:v>48.58</c:v>
                </c:pt>
                <c:pt idx="20">
                  <c:v>50.2</c:v>
                </c:pt>
                <c:pt idx="21">
                  <c:v>50.93</c:v>
                </c:pt>
                <c:pt idx="22">
                  <c:v>51.8</c:v>
                </c:pt>
                <c:pt idx="23">
                  <c:v>52.63</c:v>
                </c:pt>
                <c:pt idx="24">
                  <c:v>53.69</c:v>
                </c:pt>
                <c:pt idx="25">
                  <c:v>54.38</c:v>
                </c:pt>
                <c:pt idx="26">
                  <c:v>55.09</c:v>
                </c:pt>
                <c:pt idx="27">
                  <c:v>56.1</c:v>
                </c:pt>
                <c:pt idx="28">
                  <c:v>56.93</c:v>
                </c:pt>
                <c:pt idx="29">
                  <c:v>58.39</c:v>
                </c:pt>
                <c:pt idx="30">
                  <c:v>58.86</c:v>
                </c:pt>
                <c:pt idx="31">
                  <c:v>59.8</c:v>
                </c:pt>
                <c:pt idx="32">
                  <c:v>60.58</c:v>
                </c:pt>
                <c:pt idx="33">
                  <c:v>61.02</c:v>
                </c:pt>
                <c:pt idx="34">
                  <c:v>61.57</c:v>
                </c:pt>
                <c:pt idx="35">
                  <c:v>62.18</c:v>
                </c:pt>
                <c:pt idx="36">
                  <c:v>62.09</c:v>
                </c:pt>
                <c:pt idx="37">
                  <c:v>63.57</c:v>
                </c:pt>
                <c:pt idx="38">
                  <c:v>64.22</c:v>
                </c:pt>
                <c:pt idx="39">
                  <c:v>64.84</c:v>
                </c:pt>
                <c:pt idx="40">
                  <c:v>65.09</c:v>
                </c:pt>
                <c:pt idx="41">
                  <c:v>65.91</c:v>
                </c:pt>
                <c:pt idx="42">
                  <c:v>66.37</c:v>
                </c:pt>
                <c:pt idx="43">
                  <c:v>66.33</c:v>
                </c:pt>
                <c:pt idx="44">
                  <c:v>66.62</c:v>
                </c:pt>
                <c:pt idx="45">
                  <c:v>67.83</c:v>
                </c:pt>
                <c:pt idx="46">
                  <c:v>68.959999999999994</c:v>
                </c:pt>
                <c:pt idx="47">
                  <c:v>68.930000000000007</c:v>
                </c:pt>
                <c:pt idx="48">
                  <c:v>70.13</c:v>
                </c:pt>
                <c:pt idx="49">
                  <c:v>71.319999999999993</c:v>
                </c:pt>
                <c:pt idx="50">
                  <c:v>71.260000000000005</c:v>
                </c:pt>
                <c:pt idx="51">
                  <c:v>72</c:v>
                </c:pt>
                <c:pt idx="52">
                  <c:v>72.209999999999994</c:v>
                </c:pt>
                <c:pt idx="53">
                  <c:v>73.680000000000007</c:v>
                </c:pt>
                <c:pt idx="54">
                  <c:v>74.099999999999994</c:v>
                </c:pt>
                <c:pt idx="55">
                  <c:v>73.94</c:v>
                </c:pt>
                <c:pt idx="56">
                  <c:v>74.849999999999994</c:v>
                </c:pt>
                <c:pt idx="57">
                  <c:v>74.569999999999993</c:v>
                </c:pt>
                <c:pt idx="58">
                  <c:v>75.14</c:v>
                </c:pt>
                <c:pt idx="59">
                  <c:v>75.25</c:v>
                </c:pt>
                <c:pt idx="60">
                  <c:v>75.66</c:v>
                </c:pt>
                <c:pt idx="61">
                  <c:v>76.67</c:v>
                </c:pt>
                <c:pt idx="62">
                  <c:v>77.150000000000006</c:v>
                </c:pt>
                <c:pt idx="63">
                  <c:v>77.930000000000007</c:v>
                </c:pt>
                <c:pt idx="64">
                  <c:v>79.03</c:v>
                </c:pt>
                <c:pt idx="65">
                  <c:v>78.760000000000005</c:v>
                </c:pt>
                <c:pt idx="66">
                  <c:v>79.040000000000006</c:v>
                </c:pt>
                <c:pt idx="67">
                  <c:v>79.400000000000006</c:v>
                </c:pt>
                <c:pt idx="68">
                  <c:v>79.36</c:v>
                </c:pt>
                <c:pt idx="69">
                  <c:v>80.19</c:v>
                </c:pt>
                <c:pt idx="70">
                  <c:v>81.599999999999994</c:v>
                </c:pt>
                <c:pt idx="71">
                  <c:v>81.73</c:v>
                </c:pt>
                <c:pt idx="72">
                  <c:v>82.41</c:v>
                </c:pt>
                <c:pt idx="73">
                  <c:v>83.32</c:v>
                </c:pt>
                <c:pt idx="74">
                  <c:v>82.54</c:v>
                </c:pt>
                <c:pt idx="75">
                  <c:v>83.27</c:v>
                </c:pt>
                <c:pt idx="76">
                  <c:v>83.75</c:v>
                </c:pt>
                <c:pt idx="77">
                  <c:v>83.78</c:v>
                </c:pt>
                <c:pt idx="78">
                  <c:v>84.59</c:v>
                </c:pt>
                <c:pt idx="79">
                  <c:v>85.11</c:v>
                </c:pt>
                <c:pt idx="80">
                  <c:v>85.19</c:v>
                </c:pt>
                <c:pt idx="81">
                  <c:v>85.55</c:v>
                </c:pt>
                <c:pt idx="82">
                  <c:v>86.12</c:v>
                </c:pt>
                <c:pt idx="83">
                  <c:v>86.64</c:v>
                </c:pt>
                <c:pt idx="84">
                  <c:v>87.24</c:v>
                </c:pt>
                <c:pt idx="85">
                  <c:v>87.05</c:v>
                </c:pt>
                <c:pt idx="86">
                  <c:v>86.99</c:v>
                </c:pt>
                <c:pt idx="87">
                  <c:v>87.09</c:v>
                </c:pt>
                <c:pt idx="88">
                  <c:v>87.38</c:v>
                </c:pt>
                <c:pt idx="89">
                  <c:v>87.63</c:v>
                </c:pt>
                <c:pt idx="90">
                  <c:v>88.16</c:v>
                </c:pt>
                <c:pt idx="91">
                  <c:v>88.23</c:v>
                </c:pt>
                <c:pt idx="92">
                  <c:v>88.92</c:v>
                </c:pt>
                <c:pt idx="93">
                  <c:v>89.61</c:v>
                </c:pt>
                <c:pt idx="94">
                  <c:v>89.52</c:v>
                </c:pt>
                <c:pt idx="95">
                  <c:v>89.37</c:v>
                </c:pt>
                <c:pt idx="96">
                  <c:v>89.61</c:v>
                </c:pt>
                <c:pt idx="97">
                  <c:v>89.78</c:v>
                </c:pt>
                <c:pt idx="98">
                  <c:v>90.51</c:v>
                </c:pt>
                <c:pt idx="99">
                  <c:v>91.32</c:v>
                </c:pt>
                <c:pt idx="100">
                  <c:v>91.69</c:v>
                </c:pt>
                <c:pt idx="101">
                  <c:v>91.88</c:v>
                </c:pt>
                <c:pt idx="102">
                  <c:v>92.54</c:v>
                </c:pt>
                <c:pt idx="103">
                  <c:v>92.95</c:v>
                </c:pt>
                <c:pt idx="104">
                  <c:v>92.99</c:v>
                </c:pt>
                <c:pt idx="105">
                  <c:v>92.28</c:v>
                </c:pt>
                <c:pt idx="106">
                  <c:v>92.47</c:v>
                </c:pt>
                <c:pt idx="107">
                  <c:v>93.02</c:v>
                </c:pt>
                <c:pt idx="108">
                  <c:v>92.99</c:v>
                </c:pt>
                <c:pt idx="109">
                  <c:v>93.85</c:v>
                </c:pt>
                <c:pt idx="110">
                  <c:v>94.32</c:v>
                </c:pt>
                <c:pt idx="111">
                  <c:v>94.52</c:v>
                </c:pt>
                <c:pt idx="112">
                  <c:v>93.87</c:v>
                </c:pt>
                <c:pt idx="113">
                  <c:v>94.25</c:v>
                </c:pt>
                <c:pt idx="114">
                  <c:v>95.02</c:v>
                </c:pt>
                <c:pt idx="115">
                  <c:v>95.13</c:v>
                </c:pt>
                <c:pt idx="116">
                  <c:v>95.56</c:v>
                </c:pt>
                <c:pt idx="117">
                  <c:v>96.15</c:v>
                </c:pt>
                <c:pt idx="118">
                  <c:v>96.6</c:v>
                </c:pt>
                <c:pt idx="119">
                  <c:v>96.63</c:v>
                </c:pt>
                <c:pt idx="120">
                  <c:v>97</c:v>
                </c:pt>
                <c:pt idx="121">
                  <c:v>97.41</c:v>
                </c:pt>
                <c:pt idx="122">
                  <c:v>97.44</c:v>
                </c:pt>
                <c:pt idx="123">
                  <c:v>97.71</c:v>
                </c:pt>
                <c:pt idx="124">
                  <c:v>97.94</c:v>
                </c:pt>
                <c:pt idx="125">
                  <c:v>99.06</c:v>
                </c:pt>
                <c:pt idx="126">
                  <c:v>98.56</c:v>
                </c:pt>
                <c:pt idx="127">
                  <c:v>98.82</c:v>
                </c:pt>
                <c:pt idx="128">
                  <c:v>99.46</c:v>
                </c:pt>
                <c:pt idx="129">
                  <c:v>99.71</c:v>
                </c:pt>
                <c:pt idx="130">
                  <c:v>99.12</c:v>
                </c:pt>
                <c:pt idx="131">
                  <c:v>99.38</c:v>
                </c:pt>
                <c:pt idx="132">
                  <c:v>99.5</c:v>
                </c:pt>
                <c:pt idx="133">
                  <c:v>99.66</c:v>
                </c:pt>
                <c:pt idx="134">
                  <c:v>99.54</c:v>
                </c:pt>
                <c:pt idx="135">
                  <c:v>99.98</c:v>
                </c:pt>
                <c:pt idx="136">
                  <c:v>100.83</c:v>
                </c:pt>
                <c:pt idx="137">
                  <c:v>100.65</c:v>
                </c:pt>
                <c:pt idx="138">
                  <c:v>99.51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1D-48B8-9276-8FAA076C9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417663"/>
        <c:axId val="22414303"/>
      </c:lineChart>
      <c:catAx>
        <c:axId val="22417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22414303"/>
        <c:crosses val="autoZero"/>
        <c:auto val="1"/>
        <c:lblAlgn val="ctr"/>
        <c:lblOffset val="100"/>
        <c:noMultiLvlLbl val="0"/>
      </c:catAx>
      <c:valAx>
        <c:axId val="22414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22417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>
        <c:manualLayout>
          <c:layoutTarget val="inner"/>
          <c:xMode val="edge"/>
          <c:yMode val="edge"/>
          <c:x val="4.3775631942111135E-2"/>
          <c:y val="7.7944444444444441E-2"/>
          <c:w val="0.9511575338796936"/>
          <c:h val="0.85468824730242055"/>
        </c:manualLayout>
      </c:layout>
      <c:lineChart>
        <c:grouping val="standard"/>
        <c:varyColors val="0"/>
        <c:ser>
          <c:idx val="0"/>
          <c:order val="0"/>
          <c:tx>
            <c:strRef>
              <c:f>'0608-a'!$C$1</c:f>
              <c:strCache>
                <c:ptCount val="1"/>
                <c:pt idx="0">
                  <c:v>temp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'0608-a'!$B:$B</c:f>
              <c:strCache>
                <c:ptCount val="200"/>
                <c:pt idx="0">
                  <c:v>minutes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6</c:v>
                </c:pt>
                <c:pt idx="35">
                  <c:v>6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8</c:v>
                </c:pt>
                <c:pt idx="52">
                  <c:v>9</c:v>
                </c:pt>
                <c:pt idx="53">
                  <c:v>9</c:v>
                </c:pt>
                <c:pt idx="54">
                  <c:v>9</c:v>
                </c:pt>
                <c:pt idx="55">
                  <c:v>9</c:v>
                </c:pt>
                <c:pt idx="56">
                  <c:v>9</c:v>
                </c:pt>
                <c:pt idx="57">
                  <c:v>9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11</c:v>
                </c:pt>
                <c:pt idx="65">
                  <c:v>11</c:v>
                </c:pt>
                <c:pt idx="66">
                  <c:v>11</c:v>
                </c:pt>
                <c:pt idx="67">
                  <c:v>11</c:v>
                </c:pt>
                <c:pt idx="68">
                  <c:v>11</c:v>
                </c:pt>
                <c:pt idx="69">
                  <c:v>11</c:v>
                </c:pt>
                <c:pt idx="70">
                  <c:v>12</c:v>
                </c:pt>
                <c:pt idx="71">
                  <c:v>12</c:v>
                </c:pt>
                <c:pt idx="72">
                  <c:v>12</c:v>
                </c:pt>
                <c:pt idx="73">
                  <c:v>12</c:v>
                </c:pt>
                <c:pt idx="74">
                  <c:v>12</c:v>
                </c:pt>
                <c:pt idx="75">
                  <c:v>12</c:v>
                </c:pt>
                <c:pt idx="76">
                  <c:v>13</c:v>
                </c:pt>
                <c:pt idx="77">
                  <c:v>13</c:v>
                </c:pt>
                <c:pt idx="78">
                  <c:v>13</c:v>
                </c:pt>
                <c:pt idx="79">
                  <c:v>13</c:v>
                </c:pt>
                <c:pt idx="80">
                  <c:v>13</c:v>
                </c:pt>
                <c:pt idx="81">
                  <c:v>13</c:v>
                </c:pt>
                <c:pt idx="82">
                  <c:v>14</c:v>
                </c:pt>
                <c:pt idx="83">
                  <c:v>14</c:v>
                </c:pt>
                <c:pt idx="84">
                  <c:v>14</c:v>
                </c:pt>
                <c:pt idx="85">
                  <c:v>14</c:v>
                </c:pt>
                <c:pt idx="86">
                  <c:v>14</c:v>
                </c:pt>
                <c:pt idx="87">
                  <c:v>14</c:v>
                </c:pt>
                <c:pt idx="88">
                  <c:v>15</c:v>
                </c:pt>
                <c:pt idx="89">
                  <c:v>15</c:v>
                </c:pt>
                <c:pt idx="90">
                  <c:v>15</c:v>
                </c:pt>
                <c:pt idx="91">
                  <c:v>15</c:v>
                </c:pt>
                <c:pt idx="92">
                  <c:v>15</c:v>
                </c:pt>
                <c:pt idx="93">
                  <c:v>15</c:v>
                </c:pt>
                <c:pt idx="94">
                  <c:v>16</c:v>
                </c:pt>
                <c:pt idx="95">
                  <c:v>16</c:v>
                </c:pt>
                <c:pt idx="96">
                  <c:v>16</c:v>
                </c:pt>
                <c:pt idx="97">
                  <c:v>16</c:v>
                </c:pt>
                <c:pt idx="98">
                  <c:v>16</c:v>
                </c:pt>
                <c:pt idx="99">
                  <c:v>16</c:v>
                </c:pt>
                <c:pt idx="100">
                  <c:v>17</c:v>
                </c:pt>
                <c:pt idx="101">
                  <c:v>17</c:v>
                </c:pt>
                <c:pt idx="102">
                  <c:v>17</c:v>
                </c:pt>
                <c:pt idx="103">
                  <c:v>17</c:v>
                </c:pt>
                <c:pt idx="104">
                  <c:v>17</c:v>
                </c:pt>
                <c:pt idx="105">
                  <c:v>17</c:v>
                </c:pt>
                <c:pt idx="106">
                  <c:v>18</c:v>
                </c:pt>
                <c:pt idx="107">
                  <c:v>18</c:v>
                </c:pt>
                <c:pt idx="108">
                  <c:v>18</c:v>
                </c:pt>
                <c:pt idx="109">
                  <c:v>18</c:v>
                </c:pt>
                <c:pt idx="110">
                  <c:v>18</c:v>
                </c:pt>
                <c:pt idx="111">
                  <c:v>18</c:v>
                </c:pt>
                <c:pt idx="112">
                  <c:v>19</c:v>
                </c:pt>
                <c:pt idx="113">
                  <c:v>19</c:v>
                </c:pt>
                <c:pt idx="114">
                  <c:v>19</c:v>
                </c:pt>
                <c:pt idx="115">
                  <c:v>19</c:v>
                </c:pt>
                <c:pt idx="116">
                  <c:v>19</c:v>
                </c:pt>
                <c:pt idx="117">
                  <c:v>19</c:v>
                </c:pt>
                <c:pt idx="118">
                  <c:v>20</c:v>
                </c:pt>
                <c:pt idx="119">
                  <c:v>20</c:v>
                </c:pt>
                <c:pt idx="120">
                  <c:v>20</c:v>
                </c:pt>
                <c:pt idx="121">
                  <c:v>20</c:v>
                </c:pt>
                <c:pt idx="122">
                  <c:v>20</c:v>
                </c:pt>
                <c:pt idx="123">
                  <c:v>20</c:v>
                </c:pt>
                <c:pt idx="124">
                  <c:v>21</c:v>
                </c:pt>
                <c:pt idx="125">
                  <c:v>21</c:v>
                </c:pt>
                <c:pt idx="126">
                  <c:v>21</c:v>
                </c:pt>
                <c:pt idx="127">
                  <c:v>21</c:v>
                </c:pt>
                <c:pt idx="128">
                  <c:v>21</c:v>
                </c:pt>
                <c:pt idx="129">
                  <c:v>21</c:v>
                </c:pt>
                <c:pt idx="130">
                  <c:v>22</c:v>
                </c:pt>
                <c:pt idx="131">
                  <c:v>22</c:v>
                </c:pt>
                <c:pt idx="132">
                  <c:v>22</c:v>
                </c:pt>
                <c:pt idx="133">
                  <c:v>22</c:v>
                </c:pt>
                <c:pt idx="134">
                  <c:v>22</c:v>
                </c:pt>
                <c:pt idx="135">
                  <c:v>22</c:v>
                </c:pt>
                <c:pt idx="136">
                  <c:v>23</c:v>
                </c:pt>
                <c:pt idx="137">
                  <c:v>23</c:v>
                </c:pt>
                <c:pt idx="138">
                  <c:v>23</c:v>
                </c:pt>
                <c:pt idx="139">
                  <c:v>23</c:v>
                </c:pt>
                <c:pt idx="140">
                  <c:v>23</c:v>
                </c:pt>
                <c:pt idx="141">
                  <c:v>23</c:v>
                </c:pt>
                <c:pt idx="142">
                  <c:v>24</c:v>
                </c:pt>
                <c:pt idx="143">
                  <c:v>24</c:v>
                </c:pt>
                <c:pt idx="144">
                  <c:v>24</c:v>
                </c:pt>
                <c:pt idx="145">
                  <c:v>24</c:v>
                </c:pt>
                <c:pt idx="146">
                  <c:v>24</c:v>
                </c:pt>
                <c:pt idx="147">
                  <c:v>24</c:v>
                </c:pt>
                <c:pt idx="148">
                  <c:v>25</c:v>
                </c:pt>
                <c:pt idx="149">
                  <c:v>25</c:v>
                </c:pt>
                <c:pt idx="150">
                  <c:v>25</c:v>
                </c:pt>
                <c:pt idx="151">
                  <c:v>25</c:v>
                </c:pt>
                <c:pt idx="152">
                  <c:v>25</c:v>
                </c:pt>
                <c:pt idx="153">
                  <c:v>25</c:v>
                </c:pt>
                <c:pt idx="154">
                  <c:v>26</c:v>
                </c:pt>
                <c:pt idx="155">
                  <c:v>26</c:v>
                </c:pt>
                <c:pt idx="156">
                  <c:v>26</c:v>
                </c:pt>
                <c:pt idx="157">
                  <c:v>26</c:v>
                </c:pt>
                <c:pt idx="158">
                  <c:v>26</c:v>
                </c:pt>
                <c:pt idx="159">
                  <c:v>26</c:v>
                </c:pt>
                <c:pt idx="160">
                  <c:v>27</c:v>
                </c:pt>
                <c:pt idx="161">
                  <c:v>27</c:v>
                </c:pt>
                <c:pt idx="162">
                  <c:v>27</c:v>
                </c:pt>
                <c:pt idx="163">
                  <c:v>27</c:v>
                </c:pt>
                <c:pt idx="164">
                  <c:v>27</c:v>
                </c:pt>
                <c:pt idx="165">
                  <c:v>27</c:v>
                </c:pt>
                <c:pt idx="166">
                  <c:v>28</c:v>
                </c:pt>
                <c:pt idx="167">
                  <c:v>28</c:v>
                </c:pt>
                <c:pt idx="168">
                  <c:v>28</c:v>
                </c:pt>
                <c:pt idx="169">
                  <c:v>28</c:v>
                </c:pt>
                <c:pt idx="170">
                  <c:v>28</c:v>
                </c:pt>
                <c:pt idx="171">
                  <c:v>28</c:v>
                </c:pt>
                <c:pt idx="172">
                  <c:v>29</c:v>
                </c:pt>
                <c:pt idx="173">
                  <c:v>29</c:v>
                </c:pt>
                <c:pt idx="174">
                  <c:v>29</c:v>
                </c:pt>
                <c:pt idx="175">
                  <c:v>29</c:v>
                </c:pt>
                <c:pt idx="176">
                  <c:v>29</c:v>
                </c:pt>
                <c:pt idx="177">
                  <c:v>29</c:v>
                </c:pt>
                <c:pt idx="178">
                  <c:v>30</c:v>
                </c:pt>
                <c:pt idx="179">
                  <c:v>30</c:v>
                </c:pt>
                <c:pt idx="180">
                  <c:v>30</c:v>
                </c:pt>
                <c:pt idx="181">
                  <c:v>30</c:v>
                </c:pt>
                <c:pt idx="182">
                  <c:v>30</c:v>
                </c:pt>
                <c:pt idx="183">
                  <c:v>30</c:v>
                </c:pt>
                <c:pt idx="184">
                  <c:v>31</c:v>
                </c:pt>
                <c:pt idx="185">
                  <c:v>31</c:v>
                </c:pt>
                <c:pt idx="186">
                  <c:v>31</c:v>
                </c:pt>
                <c:pt idx="187">
                  <c:v>31</c:v>
                </c:pt>
                <c:pt idx="188">
                  <c:v>31</c:v>
                </c:pt>
                <c:pt idx="189">
                  <c:v>31</c:v>
                </c:pt>
                <c:pt idx="190">
                  <c:v>32</c:v>
                </c:pt>
                <c:pt idx="191">
                  <c:v>32</c:v>
                </c:pt>
                <c:pt idx="192">
                  <c:v>32</c:v>
                </c:pt>
                <c:pt idx="193">
                  <c:v>32</c:v>
                </c:pt>
                <c:pt idx="194">
                  <c:v>32</c:v>
                </c:pt>
                <c:pt idx="195">
                  <c:v>32</c:v>
                </c:pt>
                <c:pt idx="196">
                  <c:v>33</c:v>
                </c:pt>
                <c:pt idx="197">
                  <c:v>33</c:v>
                </c:pt>
                <c:pt idx="198">
                  <c:v>33</c:v>
                </c:pt>
                <c:pt idx="199">
                  <c:v>33</c:v>
                </c:pt>
              </c:strCache>
            </c:strRef>
          </c:cat>
          <c:val>
            <c:numRef>
              <c:f>'0608-a'!$C$2:$C$203</c:f>
              <c:numCache>
                <c:formatCode>0</c:formatCode>
                <c:ptCount val="202"/>
                <c:pt idx="0">
                  <c:v>23.82</c:v>
                </c:pt>
                <c:pt idx="1">
                  <c:v>23.87</c:v>
                </c:pt>
                <c:pt idx="2">
                  <c:v>23.85</c:v>
                </c:pt>
                <c:pt idx="3">
                  <c:v>24.02</c:v>
                </c:pt>
                <c:pt idx="4">
                  <c:v>24.14</c:v>
                </c:pt>
                <c:pt idx="5">
                  <c:v>24.51</c:v>
                </c:pt>
                <c:pt idx="6">
                  <c:v>26.66</c:v>
                </c:pt>
                <c:pt idx="7">
                  <c:v>30.51</c:v>
                </c:pt>
                <c:pt idx="8">
                  <c:v>33.94</c:v>
                </c:pt>
                <c:pt idx="9">
                  <c:v>36.58</c:v>
                </c:pt>
                <c:pt idx="10">
                  <c:v>38.69</c:v>
                </c:pt>
                <c:pt idx="11">
                  <c:v>40.11</c:v>
                </c:pt>
                <c:pt idx="12">
                  <c:v>41.4</c:v>
                </c:pt>
                <c:pt idx="13">
                  <c:v>43.29</c:v>
                </c:pt>
                <c:pt idx="14">
                  <c:v>44.4</c:v>
                </c:pt>
                <c:pt idx="15">
                  <c:v>46.37</c:v>
                </c:pt>
                <c:pt idx="16">
                  <c:v>45.76</c:v>
                </c:pt>
                <c:pt idx="17">
                  <c:v>47.42</c:v>
                </c:pt>
                <c:pt idx="18">
                  <c:v>49.44</c:v>
                </c:pt>
                <c:pt idx="19">
                  <c:v>50.43</c:v>
                </c:pt>
                <c:pt idx="20">
                  <c:v>51.19</c:v>
                </c:pt>
                <c:pt idx="21">
                  <c:v>52.46</c:v>
                </c:pt>
                <c:pt idx="22">
                  <c:v>52.26</c:v>
                </c:pt>
                <c:pt idx="23">
                  <c:v>54.14</c:v>
                </c:pt>
                <c:pt idx="24">
                  <c:v>54.37</c:v>
                </c:pt>
                <c:pt idx="25">
                  <c:v>53.97</c:v>
                </c:pt>
                <c:pt idx="26">
                  <c:v>54.98</c:v>
                </c:pt>
                <c:pt idx="27">
                  <c:v>55.06</c:v>
                </c:pt>
                <c:pt idx="28">
                  <c:v>56.19</c:v>
                </c:pt>
                <c:pt idx="29">
                  <c:v>56.23</c:v>
                </c:pt>
                <c:pt idx="30">
                  <c:v>57.59</c:v>
                </c:pt>
                <c:pt idx="31">
                  <c:v>58.06</c:v>
                </c:pt>
                <c:pt idx="32">
                  <c:v>58.41</c:v>
                </c:pt>
                <c:pt idx="33">
                  <c:v>59.54</c:v>
                </c:pt>
                <c:pt idx="34">
                  <c:v>60.24</c:v>
                </c:pt>
                <c:pt idx="35">
                  <c:v>62.2</c:v>
                </c:pt>
                <c:pt idx="36">
                  <c:v>62.54</c:v>
                </c:pt>
                <c:pt idx="37">
                  <c:v>63.64</c:v>
                </c:pt>
                <c:pt idx="38">
                  <c:v>64.040000000000006</c:v>
                </c:pt>
                <c:pt idx="39">
                  <c:v>64.010000000000005</c:v>
                </c:pt>
                <c:pt idx="40">
                  <c:v>64.98</c:v>
                </c:pt>
                <c:pt idx="41">
                  <c:v>66.069999999999993</c:v>
                </c:pt>
                <c:pt idx="42">
                  <c:v>64.66</c:v>
                </c:pt>
                <c:pt idx="43">
                  <c:v>64.959999999999994</c:v>
                </c:pt>
                <c:pt idx="44">
                  <c:v>65.53</c:v>
                </c:pt>
                <c:pt idx="45">
                  <c:v>65.540000000000006</c:v>
                </c:pt>
                <c:pt idx="46">
                  <c:v>67.849999999999994</c:v>
                </c:pt>
                <c:pt idx="47">
                  <c:v>67.38</c:v>
                </c:pt>
                <c:pt idx="48">
                  <c:v>68.41</c:v>
                </c:pt>
                <c:pt idx="49">
                  <c:v>69.06</c:v>
                </c:pt>
                <c:pt idx="50">
                  <c:v>70.59</c:v>
                </c:pt>
                <c:pt idx="51">
                  <c:v>71.540000000000006</c:v>
                </c:pt>
                <c:pt idx="52">
                  <c:v>72.31</c:v>
                </c:pt>
                <c:pt idx="53">
                  <c:v>73.33</c:v>
                </c:pt>
                <c:pt idx="54">
                  <c:v>72.22</c:v>
                </c:pt>
                <c:pt idx="55">
                  <c:v>72.66</c:v>
                </c:pt>
                <c:pt idx="56">
                  <c:v>73.14</c:v>
                </c:pt>
                <c:pt idx="57">
                  <c:v>74.27</c:v>
                </c:pt>
                <c:pt idx="58">
                  <c:v>75.11</c:v>
                </c:pt>
                <c:pt idx="59">
                  <c:v>74.7</c:v>
                </c:pt>
                <c:pt idx="60">
                  <c:v>75.66</c:v>
                </c:pt>
                <c:pt idx="61">
                  <c:v>74.73</c:v>
                </c:pt>
                <c:pt idx="62">
                  <c:v>75.7</c:v>
                </c:pt>
                <c:pt idx="63">
                  <c:v>76.819999999999993</c:v>
                </c:pt>
                <c:pt idx="64">
                  <c:v>76</c:v>
                </c:pt>
                <c:pt idx="65">
                  <c:v>75.09</c:v>
                </c:pt>
                <c:pt idx="66">
                  <c:v>74.510000000000005</c:v>
                </c:pt>
                <c:pt idx="67">
                  <c:v>75.959999999999994</c:v>
                </c:pt>
                <c:pt idx="68">
                  <c:v>77.47</c:v>
                </c:pt>
                <c:pt idx="69">
                  <c:v>77.88</c:v>
                </c:pt>
                <c:pt idx="70">
                  <c:v>78.069999999999993</c:v>
                </c:pt>
                <c:pt idx="71">
                  <c:v>78.63</c:v>
                </c:pt>
                <c:pt idx="72">
                  <c:v>78.569999999999993</c:v>
                </c:pt>
                <c:pt idx="73">
                  <c:v>79.98</c:v>
                </c:pt>
                <c:pt idx="74">
                  <c:v>81.25</c:v>
                </c:pt>
                <c:pt idx="75">
                  <c:v>80.28</c:v>
                </c:pt>
                <c:pt idx="76">
                  <c:v>81.53</c:v>
                </c:pt>
                <c:pt idx="77">
                  <c:v>80.03</c:v>
                </c:pt>
                <c:pt idx="78">
                  <c:v>80.72</c:v>
                </c:pt>
                <c:pt idx="79">
                  <c:v>81.38</c:v>
                </c:pt>
                <c:pt idx="80">
                  <c:v>82.45</c:v>
                </c:pt>
                <c:pt idx="81">
                  <c:v>82.05</c:v>
                </c:pt>
                <c:pt idx="82">
                  <c:v>82.17</c:v>
                </c:pt>
                <c:pt idx="83">
                  <c:v>82.33</c:v>
                </c:pt>
                <c:pt idx="84">
                  <c:v>82.63</c:v>
                </c:pt>
                <c:pt idx="85">
                  <c:v>83.61</c:v>
                </c:pt>
                <c:pt idx="86">
                  <c:v>84.3</c:v>
                </c:pt>
                <c:pt idx="87">
                  <c:v>84.2</c:v>
                </c:pt>
                <c:pt idx="88">
                  <c:v>83.97</c:v>
                </c:pt>
                <c:pt idx="89">
                  <c:v>84.94</c:v>
                </c:pt>
                <c:pt idx="90">
                  <c:v>84.44</c:v>
                </c:pt>
                <c:pt idx="91">
                  <c:v>86.36</c:v>
                </c:pt>
                <c:pt idx="92">
                  <c:v>84.27</c:v>
                </c:pt>
                <c:pt idx="93">
                  <c:v>85.09</c:v>
                </c:pt>
                <c:pt idx="94">
                  <c:v>86.6</c:v>
                </c:pt>
                <c:pt idx="95">
                  <c:v>86.67</c:v>
                </c:pt>
                <c:pt idx="96">
                  <c:v>87.06</c:v>
                </c:pt>
                <c:pt idx="97">
                  <c:v>86.49</c:v>
                </c:pt>
                <c:pt idx="98">
                  <c:v>86.28</c:v>
                </c:pt>
                <c:pt idx="99">
                  <c:v>87.31</c:v>
                </c:pt>
                <c:pt idx="100">
                  <c:v>87.12</c:v>
                </c:pt>
                <c:pt idx="101">
                  <c:v>88.5</c:v>
                </c:pt>
                <c:pt idx="102">
                  <c:v>88.63</c:v>
                </c:pt>
                <c:pt idx="103">
                  <c:v>89.53</c:v>
                </c:pt>
                <c:pt idx="104">
                  <c:v>89.95</c:v>
                </c:pt>
                <c:pt idx="105">
                  <c:v>89.65</c:v>
                </c:pt>
                <c:pt idx="106">
                  <c:v>90.49</c:v>
                </c:pt>
                <c:pt idx="107">
                  <c:v>90.33</c:v>
                </c:pt>
                <c:pt idx="108">
                  <c:v>90.46</c:v>
                </c:pt>
                <c:pt idx="109">
                  <c:v>90.47</c:v>
                </c:pt>
                <c:pt idx="110">
                  <c:v>90.92</c:v>
                </c:pt>
                <c:pt idx="111">
                  <c:v>91.62</c:v>
                </c:pt>
                <c:pt idx="112">
                  <c:v>90.03</c:v>
                </c:pt>
                <c:pt idx="113">
                  <c:v>90.97</c:v>
                </c:pt>
                <c:pt idx="114">
                  <c:v>92.67</c:v>
                </c:pt>
                <c:pt idx="115">
                  <c:v>92.32</c:v>
                </c:pt>
                <c:pt idx="116">
                  <c:v>92.36</c:v>
                </c:pt>
                <c:pt idx="117">
                  <c:v>93.33</c:v>
                </c:pt>
                <c:pt idx="118">
                  <c:v>94.24</c:v>
                </c:pt>
                <c:pt idx="119">
                  <c:v>93.94</c:v>
                </c:pt>
                <c:pt idx="120">
                  <c:v>93.85</c:v>
                </c:pt>
                <c:pt idx="121">
                  <c:v>94.42</c:v>
                </c:pt>
                <c:pt idx="122">
                  <c:v>94.07</c:v>
                </c:pt>
                <c:pt idx="123">
                  <c:v>94.75</c:v>
                </c:pt>
                <c:pt idx="124">
                  <c:v>95.46</c:v>
                </c:pt>
                <c:pt idx="125">
                  <c:v>94.46</c:v>
                </c:pt>
                <c:pt idx="126">
                  <c:v>94.83</c:v>
                </c:pt>
                <c:pt idx="127">
                  <c:v>95.36</c:v>
                </c:pt>
                <c:pt idx="128">
                  <c:v>95.81</c:v>
                </c:pt>
                <c:pt idx="129">
                  <c:v>95.97</c:v>
                </c:pt>
                <c:pt idx="130">
                  <c:v>96.52</c:v>
                </c:pt>
                <c:pt idx="131">
                  <c:v>96.09</c:v>
                </c:pt>
                <c:pt idx="132">
                  <c:v>96.72</c:v>
                </c:pt>
                <c:pt idx="133">
                  <c:v>96.69</c:v>
                </c:pt>
                <c:pt idx="134">
                  <c:v>97.57</c:v>
                </c:pt>
                <c:pt idx="135">
                  <c:v>98.47</c:v>
                </c:pt>
                <c:pt idx="136">
                  <c:v>97.33</c:v>
                </c:pt>
                <c:pt idx="137">
                  <c:v>98.01</c:v>
                </c:pt>
                <c:pt idx="138">
                  <c:v>97.39</c:v>
                </c:pt>
                <c:pt idx="139">
                  <c:v>98.72</c:v>
                </c:pt>
                <c:pt idx="140">
                  <c:v>99.31</c:v>
                </c:pt>
                <c:pt idx="141">
                  <c:v>99.15</c:v>
                </c:pt>
                <c:pt idx="142">
                  <c:v>100</c:v>
                </c:pt>
                <c:pt idx="143">
                  <c:v>100.39</c:v>
                </c:pt>
                <c:pt idx="144">
                  <c:v>100.98</c:v>
                </c:pt>
                <c:pt idx="145">
                  <c:v>99.86</c:v>
                </c:pt>
                <c:pt idx="146">
                  <c:v>100.1</c:v>
                </c:pt>
                <c:pt idx="147">
                  <c:v>100.76</c:v>
                </c:pt>
                <c:pt idx="148">
                  <c:v>101.11</c:v>
                </c:pt>
                <c:pt idx="149">
                  <c:v>101.25</c:v>
                </c:pt>
                <c:pt idx="150">
                  <c:v>101.55</c:v>
                </c:pt>
                <c:pt idx="151">
                  <c:v>102.39</c:v>
                </c:pt>
                <c:pt idx="152">
                  <c:v>100.52</c:v>
                </c:pt>
                <c:pt idx="153">
                  <c:v>99.92</c:v>
                </c:pt>
                <c:pt idx="154">
                  <c:v>101.5</c:v>
                </c:pt>
                <c:pt idx="155">
                  <c:v>102.28</c:v>
                </c:pt>
                <c:pt idx="156">
                  <c:v>102.94</c:v>
                </c:pt>
                <c:pt idx="157">
                  <c:v>103.79</c:v>
                </c:pt>
                <c:pt idx="158">
                  <c:v>103.26</c:v>
                </c:pt>
                <c:pt idx="159">
                  <c:v>103.25</c:v>
                </c:pt>
                <c:pt idx="160">
                  <c:v>103.48</c:v>
                </c:pt>
                <c:pt idx="161">
                  <c:v>103.6</c:v>
                </c:pt>
                <c:pt idx="162">
                  <c:v>104.75</c:v>
                </c:pt>
                <c:pt idx="163">
                  <c:v>104.1</c:v>
                </c:pt>
                <c:pt idx="164">
                  <c:v>104.52</c:v>
                </c:pt>
                <c:pt idx="165">
                  <c:v>103.91</c:v>
                </c:pt>
                <c:pt idx="166">
                  <c:v>103.42</c:v>
                </c:pt>
                <c:pt idx="167">
                  <c:v>103.84</c:v>
                </c:pt>
                <c:pt idx="168">
                  <c:v>104.61</c:v>
                </c:pt>
                <c:pt idx="169">
                  <c:v>104.84</c:v>
                </c:pt>
                <c:pt idx="170">
                  <c:v>103.25</c:v>
                </c:pt>
                <c:pt idx="171">
                  <c:v>104.34</c:v>
                </c:pt>
                <c:pt idx="172">
                  <c:v>105.6</c:v>
                </c:pt>
                <c:pt idx="173">
                  <c:v>105.14</c:v>
                </c:pt>
                <c:pt idx="174">
                  <c:v>105.01</c:v>
                </c:pt>
                <c:pt idx="175">
                  <c:v>104.85</c:v>
                </c:pt>
                <c:pt idx="176">
                  <c:v>105.92</c:v>
                </c:pt>
                <c:pt idx="177">
                  <c:v>106.9</c:v>
                </c:pt>
                <c:pt idx="178">
                  <c:v>107.31</c:v>
                </c:pt>
                <c:pt idx="179">
                  <c:v>107.3</c:v>
                </c:pt>
                <c:pt idx="180">
                  <c:v>106.42</c:v>
                </c:pt>
                <c:pt idx="181">
                  <c:v>106.48</c:v>
                </c:pt>
                <c:pt idx="182">
                  <c:v>107.19</c:v>
                </c:pt>
                <c:pt idx="183">
                  <c:v>107</c:v>
                </c:pt>
                <c:pt idx="184">
                  <c:v>106.65</c:v>
                </c:pt>
                <c:pt idx="185">
                  <c:v>107.57</c:v>
                </c:pt>
                <c:pt idx="186">
                  <c:v>107.72</c:v>
                </c:pt>
                <c:pt idx="187">
                  <c:v>107.89</c:v>
                </c:pt>
                <c:pt idx="188">
                  <c:v>108.09</c:v>
                </c:pt>
                <c:pt idx="189">
                  <c:v>108.99</c:v>
                </c:pt>
                <c:pt idx="190">
                  <c:v>108.91</c:v>
                </c:pt>
                <c:pt idx="191">
                  <c:v>108.65</c:v>
                </c:pt>
                <c:pt idx="192">
                  <c:v>108.64</c:v>
                </c:pt>
                <c:pt idx="193">
                  <c:v>108.58</c:v>
                </c:pt>
                <c:pt idx="194">
                  <c:v>109.23</c:v>
                </c:pt>
                <c:pt idx="195">
                  <c:v>109.2</c:v>
                </c:pt>
                <c:pt idx="196">
                  <c:v>109.95</c:v>
                </c:pt>
                <c:pt idx="197">
                  <c:v>110</c:v>
                </c:pt>
                <c:pt idx="198">
                  <c:v>110.14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CD-4E87-A20E-F4D4DAD80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937424"/>
        <c:axId val="450949904"/>
      </c:lineChart>
      <c:catAx>
        <c:axId val="450937424"/>
        <c:scaling>
          <c:orientation val="minMax"/>
        </c:scaling>
        <c:delete val="0"/>
        <c:axPos val="b"/>
        <c:numFmt formatCode="General" sourceLinked="1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450949904"/>
        <c:crosses val="autoZero"/>
        <c:auto val="1"/>
        <c:lblAlgn val="ctr"/>
        <c:lblOffset val="100"/>
        <c:tickMarkSkip val="10"/>
        <c:noMultiLvlLbl val="0"/>
      </c:catAx>
      <c:valAx>
        <c:axId val="45094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out"/>
        <c:minorTickMark val="in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450937424"/>
        <c:crosses val="autoZero"/>
        <c:crossBetween val="midCat"/>
        <c:majorUnit val="10"/>
        <c:min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PID Tune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'0609-a'!$C$1</c:f>
              <c:strCache>
                <c:ptCount val="1"/>
                <c:pt idx="0">
                  <c:v>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'0609-a'!$B$1:$B$114</c:f>
              <c:strCache>
                <c:ptCount val="114"/>
                <c:pt idx="0">
                  <c:v>minutes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6</c:v>
                </c:pt>
                <c:pt idx="35">
                  <c:v>6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8</c:v>
                </c:pt>
                <c:pt idx="52">
                  <c:v>9</c:v>
                </c:pt>
                <c:pt idx="53">
                  <c:v>9</c:v>
                </c:pt>
                <c:pt idx="54">
                  <c:v>9</c:v>
                </c:pt>
                <c:pt idx="55">
                  <c:v>9</c:v>
                </c:pt>
                <c:pt idx="56">
                  <c:v>9</c:v>
                </c:pt>
                <c:pt idx="57">
                  <c:v>9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11</c:v>
                </c:pt>
                <c:pt idx="65">
                  <c:v>11</c:v>
                </c:pt>
                <c:pt idx="66">
                  <c:v>11</c:v>
                </c:pt>
                <c:pt idx="67">
                  <c:v>11</c:v>
                </c:pt>
                <c:pt idx="68">
                  <c:v>11</c:v>
                </c:pt>
                <c:pt idx="69">
                  <c:v>11</c:v>
                </c:pt>
                <c:pt idx="70">
                  <c:v>12</c:v>
                </c:pt>
                <c:pt idx="71">
                  <c:v>12</c:v>
                </c:pt>
                <c:pt idx="72">
                  <c:v>12</c:v>
                </c:pt>
                <c:pt idx="73">
                  <c:v>12</c:v>
                </c:pt>
                <c:pt idx="74">
                  <c:v>12</c:v>
                </c:pt>
                <c:pt idx="75">
                  <c:v>12</c:v>
                </c:pt>
                <c:pt idx="76">
                  <c:v>13</c:v>
                </c:pt>
                <c:pt idx="77">
                  <c:v>13</c:v>
                </c:pt>
                <c:pt idx="78">
                  <c:v>13</c:v>
                </c:pt>
                <c:pt idx="79">
                  <c:v>13</c:v>
                </c:pt>
                <c:pt idx="80">
                  <c:v>13</c:v>
                </c:pt>
                <c:pt idx="81">
                  <c:v>13</c:v>
                </c:pt>
                <c:pt idx="82">
                  <c:v>14</c:v>
                </c:pt>
                <c:pt idx="83">
                  <c:v>14</c:v>
                </c:pt>
                <c:pt idx="84">
                  <c:v>14</c:v>
                </c:pt>
                <c:pt idx="85">
                  <c:v>14</c:v>
                </c:pt>
                <c:pt idx="86">
                  <c:v>14</c:v>
                </c:pt>
                <c:pt idx="87">
                  <c:v>14</c:v>
                </c:pt>
                <c:pt idx="88">
                  <c:v>15</c:v>
                </c:pt>
                <c:pt idx="89">
                  <c:v>15</c:v>
                </c:pt>
                <c:pt idx="90">
                  <c:v>15</c:v>
                </c:pt>
                <c:pt idx="91">
                  <c:v>15</c:v>
                </c:pt>
                <c:pt idx="92">
                  <c:v>15</c:v>
                </c:pt>
                <c:pt idx="93">
                  <c:v>15</c:v>
                </c:pt>
                <c:pt idx="94">
                  <c:v>16</c:v>
                </c:pt>
                <c:pt idx="95">
                  <c:v>16</c:v>
                </c:pt>
                <c:pt idx="96">
                  <c:v>16</c:v>
                </c:pt>
                <c:pt idx="97">
                  <c:v>16</c:v>
                </c:pt>
                <c:pt idx="98">
                  <c:v>16</c:v>
                </c:pt>
                <c:pt idx="99">
                  <c:v>16</c:v>
                </c:pt>
                <c:pt idx="100">
                  <c:v>17</c:v>
                </c:pt>
                <c:pt idx="101">
                  <c:v>17</c:v>
                </c:pt>
                <c:pt idx="102">
                  <c:v>17</c:v>
                </c:pt>
                <c:pt idx="103">
                  <c:v>17</c:v>
                </c:pt>
                <c:pt idx="104">
                  <c:v>17</c:v>
                </c:pt>
                <c:pt idx="105">
                  <c:v>17</c:v>
                </c:pt>
                <c:pt idx="106">
                  <c:v>18</c:v>
                </c:pt>
                <c:pt idx="107">
                  <c:v>18</c:v>
                </c:pt>
                <c:pt idx="108">
                  <c:v>18</c:v>
                </c:pt>
                <c:pt idx="109">
                  <c:v>18</c:v>
                </c:pt>
                <c:pt idx="110">
                  <c:v>18</c:v>
                </c:pt>
                <c:pt idx="111">
                  <c:v>18</c:v>
                </c:pt>
                <c:pt idx="112">
                  <c:v>19</c:v>
                </c:pt>
                <c:pt idx="113">
                  <c:v>19</c:v>
                </c:pt>
              </c:strCache>
            </c:strRef>
          </c:cat>
          <c:val>
            <c:numRef>
              <c:f>'0609-a'!$C$2:$C$114</c:f>
              <c:numCache>
                <c:formatCode>General</c:formatCode>
                <c:ptCount val="113"/>
                <c:pt idx="0">
                  <c:v>24.1</c:v>
                </c:pt>
                <c:pt idx="1">
                  <c:v>24.1</c:v>
                </c:pt>
                <c:pt idx="2">
                  <c:v>24.2</c:v>
                </c:pt>
                <c:pt idx="3">
                  <c:v>28.2</c:v>
                </c:pt>
                <c:pt idx="4">
                  <c:v>33.200000000000003</c:v>
                </c:pt>
                <c:pt idx="5">
                  <c:v>36</c:v>
                </c:pt>
                <c:pt idx="6">
                  <c:v>38.200000000000003</c:v>
                </c:pt>
                <c:pt idx="7">
                  <c:v>39.700000000000003</c:v>
                </c:pt>
                <c:pt idx="8">
                  <c:v>41.2</c:v>
                </c:pt>
                <c:pt idx="9">
                  <c:v>42.4</c:v>
                </c:pt>
                <c:pt idx="10">
                  <c:v>43</c:v>
                </c:pt>
                <c:pt idx="11">
                  <c:v>44.2</c:v>
                </c:pt>
                <c:pt idx="12">
                  <c:v>44.7</c:v>
                </c:pt>
                <c:pt idx="13">
                  <c:v>45.9</c:v>
                </c:pt>
                <c:pt idx="14">
                  <c:v>46.4</c:v>
                </c:pt>
                <c:pt idx="15">
                  <c:v>47.2</c:v>
                </c:pt>
                <c:pt idx="16">
                  <c:v>47.8</c:v>
                </c:pt>
                <c:pt idx="17">
                  <c:v>48.6</c:v>
                </c:pt>
                <c:pt idx="18">
                  <c:v>49.3</c:v>
                </c:pt>
                <c:pt idx="19">
                  <c:v>49.6</c:v>
                </c:pt>
                <c:pt idx="20">
                  <c:v>50.4</c:v>
                </c:pt>
                <c:pt idx="21">
                  <c:v>51.2</c:v>
                </c:pt>
                <c:pt idx="22">
                  <c:v>51.6</c:v>
                </c:pt>
                <c:pt idx="23">
                  <c:v>52.2</c:v>
                </c:pt>
                <c:pt idx="24">
                  <c:v>52.5</c:v>
                </c:pt>
                <c:pt idx="25">
                  <c:v>53.1</c:v>
                </c:pt>
                <c:pt idx="26">
                  <c:v>54.1</c:v>
                </c:pt>
                <c:pt idx="27">
                  <c:v>53.7</c:v>
                </c:pt>
                <c:pt idx="28">
                  <c:v>53.9</c:v>
                </c:pt>
                <c:pt idx="29">
                  <c:v>55.4</c:v>
                </c:pt>
                <c:pt idx="30">
                  <c:v>55.8</c:v>
                </c:pt>
                <c:pt idx="31">
                  <c:v>56.7</c:v>
                </c:pt>
                <c:pt idx="32">
                  <c:v>56.4</c:v>
                </c:pt>
                <c:pt idx="33">
                  <c:v>57.2</c:v>
                </c:pt>
                <c:pt idx="34">
                  <c:v>57.3</c:v>
                </c:pt>
                <c:pt idx="35">
                  <c:v>57.8</c:v>
                </c:pt>
                <c:pt idx="36">
                  <c:v>58.2</c:v>
                </c:pt>
                <c:pt idx="37">
                  <c:v>58.3</c:v>
                </c:pt>
                <c:pt idx="38">
                  <c:v>58.8</c:v>
                </c:pt>
                <c:pt idx="39">
                  <c:v>59.4</c:v>
                </c:pt>
                <c:pt idx="40">
                  <c:v>59.7</c:v>
                </c:pt>
                <c:pt idx="41">
                  <c:v>59.6</c:v>
                </c:pt>
                <c:pt idx="42">
                  <c:v>59.8</c:v>
                </c:pt>
                <c:pt idx="43">
                  <c:v>59.5</c:v>
                </c:pt>
                <c:pt idx="44">
                  <c:v>59.9</c:v>
                </c:pt>
                <c:pt idx="45">
                  <c:v>60.9</c:v>
                </c:pt>
                <c:pt idx="46">
                  <c:v>61.5</c:v>
                </c:pt>
                <c:pt idx="47">
                  <c:v>61.9</c:v>
                </c:pt>
                <c:pt idx="48">
                  <c:v>61.9</c:v>
                </c:pt>
                <c:pt idx="49">
                  <c:v>62.5</c:v>
                </c:pt>
                <c:pt idx="50">
                  <c:v>62.6</c:v>
                </c:pt>
                <c:pt idx="51">
                  <c:v>62.8</c:v>
                </c:pt>
                <c:pt idx="52">
                  <c:v>63.2</c:v>
                </c:pt>
                <c:pt idx="53">
                  <c:v>63.2</c:v>
                </c:pt>
                <c:pt idx="54">
                  <c:v>63.8</c:v>
                </c:pt>
                <c:pt idx="55">
                  <c:v>64.3</c:v>
                </c:pt>
                <c:pt idx="56">
                  <c:v>64.5</c:v>
                </c:pt>
                <c:pt idx="57">
                  <c:v>64.8</c:v>
                </c:pt>
                <c:pt idx="58">
                  <c:v>65.599999999999994</c:v>
                </c:pt>
                <c:pt idx="59">
                  <c:v>66.400000000000006</c:v>
                </c:pt>
                <c:pt idx="60">
                  <c:v>66.599999999999994</c:v>
                </c:pt>
                <c:pt idx="61">
                  <c:v>67</c:v>
                </c:pt>
                <c:pt idx="62">
                  <c:v>66.7</c:v>
                </c:pt>
                <c:pt idx="63">
                  <c:v>67.5</c:v>
                </c:pt>
                <c:pt idx="64">
                  <c:v>67.5</c:v>
                </c:pt>
                <c:pt idx="65">
                  <c:v>68.400000000000006</c:v>
                </c:pt>
                <c:pt idx="66">
                  <c:v>68</c:v>
                </c:pt>
                <c:pt idx="67">
                  <c:v>67.8</c:v>
                </c:pt>
                <c:pt idx="68">
                  <c:v>68.8</c:v>
                </c:pt>
                <c:pt idx="69">
                  <c:v>69.400000000000006</c:v>
                </c:pt>
                <c:pt idx="70">
                  <c:v>69.7</c:v>
                </c:pt>
                <c:pt idx="71">
                  <c:v>69.5</c:v>
                </c:pt>
                <c:pt idx="72">
                  <c:v>69.900000000000006</c:v>
                </c:pt>
                <c:pt idx="73">
                  <c:v>70.099999999999994</c:v>
                </c:pt>
                <c:pt idx="74">
                  <c:v>70.900000000000006</c:v>
                </c:pt>
                <c:pt idx="75">
                  <c:v>70.5</c:v>
                </c:pt>
                <c:pt idx="76">
                  <c:v>70.599999999999994</c:v>
                </c:pt>
                <c:pt idx="77">
                  <c:v>70.5</c:v>
                </c:pt>
                <c:pt idx="78">
                  <c:v>71.8</c:v>
                </c:pt>
                <c:pt idx="79">
                  <c:v>72.5</c:v>
                </c:pt>
                <c:pt idx="80">
                  <c:v>72.599999999999994</c:v>
                </c:pt>
                <c:pt idx="81">
                  <c:v>71.900000000000006</c:v>
                </c:pt>
                <c:pt idx="82">
                  <c:v>72.599999999999994</c:v>
                </c:pt>
                <c:pt idx="83">
                  <c:v>73.099999999999994</c:v>
                </c:pt>
                <c:pt idx="84">
                  <c:v>73.099999999999994</c:v>
                </c:pt>
                <c:pt idx="85">
                  <c:v>73.400000000000006</c:v>
                </c:pt>
                <c:pt idx="86">
                  <c:v>73.5</c:v>
                </c:pt>
                <c:pt idx="87">
                  <c:v>74.099999999999994</c:v>
                </c:pt>
                <c:pt idx="88">
                  <c:v>74.2</c:v>
                </c:pt>
                <c:pt idx="89">
                  <c:v>74.5</c:v>
                </c:pt>
                <c:pt idx="90">
                  <c:v>74.900000000000006</c:v>
                </c:pt>
                <c:pt idx="91">
                  <c:v>75.2</c:v>
                </c:pt>
                <c:pt idx="92">
                  <c:v>75.2</c:v>
                </c:pt>
                <c:pt idx="93">
                  <c:v>75.8</c:v>
                </c:pt>
                <c:pt idx="94">
                  <c:v>76.099999999999994</c:v>
                </c:pt>
                <c:pt idx="95">
                  <c:v>76.3</c:v>
                </c:pt>
                <c:pt idx="96">
                  <c:v>76.400000000000006</c:v>
                </c:pt>
                <c:pt idx="97">
                  <c:v>76.2</c:v>
                </c:pt>
                <c:pt idx="98">
                  <c:v>76.7</c:v>
                </c:pt>
                <c:pt idx="99">
                  <c:v>77.2</c:v>
                </c:pt>
                <c:pt idx="100">
                  <c:v>77.099999999999994</c:v>
                </c:pt>
                <c:pt idx="101">
                  <c:v>76.8</c:v>
                </c:pt>
                <c:pt idx="102">
                  <c:v>78.2</c:v>
                </c:pt>
                <c:pt idx="103">
                  <c:v>77.5</c:v>
                </c:pt>
                <c:pt idx="104">
                  <c:v>77.599999999999994</c:v>
                </c:pt>
                <c:pt idx="105">
                  <c:v>78.099999999999994</c:v>
                </c:pt>
                <c:pt idx="106">
                  <c:v>78.900000000000006</c:v>
                </c:pt>
                <c:pt idx="107">
                  <c:v>79.3</c:v>
                </c:pt>
                <c:pt idx="108">
                  <c:v>79</c:v>
                </c:pt>
                <c:pt idx="109">
                  <c:v>78.3</c:v>
                </c:pt>
                <c:pt idx="110">
                  <c:v>78.599999999999994</c:v>
                </c:pt>
                <c:pt idx="111">
                  <c:v>79</c:v>
                </c:pt>
                <c:pt idx="112">
                  <c:v>80.099999999999994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B7-424E-9AD2-2B9C0CB39E4D}"/>
            </c:ext>
          </c:extLst>
        </c:ser>
        <c:ser>
          <c:idx val="1"/>
          <c:order val="1"/>
          <c:tx>
            <c:strRef>
              <c:f>'0609-a'!$D$1</c:f>
              <c:strCache>
                <c:ptCount val="1"/>
                <c:pt idx="0">
                  <c:v>PWM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'0609-a'!$B$1:$B$114</c:f>
              <c:strCache>
                <c:ptCount val="114"/>
                <c:pt idx="0">
                  <c:v>minutes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6</c:v>
                </c:pt>
                <c:pt idx="35">
                  <c:v>6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8</c:v>
                </c:pt>
                <c:pt idx="52">
                  <c:v>9</c:v>
                </c:pt>
                <c:pt idx="53">
                  <c:v>9</c:v>
                </c:pt>
                <c:pt idx="54">
                  <c:v>9</c:v>
                </c:pt>
                <c:pt idx="55">
                  <c:v>9</c:v>
                </c:pt>
                <c:pt idx="56">
                  <c:v>9</c:v>
                </c:pt>
                <c:pt idx="57">
                  <c:v>9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11</c:v>
                </c:pt>
                <c:pt idx="65">
                  <c:v>11</c:v>
                </c:pt>
                <c:pt idx="66">
                  <c:v>11</c:v>
                </c:pt>
                <c:pt idx="67">
                  <c:v>11</c:v>
                </c:pt>
                <c:pt idx="68">
                  <c:v>11</c:v>
                </c:pt>
                <c:pt idx="69">
                  <c:v>11</c:v>
                </c:pt>
                <c:pt idx="70">
                  <c:v>12</c:v>
                </c:pt>
                <c:pt idx="71">
                  <c:v>12</c:v>
                </c:pt>
                <c:pt idx="72">
                  <c:v>12</c:v>
                </c:pt>
                <c:pt idx="73">
                  <c:v>12</c:v>
                </c:pt>
                <c:pt idx="74">
                  <c:v>12</c:v>
                </c:pt>
                <c:pt idx="75">
                  <c:v>12</c:v>
                </c:pt>
                <c:pt idx="76">
                  <c:v>13</c:v>
                </c:pt>
                <c:pt idx="77">
                  <c:v>13</c:v>
                </c:pt>
                <c:pt idx="78">
                  <c:v>13</c:v>
                </c:pt>
                <c:pt idx="79">
                  <c:v>13</c:v>
                </c:pt>
                <c:pt idx="80">
                  <c:v>13</c:v>
                </c:pt>
                <c:pt idx="81">
                  <c:v>13</c:v>
                </c:pt>
                <c:pt idx="82">
                  <c:v>14</c:v>
                </c:pt>
                <c:pt idx="83">
                  <c:v>14</c:v>
                </c:pt>
                <c:pt idx="84">
                  <c:v>14</c:v>
                </c:pt>
                <c:pt idx="85">
                  <c:v>14</c:v>
                </c:pt>
                <c:pt idx="86">
                  <c:v>14</c:v>
                </c:pt>
                <c:pt idx="87">
                  <c:v>14</c:v>
                </c:pt>
                <c:pt idx="88">
                  <c:v>15</c:v>
                </c:pt>
                <c:pt idx="89">
                  <c:v>15</c:v>
                </c:pt>
                <c:pt idx="90">
                  <c:v>15</c:v>
                </c:pt>
                <c:pt idx="91">
                  <c:v>15</c:v>
                </c:pt>
                <c:pt idx="92">
                  <c:v>15</c:v>
                </c:pt>
                <c:pt idx="93">
                  <c:v>15</c:v>
                </c:pt>
                <c:pt idx="94">
                  <c:v>16</c:v>
                </c:pt>
                <c:pt idx="95">
                  <c:v>16</c:v>
                </c:pt>
                <c:pt idx="96">
                  <c:v>16</c:v>
                </c:pt>
                <c:pt idx="97">
                  <c:v>16</c:v>
                </c:pt>
                <c:pt idx="98">
                  <c:v>16</c:v>
                </c:pt>
                <c:pt idx="99">
                  <c:v>16</c:v>
                </c:pt>
                <c:pt idx="100">
                  <c:v>17</c:v>
                </c:pt>
                <c:pt idx="101">
                  <c:v>17</c:v>
                </c:pt>
                <c:pt idx="102">
                  <c:v>17</c:v>
                </c:pt>
                <c:pt idx="103">
                  <c:v>17</c:v>
                </c:pt>
                <c:pt idx="104">
                  <c:v>17</c:v>
                </c:pt>
                <c:pt idx="105">
                  <c:v>17</c:v>
                </c:pt>
                <c:pt idx="106">
                  <c:v>18</c:v>
                </c:pt>
                <c:pt idx="107">
                  <c:v>18</c:v>
                </c:pt>
                <c:pt idx="108">
                  <c:v>18</c:v>
                </c:pt>
                <c:pt idx="109">
                  <c:v>18</c:v>
                </c:pt>
                <c:pt idx="110">
                  <c:v>18</c:v>
                </c:pt>
                <c:pt idx="111">
                  <c:v>18</c:v>
                </c:pt>
                <c:pt idx="112">
                  <c:v>19</c:v>
                </c:pt>
                <c:pt idx="113">
                  <c:v>19</c:v>
                </c:pt>
              </c:strCache>
            </c:strRef>
          </c:cat>
          <c:val>
            <c:numRef>
              <c:f>'0609-a'!$D$2:$D$114</c:f>
              <c:numCache>
                <c:formatCode>General</c:formatCode>
                <c:ptCount val="113"/>
                <c:pt idx="0">
                  <c:v>18.5</c:v>
                </c:pt>
                <c:pt idx="1">
                  <c:v>89.5</c:v>
                </c:pt>
                <c:pt idx="2">
                  <c:v>98.6</c:v>
                </c:pt>
                <c:pt idx="3">
                  <c:v>99.8</c:v>
                </c:pt>
                <c:pt idx="4">
                  <c:v>99.9</c:v>
                </c:pt>
                <c:pt idx="5">
                  <c:v>99.9</c:v>
                </c:pt>
                <c:pt idx="6">
                  <c:v>99.9</c:v>
                </c:pt>
                <c:pt idx="7">
                  <c:v>99.9</c:v>
                </c:pt>
                <c:pt idx="8">
                  <c:v>99.9</c:v>
                </c:pt>
                <c:pt idx="9">
                  <c:v>99.9</c:v>
                </c:pt>
                <c:pt idx="10">
                  <c:v>99.9</c:v>
                </c:pt>
                <c:pt idx="11">
                  <c:v>99.9</c:v>
                </c:pt>
                <c:pt idx="12">
                  <c:v>99.9</c:v>
                </c:pt>
                <c:pt idx="13">
                  <c:v>99.9</c:v>
                </c:pt>
                <c:pt idx="14">
                  <c:v>99.9</c:v>
                </c:pt>
                <c:pt idx="15">
                  <c:v>99.9</c:v>
                </c:pt>
                <c:pt idx="16">
                  <c:v>99.9</c:v>
                </c:pt>
                <c:pt idx="17">
                  <c:v>99.9</c:v>
                </c:pt>
                <c:pt idx="18">
                  <c:v>99.9</c:v>
                </c:pt>
                <c:pt idx="19">
                  <c:v>99.9</c:v>
                </c:pt>
                <c:pt idx="20">
                  <c:v>99.9</c:v>
                </c:pt>
                <c:pt idx="21">
                  <c:v>99.9</c:v>
                </c:pt>
                <c:pt idx="22">
                  <c:v>99.9</c:v>
                </c:pt>
                <c:pt idx="23">
                  <c:v>99.9</c:v>
                </c:pt>
                <c:pt idx="24">
                  <c:v>99.9</c:v>
                </c:pt>
                <c:pt idx="25">
                  <c:v>99.9</c:v>
                </c:pt>
                <c:pt idx="26">
                  <c:v>99.9</c:v>
                </c:pt>
                <c:pt idx="27">
                  <c:v>99.9</c:v>
                </c:pt>
                <c:pt idx="28">
                  <c:v>99.9</c:v>
                </c:pt>
                <c:pt idx="29">
                  <c:v>99.9</c:v>
                </c:pt>
                <c:pt idx="30">
                  <c:v>99.9</c:v>
                </c:pt>
                <c:pt idx="31">
                  <c:v>99.9</c:v>
                </c:pt>
                <c:pt idx="32">
                  <c:v>99.9</c:v>
                </c:pt>
                <c:pt idx="33">
                  <c:v>99.9</c:v>
                </c:pt>
                <c:pt idx="34">
                  <c:v>99.9</c:v>
                </c:pt>
                <c:pt idx="35">
                  <c:v>99.9</c:v>
                </c:pt>
                <c:pt idx="36">
                  <c:v>99.9</c:v>
                </c:pt>
                <c:pt idx="37">
                  <c:v>99.9</c:v>
                </c:pt>
                <c:pt idx="38">
                  <c:v>99.9</c:v>
                </c:pt>
                <c:pt idx="39">
                  <c:v>99.9</c:v>
                </c:pt>
                <c:pt idx="40">
                  <c:v>99.9</c:v>
                </c:pt>
                <c:pt idx="41">
                  <c:v>99.9</c:v>
                </c:pt>
                <c:pt idx="42">
                  <c:v>99.9</c:v>
                </c:pt>
                <c:pt idx="43">
                  <c:v>99.9</c:v>
                </c:pt>
                <c:pt idx="44">
                  <c:v>99.9</c:v>
                </c:pt>
                <c:pt idx="45">
                  <c:v>99.9</c:v>
                </c:pt>
                <c:pt idx="46">
                  <c:v>99.9</c:v>
                </c:pt>
                <c:pt idx="47">
                  <c:v>99.9</c:v>
                </c:pt>
                <c:pt idx="48">
                  <c:v>99.9</c:v>
                </c:pt>
                <c:pt idx="49">
                  <c:v>99.9</c:v>
                </c:pt>
                <c:pt idx="50">
                  <c:v>99.9</c:v>
                </c:pt>
                <c:pt idx="51">
                  <c:v>99.9</c:v>
                </c:pt>
                <c:pt idx="52">
                  <c:v>99.9</c:v>
                </c:pt>
                <c:pt idx="53">
                  <c:v>99.9</c:v>
                </c:pt>
                <c:pt idx="54">
                  <c:v>99.9</c:v>
                </c:pt>
                <c:pt idx="55">
                  <c:v>99.9</c:v>
                </c:pt>
                <c:pt idx="56">
                  <c:v>99.9</c:v>
                </c:pt>
                <c:pt idx="57">
                  <c:v>99.9</c:v>
                </c:pt>
                <c:pt idx="58">
                  <c:v>99.9</c:v>
                </c:pt>
                <c:pt idx="59">
                  <c:v>99.9</c:v>
                </c:pt>
                <c:pt idx="60">
                  <c:v>99.9</c:v>
                </c:pt>
                <c:pt idx="61">
                  <c:v>99.9</c:v>
                </c:pt>
                <c:pt idx="62">
                  <c:v>99.9</c:v>
                </c:pt>
                <c:pt idx="63">
                  <c:v>99.9</c:v>
                </c:pt>
                <c:pt idx="64">
                  <c:v>99.9</c:v>
                </c:pt>
                <c:pt idx="65">
                  <c:v>99.9</c:v>
                </c:pt>
                <c:pt idx="66">
                  <c:v>99.9</c:v>
                </c:pt>
                <c:pt idx="67">
                  <c:v>99.9</c:v>
                </c:pt>
                <c:pt idx="68">
                  <c:v>99.9</c:v>
                </c:pt>
                <c:pt idx="69">
                  <c:v>99.9</c:v>
                </c:pt>
                <c:pt idx="70">
                  <c:v>99.9</c:v>
                </c:pt>
                <c:pt idx="71">
                  <c:v>99.9</c:v>
                </c:pt>
                <c:pt idx="72">
                  <c:v>99.9</c:v>
                </c:pt>
                <c:pt idx="73">
                  <c:v>99.9</c:v>
                </c:pt>
                <c:pt idx="74">
                  <c:v>99.9</c:v>
                </c:pt>
                <c:pt idx="75">
                  <c:v>99.9</c:v>
                </c:pt>
                <c:pt idx="76">
                  <c:v>99.9</c:v>
                </c:pt>
                <c:pt idx="77">
                  <c:v>99.9</c:v>
                </c:pt>
                <c:pt idx="78">
                  <c:v>99.9</c:v>
                </c:pt>
                <c:pt idx="79">
                  <c:v>99.9</c:v>
                </c:pt>
                <c:pt idx="80">
                  <c:v>99.9</c:v>
                </c:pt>
                <c:pt idx="81">
                  <c:v>99.9</c:v>
                </c:pt>
                <c:pt idx="82">
                  <c:v>99.9</c:v>
                </c:pt>
                <c:pt idx="83">
                  <c:v>99.9</c:v>
                </c:pt>
                <c:pt idx="84">
                  <c:v>99.9</c:v>
                </c:pt>
                <c:pt idx="85">
                  <c:v>99.9</c:v>
                </c:pt>
                <c:pt idx="86">
                  <c:v>99.9</c:v>
                </c:pt>
                <c:pt idx="87">
                  <c:v>99.9</c:v>
                </c:pt>
                <c:pt idx="88">
                  <c:v>99.9</c:v>
                </c:pt>
                <c:pt idx="89">
                  <c:v>99.9</c:v>
                </c:pt>
                <c:pt idx="90">
                  <c:v>99.9</c:v>
                </c:pt>
                <c:pt idx="91">
                  <c:v>99.9</c:v>
                </c:pt>
                <c:pt idx="92">
                  <c:v>99.9</c:v>
                </c:pt>
                <c:pt idx="93">
                  <c:v>99.9</c:v>
                </c:pt>
                <c:pt idx="94">
                  <c:v>99.9</c:v>
                </c:pt>
                <c:pt idx="95">
                  <c:v>99.9</c:v>
                </c:pt>
                <c:pt idx="96">
                  <c:v>99.9</c:v>
                </c:pt>
                <c:pt idx="97">
                  <c:v>99.9</c:v>
                </c:pt>
                <c:pt idx="98">
                  <c:v>99.9</c:v>
                </c:pt>
                <c:pt idx="99">
                  <c:v>99.9</c:v>
                </c:pt>
                <c:pt idx="100">
                  <c:v>99.9</c:v>
                </c:pt>
                <c:pt idx="101">
                  <c:v>99.9</c:v>
                </c:pt>
                <c:pt idx="102">
                  <c:v>99.9</c:v>
                </c:pt>
                <c:pt idx="103">
                  <c:v>99.9</c:v>
                </c:pt>
                <c:pt idx="104">
                  <c:v>99.9</c:v>
                </c:pt>
                <c:pt idx="105">
                  <c:v>99.9</c:v>
                </c:pt>
                <c:pt idx="106">
                  <c:v>99.9</c:v>
                </c:pt>
                <c:pt idx="107">
                  <c:v>99.9</c:v>
                </c:pt>
                <c:pt idx="108">
                  <c:v>99.9</c:v>
                </c:pt>
                <c:pt idx="109">
                  <c:v>99.9</c:v>
                </c:pt>
                <c:pt idx="110">
                  <c:v>99.9</c:v>
                </c:pt>
                <c:pt idx="111">
                  <c:v>99.9</c:v>
                </c:pt>
                <c:pt idx="112">
                  <c:v>48.7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B7-424E-9AD2-2B9C0CB39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1840080"/>
        <c:axId val="1151830000"/>
      </c:lineChart>
      <c:catAx>
        <c:axId val="1151840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151830000"/>
        <c:crosses val="autoZero"/>
        <c:auto val="1"/>
        <c:lblAlgn val="ctr"/>
        <c:lblOffset val="100"/>
        <c:noMultiLvlLbl val="0"/>
      </c:catAx>
      <c:valAx>
        <c:axId val="115183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151840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Temp/time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'0610-a'!$C$1</c:f>
              <c:strCache>
                <c:ptCount val="1"/>
                <c:pt idx="0">
                  <c:v>Temp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'0610-a'!$B$1:$B$101</c:f>
              <c:strCache>
                <c:ptCount val="101"/>
                <c:pt idx="0">
                  <c:v>minutes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6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8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9</c:v>
                </c:pt>
                <c:pt idx="50">
                  <c:v>9</c:v>
                </c:pt>
                <c:pt idx="51">
                  <c:v>9</c:v>
                </c:pt>
                <c:pt idx="52">
                  <c:v>9</c:v>
                </c:pt>
                <c:pt idx="53">
                  <c:v>9</c:v>
                </c:pt>
                <c:pt idx="54">
                  <c:v>9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11</c:v>
                </c:pt>
                <c:pt idx="62">
                  <c:v>11</c:v>
                </c:pt>
                <c:pt idx="63">
                  <c:v>11</c:v>
                </c:pt>
                <c:pt idx="64">
                  <c:v>11</c:v>
                </c:pt>
                <c:pt idx="65">
                  <c:v>11</c:v>
                </c:pt>
                <c:pt idx="66">
                  <c:v>11</c:v>
                </c:pt>
                <c:pt idx="67">
                  <c:v>12</c:v>
                </c:pt>
                <c:pt idx="68">
                  <c:v>12</c:v>
                </c:pt>
                <c:pt idx="69">
                  <c:v>12</c:v>
                </c:pt>
                <c:pt idx="70">
                  <c:v>12</c:v>
                </c:pt>
                <c:pt idx="71">
                  <c:v>12</c:v>
                </c:pt>
                <c:pt idx="72">
                  <c:v>12</c:v>
                </c:pt>
                <c:pt idx="73">
                  <c:v>13</c:v>
                </c:pt>
                <c:pt idx="74">
                  <c:v>13</c:v>
                </c:pt>
                <c:pt idx="75">
                  <c:v>13</c:v>
                </c:pt>
                <c:pt idx="76">
                  <c:v>13</c:v>
                </c:pt>
                <c:pt idx="77">
                  <c:v>13</c:v>
                </c:pt>
                <c:pt idx="78">
                  <c:v>13</c:v>
                </c:pt>
                <c:pt idx="79">
                  <c:v>14</c:v>
                </c:pt>
                <c:pt idx="80">
                  <c:v>14</c:v>
                </c:pt>
                <c:pt idx="81">
                  <c:v>14</c:v>
                </c:pt>
                <c:pt idx="82">
                  <c:v>14</c:v>
                </c:pt>
                <c:pt idx="83">
                  <c:v>14</c:v>
                </c:pt>
                <c:pt idx="84">
                  <c:v>14</c:v>
                </c:pt>
                <c:pt idx="85">
                  <c:v>15</c:v>
                </c:pt>
                <c:pt idx="86">
                  <c:v>15</c:v>
                </c:pt>
                <c:pt idx="87">
                  <c:v>15</c:v>
                </c:pt>
                <c:pt idx="88">
                  <c:v>15</c:v>
                </c:pt>
                <c:pt idx="89">
                  <c:v>15</c:v>
                </c:pt>
                <c:pt idx="90">
                  <c:v>15</c:v>
                </c:pt>
                <c:pt idx="91">
                  <c:v>16</c:v>
                </c:pt>
                <c:pt idx="92">
                  <c:v>16</c:v>
                </c:pt>
                <c:pt idx="93">
                  <c:v>16</c:v>
                </c:pt>
                <c:pt idx="94">
                  <c:v>16</c:v>
                </c:pt>
                <c:pt idx="95">
                  <c:v>16</c:v>
                </c:pt>
                <c:pt idx="96">
                  <c:v>16</c:v>
                </c:pt>
                <c:pt idx="97">
                  <c:v>17</c:v>
                </c:pt>
                <c:pt idx="98">
                  <c:v>17</c:v>
                </c:pt>
                <c:pt idx="99">
                  <c:v>17</c:v>
                </c:pt>
                <c:pt idx="100">
                  <c:v>17</c:v>
                </c:pt>
              </c:strCache>
            </c:strRef>
          </c:cat>
          <c:val>
            <c:numRef>
              <c:f>'0610-a'!$C$2:$C$101</c:f>
              <c:numCache>
                <c:formatCode>General</c:formatCode>
                <c:ptCount val="100"/>
                <c:pt idx="0">
                  <c:v>21.5</c:v>
                </c:pt>
                <c:pt idx="1">
                  <c:v>21.8</c:v>
                </c:pt>
                <c:pt idx="2">
                  <c:v>24.7</c:v>
                </c:pt>
                <c:pt idx="3">
                  <c:v>28.8</c:v>
                </c:pt>
                <c:pt idx="4">
                  <c:v>32.5</c:v>
                </c:pt>
                <c:pt idx="5">
                  <c:v>35.700000000000003</c:v>
                </c:pt>
                <c:pt idx="6">
                  <c:v>38.4</c:v>
                </c:pt>
                <c:pt idx="7">
                  <c:v>40.200000000000003</c:v>
                </c:pt>
                <c:pt idx="8">
                  <c:v>41.5</c:v>
                </c:pt>
                <c:pt idx="9">
                  <c:v>42.1</c:v>
                </c:pt>
                <c:pt idx="10">
                  <c:v>43.3</c:v>
                </c:pt>
                <c:pt idx="11">
                  <c:v>44.5</c:v>
                </c:pt>
                <c:pt idx="12">
                  <c:v>45.8</c:v>
                </c:pt>
                <c:pt idx="13">
                  <c:v>46.8</c:v>
                </c:pt>
                <c:pt idx="14">
                  <c:v>46.9</c:v>
                </c:pt>
                <c:pt idx="15">
                  <c:v>47.9</c:v>
                </c:pt>
                <c:pt idx="16">
                  <c:v>48.9</c:v>
                </c:pt>
                <c:pt idx="17">
                  <c:v>49.5</c:v>
                </c:pt>
                <c:pt idx="18">
                  <c:v>50.3</c:v>
                </c:pt>
                <c:pt idx="19">
                  <c:v>51.2</c:v>
                </c:pt>
                <c:pt idx="20">
                  <c:v>52.1</c:v>
                </c:pt>
                <c:pt idx="21">
                  <c:v>52.8</c:v>
                </c:pt>
                <c:pt idx="22">
                  <c:v>53</c:v>
                </c:pt>
                <c:pt idx="23">
                  <c:v>53.7</c:v>
                </c:pt>
                <c:pt idx="24">
                  <c:v>54.8</c:v>
                </c:pt>
                <c:pt idx="25">
                  <c:v>55.4</c:v>
                </c:pt>
                <c:pt idx="26">
                  <c:v>56.4</c:v>
                </c:pt>
                <c:pt idx="27">
                  <c:v>57.8</c:v>
                </c:pt>
                <c:pt idx="28">
                  <c:v>57.8</c:v>
                </c:pt>
                <c:pt idx="29">
                  <c:v>57.4</c:v>
                </c:pt>
                <c:pt idx="30">
                  <c:v>58.6</c:v>
                </c:pt>
                <c:pt idx="31">
                  <c:v>57.3</c:v>
                </c:pt>
                <c:pt idx="32">
                  <c:v>59.7</c:v>
                </c:pt>
                <c:pt idx="33">
                  <c:v>62.2</c:v>
                </c:pt>
                <c:pt idx="34">
                  <c:v>63.2</c:v>
                </c:pt>
                <c:pt idx="35">
                  <c:v>64.2</c:v>
                </c:pt>
                <c:pt idx="36">
                  <c:v>63.6</c:v>
                </c:pt>
                <c:pt idx="37">
                  <c:v>64.400000000000006</c:v>
                </c:pt>
                <c:pt idx="38">
                  <c:v>65.2</c:v>
                </c:pt>
                <c:pt idx="39">
                  <c:v>66.400000000000006</c:v>
                </c:pt>
                <c:pt idx="40">
                  <c:v>66.8</c:v>
                </c:pt>
                <c:pt idx="41">
                  <c:v>67.3</c:v>
                </c:pt>
                <c:pt idx="42">
                  <c:v>68.5</c:v>
                </c:pt>
                <c:pt idx="43">
                  <c:v>68.599999999999994</c:v>
                </c:pt>
                <c:pt idx="44">
                  <c:v>68.8</c:v>
                </c:pt>
                <c:pt idx="45">
                  <c:v>69.8</c:v>
                </c:pt>
                <c:pt idx="46">
                  <c:v>70.3</c:v>
                </c:pt>
                <c:pt idx="47">
                  <c:v>70.599999999999994</c:v>
                </c:pt>
                <c:pt idx="48">
                  <c:v>71.2</c:v>
                </c:pt>
                <c:pt idx="49">
                  <c:v>72</c:v>
                </c:pt>
                <c:pt idx="50">
                  <c:v>72.7</c:v>
                </c:pt>
                <c:pt idx="51">
                  <c:v>72.599999999999994</c:v>
                </c:pt>
                <c:pt idx="52">
                  <c:v>73.2</c:v>
                </c:pt>
                <c:pt idx="53">
                  <c:v>73.599999999999994</c:v>
                </c:pt>
                <c:pt idx="54">
                  <c:v>73.099999999999994</c:v>
                </c:pt>
                <c:pt idx="55">
                  <c:v>73.599999999999994</c:v>
                </c:pt>
                <c:pt idx="56">
                  <c:v>73.5</c:v>
                </c:pt>
                <c:pt idx="57">
                  <c:v>74.2</c:v>
                </c:pt>
                <c:pt idx="58">
                  <c:v>74.5</c:v>
                </c:pt>
                <c:pt idx="59">
                  <c:v>74.400000000000006</c:v>
                </c:pt>
                <c:pt idx="60">
                  <c:v>74.599999999999994</c:v>
                </c:pt>
                <c:pt idx="61">
                  <c:v>75.400000000000006</c:v>
                </c:pt>
                <c:pt idx="62">
                  <c:v>75.8</c:v>
                </c:pt>
                <c:pt idx="63">
                  <c:v>75.7</c:v>
                </c:pt>
                <c:pt idx="64">
                  <c:v>76.2</c:v>
                </c:pt>
                <c:pt idx="65">
                  <c:v>76.5</c:v>
                </c:pt>
                <c:pt idx="66">
                  <c:v>76.900000000000006</c:v>
                </c:pt>
                <c:pt idx="67">
                  <c:v>77.7</c:v>
                </c:pt>
                <c:pt idx="68">
                  <c:v>77.5</c:v>
                </c:pt>
                <c:pt idx="69">
                  <c:v>78.2</c:v>
                </c:pt>
                <c:pt idx="70">
                  <c:v>78.5</c:v>
                </c:pt>
                <c:pt idx="71">
                  <c:v>79.099999999999994</c:v>
                </c:pt>
                <c:pt idx="72">
                  <c:v>79.3</c:v>
                </c:pt>
                <c:pt idx="73">
                  <c:v>79.5</c:v>
                </c:pt>
                <c:pt idx="74">
                  <c:v>79.900000000000006</c:v>
                </c:pt>
                <c:pt idx="75">
                  <c:v>80.400000000000006</c:v>
                </c:pt>
                <c:pt idx="76">
                  <c:v>79.900000000000006</c:v>
                </c:pt>
                <c:pt idx="77">
                  <c:v>79.3</c:v>
                </c:pt>
                <c:pt idx="78">
                  <c:v>79.900000000000006</c:v>
                </c:pt>
                <c:pt idx="79">
                  <c:v>80.400000000000006</c:v>
                </c:pt>
                <c:pt idx="80">
                  <c:v>79.400000000000006</c:v>
                </c:pt>
                <c:pt idx="81">
                  <c:v>78.900000000000006</c:v>
                </c:pt>
                <c:pt idx="82">
                  <c:v>79.900000000000006</c:v>
                </c:pt>
                <c:pt idx="83">
                  <c:v>80.8</c:v>
                </c:pt>
                <c:pt idx="84">
                  <c:v>79.400000000000006</c:v>
                </c:pt>
                <c:pt idx="85">
                  <c:v>78.8</c:v>
                </c:pt>
                <c:pt idx="86">
                  <c:v>79.7</c:v>
                </c:pt>
                <c:pt idx="87">
                  <c:v>81</c:v>
                </c:pt>
                <c:pt idx="88">
                  <c:v>80</c:v>
                </c:pt>
                <c:pt idx="89">
                  <c:v>78.900000000000006</c:v>
                </c:pt>
                <c:pt idx="90">
                  <c:v>80.099999999999994</c:v>
                </c:pt>
                <c:pt idx="91">
                  <c:v>81</c:v>
                </c:pt>
                <c:pt idx="92">
                  <c:v>79.900000000000006</c:v>
                </c:pt>
                <c:pt idx="93">
                  <c:v>78.8</c:v>
                </c:pt>
                <c:pt idx="94">
                  <c:v>79.599999999999994</c:v>
                </c:pt>
                <c:pt idx="95">
                  <c:v>80.8</c:v>
                </c:pt>
                <c:pt idx="96">
                  <c:v>80.5</c:v>
                </c:pt>
                <c:pt idx="97">
                  <c:v>79</c:v>
                </c:pt>
                <c:pt idx="98">
                  <c:v>79.099999999999994</c:v>
                </c:pt>
                <c:pt idx="99">
                  <c:v>80.900000000000006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05-4605-8A0B-8B50756524C3}"/>
            </c:ext>
          </c:extLst>
        </c:ser>
        <c:ser>
          <c:idx val="1"/>
          <c:order val="1"/>
          <c:tx>
            <c:strRef>
              <c:f>'0610-a'!$D$1</c:f>
              <c:strCache>
                <c:ptCount val="1"/>
                <c:pt idx="0">
                  <c:v>PWM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'0610-a'!$B$1:$B$101</c:f>
              <c:strCache>
                <c:ptCount val="101"/>
                <c:pt idx="0">
                  <c:v>minutes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6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8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9</c:v>
                </c:pt>
                <c:pt idx="50">
                  <c:v>9</c:v>
                </c:pt>
                <c:pt idx="51">
                  <c:v>9</c:v>
                </c:pt>
                <c:pt idx="52">
                  <c:v>9</c:v>
                </c:pt>
                <c:pt idx="53">
                  <c:v>9</c:v>
                </c:pt>
                <c:pt idx="54">
                  <c:v>9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11</c:v>
                </c:pt>
                <c:pt idx="62">
                  <c:v>11</c:v>
                </c:pt>
                <c:pt idx="63">
                  <c:v>11</c:v>
                </c:pt>
                <c:pt idx="64">
                  <c:v>11</c:v>
                </c:pt>
                <c:pt idx="65">
                  <c:v>11</c:v>
                </c:pt>
                <c:pt idx="66">
                  <c:v>11</c:v>
                </c:pt>
                <c:pt idx="67">
                  <c:v>12</c:v>
                </c:pt>
                <c:pt idx="68">
                  <c:v>12</c:v>
                </c:pt>
                <c:pt idx="69">
                  <c:v>12</c:v>
                </c:pt>
                <c:pt idx="70">
                  <c:v>12</c:v>
                </c:pt>
                <c:pt idx="71">
                  <c:v>12</c:v>
                </c:pt>
                <c:pt idx="72">
                  <c:v>12</c:v>
                </c:pt>
                <c:pt idx="73">
                  <c:v>13</c:v>
                </c:pt>
                <c:pt idx="74">
                  <c:v>13</c:v>
                </c:pt>
                <c:pt idx="75">
                  <c:v>13</c:v>
                </c:pt>
                <c:pt idx="76">
                  <c:v>13</c:v>
                </c:pt>
                <c:pt idx="77">
                  <c:v>13</c:v>
                </c:pt>
                <c:pt idx="78">
                  <c:v>13</c:v>
                </c:pt>
                <c:pt idx="79">
                  <c:v>14</c:v>
                </c:pt>
                <c:pt idx="80">
                  <c:v>14</c:v>
                </c:pt>
                <c:pt idx="81">
                  <c:v>14</c:v>
                </c:pt>
                <c:pt idx="82">
                  <c:v>14</c:v>
                </c:pt>
                <c:pt idx="83">
                  <c:v>14</c:v>
                </c:pt>
                <c:pt idx="84">
                  <c:v>14</c:v>
                </c:pt>
                <c:pt idx="85">
                  <c:v>15</c:v>
                </c:pt>
                <c:pt idx="86">
                  <c:v>15</c:v>
                </c:pt>
                <c:pt idx="87">
                  <c:v>15</c:v>
                </c:pt>
                <c:pt idx="88">
                  <c:v>15</c:v>
                </c:pt>
                <c:pt idx="89">
                  <c:v>15</c:v>
                </c:pt>
                <c:pt idx="90">
                  <c:v>15</c:v>
                </c:pt>
                <c:pt idx="91">
                  <c:v>16</c:v>
                </c:pt>
                <c:pt idx="92">
                  <c:v>16</c:v>
                </c:pt>
                <c:pt idx="93">
                  <c:v>16</c:v>
                </c:pt>
                <c:pt idx="94">
                  <c:v>16</c:v>
                </c:pt>
                <c:pt idx="95">
                  <c:v>16</c:v>
                </c:pt>
                <c:pt idx="96">
                  <c:v>16</c:v>
                </c:pt>
                <c:pt idx="97">
                  <c:v>17</c:v>
                </c:pt>
                <c:pt idx="98">
                  <c:v>17</c:v>
                </c:pt>
                <c:pt idx="99">
                  <c:v>17</c:v>
                </c:pt>
                <c:pt idx="100">
                  <c:v>17</c:v>
                </c:pt>
              </c:strCache>
            </c:strRef>
          </c:cat>
          <c:val>
            <c:numRef>
              <c:f>'0610-a'!$D$2:$D$101</c:f>
              <c:numCache>
                <c:formatCode>General</c:formatCode>
                <c:ptCount val="100"/>
                <c:pt idx="0">
                  <c:v>0</c:v>
                </c:pt>
                <c:pt idx="1">
                  <c:v>87.1</c:v>
                </c:pt>
                <c:pt idx="2">
                  <c:v>98.3</c:v>
                </c:pt>
                <c:pt idx="3">
                  <c:v>99.7</c:v>
                </c:pt>
                <c:pt idx="4">
                  <c:v>99.9</c:v>
                </c:pt>
                <c:pt idx="5">
                  <c:v>99.9</c:v>
                </c:pt>
                <c:pt idx="6">
                  <c:v>99.9</c:v>
                </c:pt>
                <c:pt idx="7">
                  <c:v>99.9</c:v>
                </c:pt>
                <c:pt idx="8">
                  <c:v>99.9</c:v>
                </c:pt>
                <c:pt idx="9">
                  <c:v>99.9</c:v>
                </c:pt>
                <c:pt idx="10">
                  <c:v>99.9</c:v>
                </c:pt>
                <c:pt idx="11">
                  <c:v>99.9</c:v>
                </c:pt>
                <c:pt idx="12">
                  <c:v>99.9</c:v>
                </c:pt>
                <c:pt idx="13">
                  <c:v>99.9</c:v>
                </c:pt>
                <c:pt idx="14">
                  <c:v>99.9</c:v>
                </c:pt>
                <c:pt idx="15">
                  <c:v>99.9</c:v>
                </c:pt>
                <c:pt idx="16">
                  <c:v>99.9</c:v>
                </c:pt>
                <c:pt idx="17">
                  <c:v>99.9</c:v>
                </c:pt>
                <c:pt idx="18">
                  <c:v>99.9</c:v>
                </c:pt>
                <c:pt idx="19">
                  <c:v>99.9</c:v>
                </c:pt>
                <c:pt idx="20">
                  <c:v>99.9</c:v>
                </c:pt>
                <c:pt idx="21">
                  <c:v>99.9</c:v>
                </c:pt>
                <c:pt idx="22">
                  <c:v>99.9</c:v>
                </c:pt>
                <c:pt idx="23">
                  <c:v>99.9</c:v>
                </c:pt>
                <c:pt idx="24">
                  <c:v>99.9</c:v>
                </c:pt>
                <c:pt idx="25">
                  <c:v>99.9</c:v>
                </c:pt>
                <c:pt idx="26">
                  <c:v>99.9</c:v>
                </c:pt>
                <c:pt idx="27">
                  <c:v>99.9</c:v>
                </c:pt>
                <c:pt idx="28">
                  <c:v>99.9</c:v>
                </c:pt>
                <c:pt idx="29">
                  <c:v>99.9</c:v>
                </c:pt>
                <c:pt idx="30">
                  <c:v>99.9</c:v>
                </c:pt>
                <c:pt idx="31">
                  <c:v>99.9</c:v>
                </c:pt>
                <c:pt idx="32">
                  <c:v>99.9</c:v>
                </c:pt>
                <c:pt idx="33">
                  <c:v>99.9</c:v>
                </c:pt>
                <c:pt idx="34">
                  <c:v>99.9</c:v>
                </c:pt>
                <c:pt idx="35">
                  <c:v>99.9</c:v>
                </c:pt>
                <c:pt idx="36">
                  <c:v>99.9</c:v>
                </c:pt>
                <c:pt idx="37">
                  <c:v>99.9</c:v>
                </c:pt>
                <c:pt idx="38">
                  <c:v>99.9</c:v>
                </c:pt>
                <c:pt idx="39">
                  <c:v>99.9</c:v>
                </c:pt>
                <c:pt idx="40">
                  <c:v>99.9</c:v>
                </c:pt>
                <c:pt idx="41">
                  <c:v>99.9</c:v>
                </c:pt>
                <c:pt idx="42">
                  <c:v>99.9</c:v>
                </c:pt>
                <c:pt idx="43">
                  <c:v>99.9</c:v>
                </c:pt>
                <c:pt idx="44">
                  <c:v>99.9</c:v>
                </c:pt>
                <c:pt idx="45">
                  <c:v>99.9</c:v>
                </c:pt>
                <c:pt idx="46">
                  <c:v>99.9</c:v>
                </c:pt>
                <c:pt idx="47">
                  <c:v>99.9</c:v>
                </c:pt>
                <c:pt idx="48">
                  <c:v>99.9</c:v>
                </c:pt>
                <c:pt idx="49">
                  <c:v>99.9</c:v>
                </c:pt>
                <c:pt idx="50">
                  <c:v>99.9</c:v>
                </c:pt>
                <c:pt idx="51">
                  <c:v>99.9</c:v>
                </c:pt>
                <c:pt idx="52">
                  <c:v>99.9</c:v>
                </c:pt>
                <c:pt idx="53">
                  <c:v>99.9</c:v>
                </c:pt>
                <c:pt idx="54">
                  <c:v>99.9</c:v>
                </c:pt>
                <c:pt idx="55">
                  <c:v>99.9</c:v>
                </c:pt>
                <c:pt idx="56">
                  <c:v>99.9</c:v>
                </c:pt>
                <c:pt idx="57">
                  <c:v>99.9</c:v>
                </c:pt>
                <c:pt idx="58">
                  <c:v>99.9</c:v>
                </c:pt>
                <c:pt idx="59">
                  <c:v>99.9</c:v>
                </c:pt>
                <c:pt idx="60">
                  <c:v>99.9</c:v>
                </c:pt>
                <c:pt idx="61">
                  <c:v>99.9</c:v>
                </c:pt>
                <c:pt idx="62">
                  <c:v>99.9</c:v>
                </c:pt>
                <c:pt idx="63">
                  <c:v>99.9</c:v>
                </c:pt>
                <c:pt idx="64">
                  <c:v>99.9</c:v>
                </c:pt>
                <c:pt idx="65">
                  <c:v>99.9</c:v>
                </c:pt>
                <c:pt idx="66">
                  <c:v>99.9</c:v>
                </c:pt>
                <c:pt idx="67">
                  <c:v>99.9</c:v>
                </c:pt>
                <c:pt idx="68">
                  <c:v>99.9</c:v>
                </c:pt>
                <c:pt idx="69">
                  <c:v>99.9</c:v>
                </c:pt>
                <c:pt idx="70">
                  <c:v>99.9</c:v>
                </c:pt>
                <c:pt idx="71">
                  <c:v>99.9</c:v>
                </c:pt>
                <c:pt idx="72">
                  <c:v>99.9</c:v>
                </c:pt>
                <c:pt idx="73">
                  <c:v>99.9</c:v>
                </c:pt>
                <c:pt idx="74">
                  <c:v>99.9</c:v>
                </c:pt>
                <c:pt idx="75">
                  <c:v>99.9</c:v>
                </c:pt>
                <c:pt idx="76">
                  <c:v>35</c:v>
                </c:pt>
                <c:pt idx="77">
                  <c:v>86.6</c:v>
                </c:pt>
                <c:pt idx="78">
                  <c:v>98.3</c:v>
                </c:pt>
                <c:pt idx="79">
                  <c:v>18.100000000000001</c:v>
                </c:pt>
                <c:pt idx="80">
                  <c:v>62.6</c:v>
                </c:pt>
                <c:pt idx="81">
                  <c:v>95.1</c:v>
                </c:pt>
                <c:pt idx="82">
                  <c:v>99.3</c:v>
                </c:pt>
                <c:pt idx="83">
                  <c:v>12.7</c:v>
                </c:pt>
                <c:pt idx="84">
                  <c:v>50.3</c:v>
                </c:pt>
                <c:pt idx="85">
                  <c:v>93.6</c:v>
                </c:pt>
                <c:pt idx="86">
                  <c:v>99.1</c:v>
                </c:pt>
                <c:pt idx="87">
                  <c:v>21.3</c:v>
                </c:pt>
                <c:pt idx="88">
                  <c:v>2.7</c:v>
                </c:pt>
                <c:pt idx="89">
                  <c:v>88.1</c:v>
                </c:pt>
                <c:pt idx="90">
                  <c:v>79.900000000000006</c:v>
                </c:pt>
                <c:pt idx="91">
                  <c:v>10.199999999999999</c:v>
                </c:pt>
                <c:pt idx="92">
                  <c:v>6.3</c:v>
                </c:pt>
                <c:pt idx="93">
                  <c:v>87.9</c:v>
                </c:pt>
                <c:pt idx="94">
                  <c:v>98.5</c:v>
                </c:pt>
                <c:pt idx="95">
                  <c:v>15.5</c:v>
                </c:pt>
                <c:pt idx="96">
                  <c:v>2</c:v>
                </c:pt>
                <c:pt idx="97">
                  <c:v>75.2</c:v>
                </c:pt>
                <c:pt idx="98">
                  <c:v>96.8</c:v>
                </c:pt>
                <c:pt idx="99">
                  <c:v>28.7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05-4605-8A0B-8B5075652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2932991"/>
        <c:axId val="1992932031"/>
      </c:lineChart>
      <c:catAx>
        <c:axId val="1992932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992932031"/>
        <c:crosses val="autoZero"/>
        <c:auto val="1"/>
        <c:lblAlgn val="ctr"/>
        <c:lblOffset val="100"/>
        <c:noMultiLvlLbl val="0"/>
      </c:catAx>
      <c:valAx>
        <c:axId val="199293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992932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>
        <c:manualLayout>
          <c:layoutTarget val="inner"/>
          <c:xMode val="edge"/>
          <c:yMode val="edge"/>
          <c:x val="2.9500855208773793E-2"/>
          <c:y val="5.5405326195267772E-2"/>
          <c:w val="0.96179087193200996"/>
          <c:h val="0.86255850152725944"/>
        </c:manualLayout>
      </c:layout>
      <c:lineChart>
        <c:grouping val="standard"/>
        <c:varyColors val="0"/>
        <c:ser>
          <c:idx val="0"/>
          <c:order val="0"/>
          <c:tx>
            <c:strRef>
              <c:f>'0611-a'!$B$1</c:f>
              <c:strCache>
                <c:ptCount val="1"/>
                <c:pt idx="0">
                  <c:v>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'0611-a'!$B$2:$B$100</c:f>
              <c:numCache>
                <c:formatCode>General</c:formatCode>
                <c:ptCount val="99"/>
                <c:pt idx="0">
                  <c:v>21.8</c:v>
                </c:pt>
                <c:pt idx="1">
                  <c:v>24.7</c:v>
                </c:pt>
                <c:pt idx="2">
                  <c:v>28.8</c:v>
                </c:pt>
                <c:pt idx="3">
                  <c:v>32.5</c:v>
                </c:pt>
                <c:pt idx="4">
                  <c:v>35.700000000000003</c:v>
                </c:pt>
                <c:pt idx="5">
                  <c:v>38.4</c:v>
                </c:pt>
                <c:pt idx="6">
                  <c:v>40.200000000000003</c:v>
                </c:pt>
                <c:pt idx="7">
                  <c:v>41.5</c:v>
                </c:pt>
                <c:pt idx="8">
                  <c:v>42.1</c:v>
                </c:pt>
                <c:pt idx="9">
                  <c:v>43.3</c:v>
                </c:pt>
                <c:pt idx="10">
                  <c:v>44.5</c:v>
                </c:pt>
                <c:pt idx="11">
                  <c:v>45.8</c:v>
                </c:pt>
                <c:pt idx="12">
                  <c:v>46.8</c:v>
                </c:pt>
                <c:pt idx="13">
                  <c:v>46.9</c:v>
                </c:pt>
                <c:pt idx="14">
                  <c:v>47.9</c:v>
                </c:pt>
                <c:pt idx="15">
                  <c:v>48.9</c:v>
                </c:pt>
                <c:pt idx="16">
                  <c:v>49.5</c:v>
                </c:pt>
                <c:pt idx="17">
                  <c:v>50.3</c:v>
                </c:pt>
                <c:pt idx="18">
                  <c:v>51.2</c:v>
                </c:pt>
                <c:pt idx="19">
                  <c:v>52.1</c:v>
                </c:pt>
                <c:pt idx="20">
                  <c:v>52.8</c:v>
                </c:pt>
                <c:pt idx="21">
                  <c:v>53</c:v>
                </c:pt>
                <c:pt idx="22">
                  <c:v>53.7</c:v>
                </c:pt>
                <c:pt idx="23">
                  <c:v>54.8</c:v>
                </c:pt>
                <c:pt idx="24">
                  <c:v>55.4</c:v>
                </c:pt>
                <c:pt idx="25">
                  <c:v>56.4</c:v>
                </c:pt>
                <c:pt idx="26">
                  <c:v>57.8</c:v>
                </c:pt>
                <c:pt idx="27">
                  <c:v>57.8</c:v>
                </c:pt>
                <c:pt idx="28">
                  <c:v>57.4</c:v>
                </c:pt>
                <c:pt idx="29">
                  <c:v>58.6</c:v>
                </c:pt>
                <c:pt idx="30">
                  <c:v>57.3</c:v>
                </c:pt>
                <c:pt idx="31">
                  <c:v>59.7</c:v>
                </c:pt>
                <c:pt idx="32">
                  <c:v>62.2</c:v>
                </c:pt>
                <c:pt idx="33">
                  <c:v>63.2</c:v>
                </c:pt>
                <c:pt idx="34">
                  <c:v>64.2</c:v>
                </c:pt>
                <c:pt idx="35">
                  <c:v>63.6</c:v>
                </c:pt>
                <c:pt idx="36">
                  <c:v>64.400000000000006</c:v>
                </c:pt>
                <c:pt idx="37">
                  <c:v>65.2</c:v>
                </c:pt>
                <c:pt idx="38">
                  <c:v>66.400000000000006</c:v>
                </c:pt>
                <c:pt idx="39">
                  <c:v>66.8</c:v>
                </c:pt>
                <c:pt idx="40">
                  <c:v>67.3</c:v>
                </c:pt>
                <c:pt idx="41">
                  <c:v>68.5</c:v>
                </c:pt>
                <c:pt idx="42">
                  <c:v>68.599999999999994</c:v>
                </c:pt>
                <c:pt idx="43">
                  <c:v>68.8</c:v>
                </c:pt>
                <c:pt idx="44">
                  <c:v>69.8</c:v>
                </c:pt>
                <c:pt idx="45">
                  <c:v>70.3</c:v>
                </c:pt>
                <c:pt idx="46">
                  <c:v>70.599999999999994</c:v>
                </c:pt>
                <c:pt idx="47">
                  <c:v>71.2</c:v>
                </c:pt>
                <c:pt idx="48">
                  <c:v>72</c:v>
                </c:pt>
                <c:pt idx="49">
                  <c:v>72.7</c:v>
                </c:pt>
                <c:pt idx="50">
                  <c:v>72.599999999999994</c:v>
                </c:pt>
                <c:pt idx="51">
                  <c:v>73.2</c:v>
                </c:pt>
                <c:pt idx="52">
                  <c:v>73.599999999999994</c:v>
                </c:pt>
                <c:pt idx="53">
                  <c:v>73.099999999999994</c:v>
                </c:pt>
                <c:pt idx="54">
                  <c:v>73.599999999999994</c:v>
                </c:pt>
                <c:pt idx="55">
                  <c:v>73.5</c:v>
                </c:pt>
                <c:pt idx="56">
                  <c:v>74.2</c:v>
                </c:pt>
                <c:pt idx="57">
                  <c:v>74.5</c:v>
                </c:pt>
                <c:pt idx="58">
                  <c:v>74.400000000000006</c:v>
                </c:pt>
                <c:pt idx="59">
                  <c:v>74.599999999999994</c:v>
                </c:pt>
                <c:pt idx="60">
                  <c:v>75.400000000000006</c:v>
                </c:pt>
                <c:pt idx="61">
                  <c:v>75.8</c:v>
                </c:pt>
                <c:pt idx="62">
                  <c:v>75.7</c:v>
                </c:pt>
                <c:pt idx="63">
                  <c:v>76.2</c:v>
                </c:pt>
                <c:pt idx="64">
                  <c:v>76.5</c:v>
                </c:pt>
                <c:pt idx="65">
                  <c:v>76.900000000000006</c:v>
                </c:pt>
                <c:pt idx="66">
                  <c:v>77.7</c:v>
                </c:pt>
                <c:pt idx="67">
                  <c:v>77.5</c:v>
                </c:pt>
                <c:pt idx="68">
                  <c:v>78.2</c:v>
                </c:pt>
                <c:pt idx="69">
                  <c:v>78.5</c:v>
                </c:pt>
                <c:pt idx="70">
                  <c:v>79.099999999999994</c:v>
                </c:pt>
                <c:pt idx="71">
                  <c:v>79.3</c:v>
                </c:pt>
                <c:pt idx="72">
                  <c:v>79.5</c:v>
                </c:pt>
                <c:pt idx="73">
                  <c:v>79.900000000000006</c:v>
                </c:pt>
                <c:pt idx="74">
                  <c:v>80.400000000000006</c:v>
                </c:pt>
                <c:pt idx="75">
                  <c:v>79.900000000000006</c:v>
                </c:pt>
                <c:pt idx="76">
                  <c:v>79.3</c:v>
                </c:pt>
                <c:pt idx="77">
                  <c:v>79.900000000000006</c:v>
                </c:pt>
                <c:pt idx="78">
                  <c:v>80.400000000000006</c:v>
                </c:pt>
                <c:pt idx="79">
                  <c:v>79.400000000000006</c:v>
                </c:pt>
                <c:pt idx="80">
                  <c:v>78.900000000000006</c:v>
                </c:pt>
                <c:pt idx="81">
                  <c:v>79.900000000000006</c:v>
                </c:pt>
                <c:pt idx="82">
                  <c:v>80.8</c:v>
                </c:pt>
                <c:pt idx="83">
                  <c:v>79.400000000000006</c:v>
                </c:pt>
                <c:pt idx="84">
                  <c:v>78.8</c:v>
                </c:pt>
                <c:pt idx="85">
                  <c:v>79.7</c:v>
                </c:pt>
                <c:pt idx="86">
                  <c:v>81</c:v>
                </c:pt>
                <c:pt idx="87">
                  <c:v>80</c:v>
                </c:pt>
                <c:pt idx="88">
                  <c:v>78.900000000000006</c:v>
                </c:pt>
                <c:pt idx="89">
                  <c:v>80.099999999999994</c:v>
                </c:pt>
                <c:pt idx="90">
                  <c:v>81</c:v>
                </c:pt>
                <c:pt idx="91">
                  <c:v>79.900000000000006</c:v>
                </c:pt>
                <c:pt idx="92">
                  <c:v>78.8</c:v>
                </c:pt>
                <c:pt idx="93">
                  <c:v>79.599999999999994</c:v>
                </c:pt>
                <c:pt idx="94">
                  <c:v>80.8</c:v>
                </c:pt>
                <c:pt idx="95">
                  <c:v>80.5</c:v>
                </c:pt>
                <c:pt idx="96">
                  <c:v>79</c:v>
                </c:pt>
                <c:pt idx="97">
                  <c:v>79.099999999999994</c:v>
                </c:pt>
                <c:pt idx="98">
                  <c:v>80.900000000000006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13-44B5-872A-DD29E71F063D}"/>
            </c:ext>
          </c:extLst>
        </c:ser>
        <c:ser>
          <c:idx val="1"/>
          <c:order val="1"/>
          <c:tx>
            <c:strRef>
              <c:f>'0611-a'!$C$1</c:f>
              <c:strCache>
                <c:ptCount val="1"/>
                <c:pt idx="0">
                  <c:v>PWM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'0611-a'!$C$2:$C$100</c:f>
              <c:numCache>
                <c:formatCode>General</c:formatCode>
                <c:ptCount val="99"/>
                <c:pt idx="0">
                  <c:v>87.1</c:v>
                </c:pt>
                <c:pt idx="1">
                  <c:v>98.3</c:v>
                </c:pt>
                <c:pt idx="2">
                  <c:v>99.7</c:v>
                </c:pt>
                <c:pt idx="3">
                  <c:v>99.9</c:v>
                </c:pt>
                <c:pt idx="4">
                  <c:v>99.9</c:v>
                </c:pt>
                <c:pt idx="5">
                  <c:v>99.9</c:v>
                </c:pt>
                <c:pt idx="6">
                  <c:v>99.9</c:v>
                </c:pt>
                <c:pt idx="7">
                  <c:v>99.9</c:v>
                </c:pt>
                <c:pt idx="8">
                  <c:v>99.9</c:v>
                </c:pt>
                <c:pt idx="9">
                  <c:v>99.9</c:v>
                </c:pt>
                <c:pt idx="10">
                  <c:v>99.9</c:v>
                </c:pt>
                <c:pt idx="11">
                  <c:v>99.9</c:v>
                </c:pt>
                <c:pt idx="12">
                  <c:v>99.9</c:v>
                </c:pt>
                <c:pt idx="13">
                  <c:v>99.9</c:v>
                </c:pt>
                <c:pt idx="14">
                  <c:v>99.9</c:v>
                </c:pt>
                <c:pt idx="15">
                  <c:v>99.9</c:v>
                </c:pt>
                <c:pt idx="16">
                  <c:v>99.9</c:v>
                </c:pt>
                <c:pt idx="17">
                  <c:v>99.9</c:v>
                </c:pt>
                <c:pt idx="18">
                  <c:v>99.9</c:v>
                </c:pt>
                <c:pt idx="19">
                  <c:v>99.9</c:v>
                </c:pt>
                <c:pt idx="20">
                  <c:v>99.9</c:v>
                </c:pt>
                <c:pt idx="21">
                  <c:v>99.9</c:v>
                </c:pt>
                <c:pt idx="22">
                  <c:v>99.9</c:v>
                </c:pt>
                <c:pt idx="23">
                  <c:v>99.9</c:v>
                </c:pt>
                <c:pt idx="24">
                  <c:v>99.9</c:v>
                </c:pt>
                <c:pt idx="25">
                  <c:v>99.9</c:v>
                </c:pt>
                <c:pt idx="26">
                  <c:v>99.9</c:v>
                </c:pt>
                <c:pt idx="27">
                  <c:v>99.9</c:v>
                </c:pt>
                <c:pt idx="28">
                  <c:v>99.9</c:v>
                </c:pt>
                <c:pt idx="29">
                  <c:v>99.9</c:v>
                </c:pt>
                <c:pt idx="30">
                  <c:v>99.9</c:v>
                </c:pt>
                <c:pt idx="31">
                  <c:v>99.9</c:v>
                </c:pt>
                <c:pt idx="32">
                  <c:v>99.9</c:v>
                </c:pt>
                <c:pt idx="33">
                  <c:v>99.9</c:v>
                </c:pt>
                <c:pt idx="34">
                  <c:v>99.9</c:v>
                </c:pt>
                <c:pt idx="35">
                  <c:v>99.9</c:v>
                </c:pt>
                <c:pt idx="36">
                  <c:v>99.9</c:v>
                </c:pt>
                <c:pt idx="37">
                  <c:v>99.9</c:v>
                </c:pt>
                <c:pt idx="38">
                  <c:v>99.9</c:v>
                </c:pt>
                <c:pt idx="39">
                  <c:v>99.9</c:v>
                </c:pt>
                <c:pt idx="40">
                  <c:v>99.9</c:v>
                </c:pt>
                <c:pt idx="41">
                  <c:v>99.9</c:v>
                </c:pt>
                <c:pt idx="42">
                  <c:v>99.9</c:v>
                </c:pt>
                <c:pt idx="43">
                  <c:v>99.9</c:v>
                </c:pt>
                <c:pt idx="44">
                  <c:v>99.9</c:v>
                </c:pt>
                <c:pt idx="45">
                  <c:v>99.9</c:v>
                </c:pt>
                <c:pt idx="46">
                  <c:v>99.9</c:v>
                </c:pt>
                <c:pt idx="47">
                  <c:v>99.9</c:v>
                </c:pt>
                <c:pt idx="48">
                  <c:v>99.9</c:v>
                </c:pt>
                <c:pt idx="49">
                  <c:v>99.9</c:v>
                </c:pt>
                <c:pt idx="50">
                  <c:v>99.9</c:v>
                </c:pt>
                <c:pt idx="51">
                  <c:v>99.9</c:v>
                </c:pt>
                <c:pt idx="52">
                  <c:v>99.9</c:v>
                </c:pt>
                <c:pt idx="53">
                  <c:v>99.9</c:v>
                </c:pt>
                <c:pt idx="54">
                  <c:v>99.9</c:v>
                </c:pt>
                <c:pt idx="55">
                  <c:v>99.9</c:v>
                </c:pt>
                <c:pt idx="56">
                  <c:v>99.9</c:v>
                </c:pt>
                <c:pt idx="57">
                  <c:v>99.9</c:v>
                </c:pt>
                <c:pt idx="58">
                  <c:v>99.9</c:v>
                </c:pt>
                <c:pt idx="59">
                  <c:v>99.9</c:v>
                </c:pt>
                <c:pt idx="60">
                  <c:v>99.9</c:v>
                </c:pt>
                <c:pt idx="61">
                  <c:v>99.9</c:v>
                </c:pt>
                <c:pt idx="62">
                  <c:v>99.9</c:v>
                </c:pt>
                <c:pt idx="63">
                  <c:v>99.9</c:v>
                </c:pt>
                <c:pt idx="64">
                  <c:v>99.9</c:v>
                </c:pt>
                <c:pt idx="65">
                  <c:v>99.9</c:v>
                </c:pt>
                <c:pt idx="66">
                  <c:v>99.9</c:v>
                </c:pt>
                <c:pt idx="67">
                  <c:v>99.9</c:v>
                </c:pt>
                <c:pt idx="68">
                  <c:v>99.9</c:v>
                </c:pt>
                <c:pt idx="69">
                  <c:v>99.9</c:v>
                </c:pt>
                <c:pt idx="70">
                  <c:v>99.9</c:v>
                </c:pt>
                <c:pt idx="71">
                  <c:v>99.9</c:v>
                </c:pt>
                <c:pt idx="72">
                  <c:v>99.9</c:v>
                </c:pt>
                <c:pt idx="73">
                  <c:v>99.9</c:v>
                </c:pt>
                <c:pt idx="74">
                  <c:v>99.9</c:v>
                </c:pt>
                <c:pt idx="75">
                  <c:v>35</c:v>
                </c:pt>
                <c:pt idx="76">
                  <c:v>86.6</c:v>
                </c:pt>
                <c:pt idx="77">
                  <c:v>98.3</c:v>
                </c:pt>
                <c:pt idx="78">
                  <c:v>18.100000000000001</c:v>
                </c:pt>
                <c:pt idx="79">
                  <c:v>62.6</c:v>
                </c:pt>
                <c:pt idx="80">
                  <c:v>95.1</c:v>
                </c:pt>
                <c:pt idx="81">
                  <c:v>99.3</c:v>
                </c:pt>
                <c:pt idx="82">
                  <c:v>12.7</c:v>
                </c:pt>
                <c:pt idx="83">
                  <c:v>50.3</c:v>
                </c:pt>
                <c:pt idx="84">
                  <c:v>93.6</c:v>
                </c:pt>
                <c:pt idx="85">
                  <c:v>99.1</c:v>
                </c:pt>
                <c:pt idx="86">
                  <c:v>21.3</c:v>
                </c:pt>
                <c:pt idx="87">
                  <c:v>2.7</c:v>
                </c:pt>
                <c:pt idx="88">
                  <c:v>88.1</c:v>
                </c:pt>
                <c:pt idx="89">
                  <c:v>79.900000000000006</c:v>
                </c:pt>
                <c:pt idx="90">
                  <c:v>10.199999999999999</c:v>
                </c:pt>
                <c:pt idx="91">
                  <c:v>6.3</c:v>
                </c:pt>
                <c:pt idx="92">
                  <c:v>87.9</c:v>
                </c:pt>
                <c:pt idx="93">
                  <c:v>98.5</c:v>
                </c:pt>
                <c:pt idx="94">
                  <c:v>15.5</c:v>
                </c:pt>
                <c:pt idx="95">
                  <c:v>2</c:v>
                </c:pt>
                <c:pt idx="96">
                  <c:v>75.2</c:v>
                </c:pt>
                <c:pt idx="97">
                  <c:v>96.8</c:v>
                </c:pt>
                <c:pt idx="98">
                  <c:v>28.7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13-44B5-872A-DD29E71F06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1206111"/>
        <c:axId val="1191213791"/>
      </c:lineChart>
      <c:catAx>
        <c:axId val="11912061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191213791"/>
        <c:crosses val="autoZero"/>
        <c:auto val="1"/>
        <c:lblAlgn val="ctr"/>
        <c:lblOffset val="100"/>
        <c:noMultiLvlLbl val="0"/>
      </c:catAx>
      <c:valAx>
        <c:axId val="1191213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19120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'0703-a'!$B$1</c:f>
              <c:strCache>
                <c:ptCount val="1"/>
                <c:pt idx="0">
                  <c:v>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'0703-a'!$A:$A</c:f>
              <c:strCache>
                <c:ptCount val="402"/>
                <c:pt idx="0">
                  <c:v>time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8</c:v>
                </c:pt>
                <c:pt idx="52">
                  <c:v>8</c:v>
                </c:pt>
                <c:pt idx="53">
                  <c:v>8</c:v>
                </c:pt>
                <c:pt idx="54">
                  <c:v>9</c:v>
                </c:pt>
                <c:pt idx="55">
                  <c:v>9</c:v>
                </c:pt>
                <c:pt idx="56">
                  <c:v>9</c:v>
                </c:pt>
                <c:pt idx="57">
                  <c:v>9</c:v>
                </c:pt>
                <c:pt idx="58">
                  <c:v>9</c:v>
                </c:pt>
                <c:pt idx="59">
                  <c:v>9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11</c:v>
                </c:pt>
                <c:pt idx="67">
                  <c:v>11</c:v>
                </c:pt>
                <c:pt idx="68">
                  <c:v>11</c:v>
                </c:pt>
                <c:pt idx="69">
                  <c:v>11</c:v>
                </c:pt>
                <c:pt idx="70">
                  <c:v>11</c:v>
                </c:pt>
                <c:pt idx="71">
                  <c:v>11</c:v>
                </c:pt>
                <c:pt idx="72">
                  <c:v>12</c:v>
                </c:pt>
                <c:pt idx="73">
                  <c:v>12</c:v>
                </c:pt>
                <c:pt idx="74">
                  <c:v>12</c:v>
                </c:pt>
                <c:pt idx="75">
                  <c:v>12</c:v>
                </c:pt>
                <c:pt idx="76">
                  <c:v>12</c:v>
                </c:pt>
                <c:pt idx="77">
                  <c:v>12</c:v>
                </c:pt>
                <c:pt idx="78">
                  <c:v>13</c:v>
                </c:pt>
                <c:pt idx="79">
                  <c:v>13</c:v>
                </c:pt>
                <c:pt idx="80">
                  <c:v>13</c:v>
                </c:pt>
                <c:pt idx="81">
                  <c:v>13</c:v>
                </c:pt>
                <c:pt idx="82">
                  <c:v>13</c:v>
                </c:pt>
                <c:pt idx="83">
                  <c:v>13</c:v>
                </c:pt>
                <c:pt idx="84">
                  <c:v>14</c:v>
                </c:pt>
                <c:pt idx="85">
                  <c:v>14</c:v>
                </c:pt>
                <c:pt idx="86">
                  <c:v>14</c:v>
                </c:pt>
                <c:pt idx="87">
                  <c:v>14</c:v>
                </c:pt>
                <c:pt idx="88">
                  <c:v>14</c:v>
                </c:pt>
                <c:pt idx="89">
                  <c:v>14</c:v>
                </c:pt>
                <c:pt idx="90">
                  <c:v>15</c:v>
                </c:pt>
                <c:pt idx="91">
                  <c:v>15</c:v>
                </c:pt>
                <c:pt idx="92">
                  <c:v>15</c:v>
                </c:pt>
                <c:pt idx="93">
                  <c:v>15</c:v>
                </c:pt>
                <c:pt idx="94">
                  <c:v>15</c:v>
                </c:pt>
                <c:pt idx="95">
                  <c:v>15</c:v>
                </c:pt>
                <c:pt idx="96">
                  <c:v>16</c:v>
                </c:pt>
                <c:pt idx="97">
                  <c:v>16</c:v>
                </c:pt>
                <c:pt idx="98">
                  <c:v>16</c:v>
                </c:pt>
                <c:pt idx="99">
                  <c:v>16</c:v>
                </c:pt>
                <c:pt idx="100">
                  <c:v>16</c:v>
                </c:pt>
                <c:pt idx="101">
                  <c:v>16</c:v>
                </c:pt>
                <c:pt idx="102">
                  <c:v>17</c:v>
                </c:pt>
                <c:pt idx="103">
                  <c:v>17</c:v>
                </c:pt>
                <c:pt idx="104">
                  <c:v>17</c:v>
                </c:pt>
                <c:pt idx="105">
                  <c:v>17</c:v>
                </c:pt>
                <c:pt idx="106">
                  <c:v>17</c:v>
                </c:pt>
                <c:pt idx="107">
                  <c:v>17</c:v>
                </c:pt>
                <c:pt idx="108">
                  <c:v>18</c:v>
                </c:pt>
                <c:pt idx="109">
                  <c:v>18</c:v>
                </c:pt>
                <c:pt idx="110">
                  <c:v>18</c:v>
                </c:pt>
                <c:pt idx="111">
                  <c:v>18</c:v>
                </c:pt>
                <c:pt idx="112">
                  <c:v>18</c:v>
                </c:pt>
                <c:pt idx="113">
                  <c:v>18</c:v>
                </c:pt>
                <c:pt idx="114">
                  <c:v>19</c:v>
                </c:pt>
                <c:pt idx="115">
                  <c:v>19</c:v>
                </c:pt>
                <c:pt idx="116">
                  <c:v>19</c:v>
                </c:pt>
                <c:pt idx="117">
                  <c:v>19</c:v>
                </c:pt>
                <c:pt idx="118">
                  <c:v>19</c:v>
                </c:pt>
                <c:pt idx="119">
                  <c:v>19</c:v>
                </c:pt>
                <c:pt idx="120">
                  <c:v>20</c:v>
                </c:pt>
                <c:pt idx="121">
                  <c:v>20</c:v>
                </c:pt>
                <c:pt idx="122">
                  <c:v>20</c:v>
                </c:pt>
                <c:pt idx="123">
                  <c:v>20</c:v>
                </c:pt>
                <c:pt idx="124">
                  <c:v>20</c:v>
                </c:pt>
                <c:pt idx="125">
                  <c:v>20</c:v>
                </c:pt>
                <c:pt idx="126">
                  <c:v>21</c:v>
                </c:pt>
                <c:pt idx="127">
                  <c:v>21</c:v>
                </c:pt>
                <c:pt idx="128">
                  <c:v>21</c:v>
                </c:pt>
                <c:pt idx="129">
                  <c:v>21</c:v>
                </c:pt>
                <c:pt idx="130">
                  <c:v>21</c:v>
                </c:pt>
                <c:pt idx="131">
                  <c:v>21</c:v>
                </c:pt>
                <c:pt idx="132">
                  <c:v>22</c:v>
                </c:pt>
                <c:pt idx="133">
                  <c:v>22</c:v>
                </c:pt>
                <c:pt idx="134">
                  <c:v>22</c:v>
                </c:pt>
                <c:pt idx="135">
                  <c:v>22</c:v>
                </c:pt>
                <c:pt idx="136">
                  <c:v>22</c:v>
                </c:pt>
                <c:pt idx="137">
                  <c:v>22</c:v>
                </c:pt>
                <c:pt idx="138">
                  <c:v>23</c:v>
                </c:pt>
                <c:pt idx="139">
                  <c:v>23</c:v>
                </c:pt>
                <c:pt idx="140">
                  <c:v>23</c:v>
                </c:pt>
                <c:pt idx="141">
                  <c:v>23</c:v>
                </c:pt>
                <c:pt idx="142">
                  <c:v>23</c:v>
                </c:pt>
                <c:pt idx="143">
                  <c:v>23</c:v>
                </c:pt>
                <c:pt idx="144">
                  <c:v>24</c:v>
                </c:pt>
                <c:pt idx="145">
                  <c:v>24</c:v>
                </c:pt>
                <c:pt idx="146">
                  <c:v>24</c:v>
                </c:pt>
                <c:pt idx="147">
                  <c:v>24</c:v>
                </c:pt>
                <c:pt idx="148">
                  <c:v>24</c:v>
                </c:pt>
                <c:pt idx="149">
                  <c:v>24</c:v>
                </c:pt>
                <c:pt idx="150">
                  <c:v>25</c:v>
                </c:pt>
                <c:pt idx="151">
                  <c:v>25</c:v>
                </c:pt>
                <c:pt idx="152">
                  <c:v>25</c:v>
                </c:pt>
                <c:pt idx="153">
                  <c:v>25</c:v>
                </c:pt>
                <c:pt idx="154">
                  <c:v>25</c:v>
                </c:pt>
                <c:pt idx="155">
                  <c:v>25</c:v>
                </c:pt>
                <c:pt idx="156">
                  <c:v>26</c:v>
                </c:pt>
                <c:pt idx="157">
                  <c:v>26</c:v>
                </c:pt>
                <c:pt idx="158">
                  <c:v>26</c:v>
                </c:pt>
                <c:pt idx="159">
                  <c:v>26</c:v>
                </c:pt>
                <c:pt idx="160">
                  <c:v>26</c:v>
                </c:pt>
                <c:pt idx="161">
                  <c:v>26</c:v>
                </c:pt>
                <c:pt idx="162">
                  <c:v>27</c:v>
                </c:pt>
                <c:pt idx="163">
                  <c:v>27</c:v>
                </c:pt>
                <c:pt idx="164">
                  <c:v>27</c:v>
                </c:pt>
                <c:pt idx="165">
                  <c:v>27</c:v>
                </c:pt>
                <c:pt idx="166">
                  <c:v>27</c:v>
                </c:pt>
                <c:pt idx="167">
                  <c:v>27</c:v>
                </c:pt>
                <c:pt idx="168">
                  <c:v>28</c:v>
                </c:pt>
                <c:pt idx="169">
                  <c:v>28</c:v>
                </c:pt>
                <c:pt idx="170">
                  <c:v>28</c:v>
                </c:pt>
                <c:pt idx="171">
                  <c:v>28</c:v>
                </c:pt>
                <c:pt idx="172">
                  <c:v>28</c:v>
                </c:pt>
                <c:pt idx="173">
                  <c:v>28</c:v>
                </c:pt>
                <c:pt idx="174">
                  <c:v>29</c:v>
                </c:pt>
                <c:pt idx="175">
                  <c:v>29</c:v>
                </c:pt>
                <c:pt idx="176">
                  <c:v>29</c:v>
                </c:pt>
                <c:pt idx="177">
                  <c:v>29</c:v>
                </c:pt>
                <c:pt idx="178">
                  <c:v>29</c:v>
                </c:pt>
                <c:pt idx="179">
                  <c:v>29</c:v>
                </c:pt>
                <c:pt idx="180">
                  <c:v>30</c:v>
                </c:pt>
                <c:pt idx="181">
                  <c:v>30</c:v>
                </c:pt>
                <c:pt idx="182">
                  <c:v>30</c:v>
                </c:pt>
                <c:pt idx="183">
                  <c:v>30</c:v>
                </c:pt>
                <c:pt idx="184">
                  <c:v>30</c:v>
                </c:pt>
                <c:pt idx="185">
                  <c:v>30</c:v>
                </c:pt>
                <c:pt idx="186">
                  <c:v>31</c:v>
                </c:pt>
                <c:pt idx="187">
                  <c:v>31</c:v>
                </c:pt>
                <c:pt idx="188">
                  <c:v>31</c:v>
                </c:pt>
                <c:pt idx="189">
                  <c:v>31</c:v>
                </c:pt>
                <c:pt idx="190">
                  <c:v>31</c:v>
                </c:pt>
                <c:pt idx="191">
                  <c:v>31</c:v>
                </c:pt>
                <c:pt idx="192">
                  <c:v>32</c:v>
                </c:pt>
                <c:pt idx="193">
                  <c:v>32</c:v>
                </c:pt>
                <c:pt idx="194">
                  <c:v>32</c:v>
                </c:pt>
                <c:pt idx="195">
                  <c:v>32</c:v>
                </c:pt>
                <c:pt idx="196">
                  <c:v>32</c:v>
                </c:pt>
                <c:pt idx="197">
                  <c:v>32</c:v>
                </c:pt>
                <c:pt idx="198">
                  <c:v>33</c:v>
                </c:pt>
                <c:pt idx="199">
                  <c:v>33</c:v>
                </c:pt>
                <c:pt idx="200">
                  <c:v>33</c:v>
                </c:pt>
                <c:pt idx="201">
                  <c:v>33</c:v>
                </c:pt>
                <c:pt idx="202">
                  <c:v>33</c:v>
                </c:pt>
                <c:pt idx="203">
                  <c:v>33</c:v>
                </c:pt>
                <c:pt idx="204">
                  <c:v>34</c:v>
                </c:pt>
                <c:pt idx="205">
                  <c:v>34</c:v>
                </c:pt>
                <c:pt idx="206">
                  <c:v>34</c:v>
                </c:pt>
                <c:pt idx="207">
                  <c:v>34</c:v>
                </c:pt>
                <c:pt idx="208">
                  <c:v>34</c:v>
                </c:pt>
                <c:pt idx="209">
                  <c:v>34</c:v>
                </c:pt>
                <c:pt idx="210">
                  <c:v>35</c:v>
                </c:pt>
                <c:pt idx="211">
                  <c:v>35</c:v>
                </c:pt>
                <c:pt idx="212">
                  <c:v>35</c:v>
                </c:pt>
                <c:pt idx="213">
                  <c:v>35</c:v>
                </c:pt>
                <c:pt idx="214">
                  <c:v>35</c:v>
                </c:pt>
                <c:pt idx="215">
                  <c:v>35</c:v>
                </c:pt>
                <c:pt idx="216">
                  <c:v>36</c:v>
                </c:pt>
                <c:pt idx="217">
                  <c:v>36</c:v>
                </c:pt>
                <c:pt idx="218">
                  <c:v>36</c:v>
                </c:pt>
                <c:pt idx="219">
                  <c:v>36</c:v>
                </c:pt>
                <c:pt idx="220">
                  <c:v>36</c:v>
                </c:pt>
                <c:pt idx="221">
                  <c:v>36</c:v>
                </c:pt>
                <c:pt idx="222">
                  <c:v>37</c:v>
                </c:pt>
                <c:pt idx="223">
                  <c:v>37</c:v>
                </c:pt>
                <c:pt idx="224">
                  <c:v>37</c:v>
                </c:pt>
                <c:pt idx="225">
                  <c:v>37</c:v>
                </c:pt>
                <c:pt idx="226">
                  <c:v>38</c:v>
                </c:pt>
                <c:pt idx="227">
                  <c:v>38</c:v>
                </c:pt>
                <c:pt idx="228">
                  <c:v>38</c:v>
                </c:pt>
                <c:pt idx="229">
                  <c:v>38</c:v>
                </c:pt>
                <c:pt idx="230">
                  <c:v>38</c:v>
                </c:pt>
                <c:pt idx="231">
                  <c:v>38</c:v>
                </c:pt>
                <c:pt idx="232">
                  <c:v>39</c:v>
                </c:pt>
                <c:pt idx="233">
                  <c:v>39</c:v>
                </c:pt>
                <c:pt idx="234">
                  <c:v>39</c:v>
                </c:pt>
                <c:pt idx="235">
                  <c:v>39</c:v>
                </c:pt>
                <c:pt idx="236">
                  <c:v>39</c:v>
                </c:pt>
                <c:pt idx="237">
                  <c:v>40</c:v>
                </c:pt>
                <c:pt idx="238">
                  <c:v>40</c:v>
                </c:pt>
                <c:pt idx="239">
                  <c:v>40</c:v>
                </c:pt>
                <c:pt idx="240">
                  <c:v>40</c:v>
                </c:pt>
                <c:pt idx="241">
                  <c:v>40</c:v>
                </c:pt>
                <c:pt idx="242">
                  <c:v>40</c:v>
                </c:pt>
                <c:pt idx="243">
                  <c:v>41</c:v>
                </c:pt>
                <c:pt idx="244">
                  <c:v>41</c:v>
                </c:pt>
                <c:pt idx="245">
                  <c:v>41</c:v>
                </c:pt>
                <c:pt idx="246">
                  <c:v>41</c:v>
                </c:pt>
                <c:pt idx="247">
                  <c:v>41</c:v>
                </c:pt>
                <c:pt idx="248">
                  <c:v>41</c:v>
                </c:pt>
                <c:pt idx="249">
                  <c:v>42</c:v>
                </c:pt>
                <c:pt idx="250">
                  <c:v>42</c:v>
                </c:pt>
                <c:pt idx="251">
                  <c:v>42</c:v>
                </c:pt>
                <c:pt idx="252">
                  <c:v>42</c:v>
                </c:pt>
                <c:pt idx="253">
                  <c:v>42</c:v>
                </c:pt>
                <c:pt idx="254">
                  <c:v>42</c:v>
                </c:pt>
                <c:pt idx="255">
                  <c:v>43</c:v>
                </c:pt>
                <c:pt idx="256">
                  <c:v>43</c:v>
                </c:pt>
                <c:pt idx="257">
                  <c:v>43</c:v>
                </c:pt>
                <c:pt idx="258">
                  <c:v>43</c:v>
                </c:pt>
                <c:pt idx="259">
                  <c:v>43</c:v>
                </c:pt>
                <c:pt idx="260">
                  <c:v>43</c:v>
                </c:pt>
                <c:pt idx="261">
                  <c:v>44</c:v>
                </c:pt>
                <c:pt idx="262">
                  <c:v>44</c:v>
                </c:pt>
                <c:pt idx="263">
                  <c:v>44</c:v>
                </c:pt>
                <c:pt idx="264">
                  <c:v>44</c:v>
                </c:pt>
                <c:pt idx="265">
                  <c:v>44</c:v>
                </c:pt>
                <c:pt idx="266">
                  <c:v>44</c:v>
                </c:pt>
                <c:pt idx="267">
                  <c:v>45</c:v>
                </c:pt>
                <c:pt idx="268">
                  <c:v>45</c:v>
                </c:pt>
                <c:pt idx="269">
                  <c:v>45</c:v>
                </c:pt>
                <c:pt idx="270">
                  <c:v>45</c:v>
                </c:pt>
                <c:pt idx="271">
                  <c:v>45</c:v>
                </c:pt>
                <c:pt idx="272">
                  <c:v>45</c:v>
                </c:pt>
                <c:pt idx="273">
                  <c:v>46</c:v>
                </c:pt>
                <c:pt idx="274">
                  <c:v>46</c:v>
                </c:pt>
                <c:pt idx="275">
                  <c:v>46</c:v>
                </c:pt>
                <c:pt idx="276">
                  <c:v>46</c:v>
                </c:pt>
                <c:pt idx="277">
                  <c:v>46</c:v>
                </c:pt>
                <c:pt idx="278">
                  <c:v>46</c:v>
                </c:pt>
                <c:pt idx="279">
                  <c:v>47</c:v>
                </c:pt>
                <c:pt idx="280">
                  <c:v>47</c:v>
                </c:pt>
                <c:pt idx="281">
                  <c:v>47</c:v>
                </c:pt>
                <c:pt idx="282">
                  <c:v>47</c:v>
                </c:pt>
                <c:pt idx="283">
                  <c:v>47</c:v>
                </c:pt>
                <c:pt idx="284">
                  <c:v>47</c:v>
                </c:pt>
                <c:pt idx="285">
                  <c:v>48</c:v>
                </c:pt>
                <c:pt idx="286">
                  <c:v>48</c:v>
                </c:pt>
                <c:pt idx="287">
                  <c:v>48</c:v>
                </c:pt>
                <c:pt idx="288">
                  <c:v>48</c:v>
                </c:pt>
                <c:pt idx="289">
                  <c:v>48</c:v>
                </c:pt>
                <c:pt idx="290">
                  <c:v>48</c:v>
                </c:pt>
                <c:pt idx="291">
                  <c:v>49</c:v>
                </c:pt>
                <c:pt idx="292">
                  <c:v>49</c:v>
                </c:pt>
                <c:pt idx="293">
                  <c:v>49</c:v>
                </c:pt>
                <c:pt idx="294">
                  <c:v>49</c:v>
                </c:pt>
                <c:pt idx="295">
                  <c:v>49</c:v>
                </c:pt>
                <c:pt idx="296">
                  <c:v>49</c:v>
                </c:pt>
                <c:pt idx="297">
                  <c:v>50</c:v>
                </c:pt>
                <c:pt idx="298">
                  <c:v>50</c:v>
                </c:pt>
                <c:pt idx="299">
                  <c:v>50</c:v>
                </c:pt>
                <c:pt idx="300">
                  <c:v>50</c:v>
                </c:pt>
                <c:pt idx="301">
                  <c:v>50</c:v>
                </c:pt>
                <c:pt idx="302">
                  <c:v>51</c:v>
                </c:pt>
                <c:pt idx="303">
                  <c:v>51</c:v>
                </c:pt>
                <c:pt idx="304">
                  <c:v>51</c:v>
                </c:pt>
                <c:pt idx="305">
                  <c:v>51</c:v>
                </c:pt>
                <c:pt idx="306">
                  <c:v>51</c:v>
                </c:pt>
                <c:pt idx="307">
                  <c:v>51</c:v>
                </c:pt>
                <c:pt idx="308">
                  <c:v>52</c:v>
                </c:pt>
                <c:pt idx="309">
                  <c:v>52</c:v>
                </c:pt>
                <c:pt idx="310">
                  <c:v>52</c:v>
                </c:pt>
                <c:pt idx="311">
                  <c:v>52</c:v>
                </c:pt>
                <c:pt idx="312">
                  <c:v>52</c:v>
                </c:pt>
                <c:pt idx="313">
                  <c:v>53</c:v>
                </c:pt>
                <c:pt idx="314">
                  <c:v>53</c:v>
                </c:pt>
                <c:pt idx="315">
                  <c:v>53</c:v>
                </c:pt>
                <c:pt idx="316">
                  <c:v>53</c:v>
                </c:pt>
                <c:pt idx="317">
                  <c:v>53</c:v>
                </c:pt>
                <c:pt idx="318">
                  <c:v>54</c:v>
                </c:pt>
                <c:pt idx="319">
                  <c:v>54</c:v>
                </c:pt>
                <c:pt idx="320">
                  <c:v>54</c:v>
                </c:pt>
                <c:pt idx="321">
                  <c:v>54</c:v>
                </c:pt>
                <c:pt idx="322">
                  <c:v>54</c:v>
                </c:pt>
                <c:pt idx="323">
                  <c:v>55</c:v>
                </c:pt>
                <c:pt idx="324">
                  <c:v>55</c:v>
                </c:pt>
                <c:pt idx="325">
                  <c:v>55</c:v>
                </c:pt>
                <c:pt idx="326">
                  <c:v>55</c:v>
                </c:pt>
                <c:pt idx="327">
                  <c:v>55</c:v>
                </c:pt>
                <c:pt idx="328">
                  <c:v>56</c:v>
                </c:pt>
                <c:pt idx="329">
                  <c:v>56</c:v>
                </c:pt>
                <c:pt idx="330">
                  <c:v>56</c:v>
                </c:pt>
                <c:pt idx="331">
                  <c:v>56</c:v>
                </c:pt>
                <c:pt idx="332">
                  <c:v>56</c:v>
                </c:pt>
                <c:pt idx="333">
                  <c:v>56</c:v>
                </c:pt>
                <c:pt idx="334">
                  <c:v>57</c:v>
                </c:pt>
                <c:pt idx="335">
                  <c:v>57</c:v>
                </c:pt>
                <c:pt idx="336">
                  <c:v>57</c:v>
                </c:pt>
                <c:pt idx="337">
                  <c:v>57</c:v>
                </c:pt>
                <c:pt idx="338">
                  <c:v>57</c:v>
                </c:pt>
                <c:pt idx="339">
                  <c:v>58</c:v>
                </c:pt>
                <c:pt idx="340">
                  <c:v>58</c:v>
                </c:pt>
                <c:pt idx="341">
                  <c:v>58</c:v>
                </c:pt>
                <c:pt idx="342">
                  <c:v>58</c:v>
                </c:pt>
                <c:pt idx="343">
                  <c:v>58</c:v>
                </c:pt>
                <c:pt idx="344">
                  <c:v>59</c:v>
                </c:pt>
                <c:pt idx="345">
                  <c:v>59</c:v>
                </c:pt>
                <c:pt idx="346">
                  <c:v>59</c:v>
                </c:pt>
                <c:pt idx="347">
                  <c:v>59</c:v>
                </c:pt>
                <c:pt idx="348">
                  <c:v>59</c:v>
                </c:pt>
                <c:pt idx="349">
                  <c:v>60</c:v>
                </c:pt>
                <c:pt idx="350">
                  <c:v>60</c:v>
                </c:pt>
                <c:pt idx="351">
                  <c:v>60</c:v>
                </c:pt>
                <c:pt idx="352">
                  <c:v>60</c:v>
                </c:pt>
                <c:pt idx="353">
                  <c:v>60</c:v>
                </c:pt>
                <c:pt idx="354">
                  <c:v>60</c:v>
                </c:pt>
                <c:pt idx="355">
                  <c:v>61</c:v>
                </c:pt>
                <c:pt idx="356">
                  <c:v>61</c:v>
                </c:pt>
                <c:pt idx="357">
                  <c:v>61</c:v>
                </c:pt>
                <c:pt idx="358">
                  <c:v>61</c:v>
                </c:pt>
                <c:pt idx="359">
                  <c:v>61</c:v>
                </c:pt>
                <c:pt idx="360">
                  <c:v>62</c:v>
                </c:pt>
                <c:pt idx="361">
                  <c:v>62</c:v>
                </c:pt>
                <c:pt idx="362">
                  <c:v>62</c:v>
                </c:pt>
                <c:pt idx="363">
                  <c:v>62</c:v>
                </c:pt>
                <c:pt idx="364">
                  <c:v>62</c:v>
                </c:pt>
                <c:pt idx="365">
                  <c:v>63</c:v>
                </c:pt>
                <c:pt idx="366">
                  <c:v>63</c:v>
                </c:pt>
                <c:pt idx="367">
                  <c:v>63</c:v>
                </c:pt>
                <c:pt idx="368">
                  <c:v>63</c:v>
                </c:pt>
                <c:pt idx="369">
                  <c:v>63</c:v>
                </c:pt>
                <c:pt idx="370">
                  <c:v>64</c:v>
                </c:pt>
                <c:pt idx="371">
                  <c:v>64</c:v>
                </c:pt>
                <c:pt idx="372">
                  <c:v>64</c:v>
                </c:pt>
                <c:pt idx="373">
                  <c:v>64</c:v>
                </c:pt>
                <c:pt idx="374">
                  <c:v>64</c:v>
                </c:pt>
                <c:pt idx="375">
                  <c:v>65</c:v>
                </c:pt>
                <c:pt idx="376">
                  <c:v>65</c:v>
                </c:pt>
                <c:pt idx="377">
                  <c:v>65</c:v>
                </c:pt>
                <c:pt idx="378">
                  <c:v>65</c:v>
                </c:pt>
                <c:pt idx="379">
                  <c:v>65</c:v>
                </c:pt>
                <c:pt idx="380">
                  <c:v>66</c:v>
                </c:pt>
                <c:pt idx="381">
                  <c:v>66</c:v>
                </c:pt>
                <c:pt idx="382">
                  <c:v>66</c:v>
                </c:pt>
                <c:pt idx="383">
                  <c:v>66</c:v>
                </c:pt>
                <c:pt idx="384">
                  <c:v>66</c:v>
                </c:pt>
                <c:pt idx="385">
                  <c:v>66</c:v>
                </c:pt>
                <c:pt idx="386">
                  <c:v>67</c:v>
                </c:pt>
                <c:pt idx="387">
                  <c:v>67</c:v>
                </c:pt>
                <c:pt idx="388">
                  <c:v>67</c:v>
                </c:pt>
                <c:pt idx="389">
                  <c:v>67</c:v>
                </c:pt>
                <c:pt idx="390">
                  <c:v>67</c:v>
                </c:pt>
                <c:pt idx="391">
                  <c:v>68</c:v>
                </c:pt>
                <c:pt idx="392">
                  <c:v>68</c:v>
                </c:pt>
                <c:pt idx="393">
                  <c:v>68</c:v>
                </c:pt>
                <c:pt idx="394">
                  <c:v>68</c:v>
                </c:pt>
                <c:pt idx="395">
                  <c:v>68</c:v>
                </c:pt>
                <c:pt idx="396">
                  <c:v>69</c:v>
                </c:pt>
                <c:pt idx="397">
                  <c:v>69</c:v>
                </c:pt>
                <c:pt idx="398">
                  <c:v>69</c:v>
                </c:pt>
                <c:pt idx="399">
                  <c:v>69</c:v>
                </c:pt>
                <c:pt idx="400">
                  <c:v>69</c:v>
                </c:pt>
                <c:pt idx="401">
                  <c:v>70</c:v>
                </c:pt>
              </c:strCache>
            </c:strRef>
          </c:cat>
          <c:val>
            <c:numRef>
              <c:f>'0703-a'!$B$2:$B$402</c:f>
              <c:numCache>
                <c:formatCode>General</c:formatCode>
                <c:ptCount val="401"/>
                <c:pt idx="0">
                  <c:v>23.2</c:v>
                </c:pt>
                <c:pt idx="1">
                  <c:v>23.3</c:v>
                </c:pt>
                <c:pt idx="2">
                  <c:v>23.2</c:v>
                </c:pt>
                <c:pt idx="3">
                  <c:v>23.7</c:v>
                </c:pt>
                <c:pt idx="4">
                  <c:v>27</c:v>
                </c:pt>
                <c:pt idx="5">
                  <c:v>29.7</c:v>
                </c:pt>
                <c:pt idx="6">
                  <c:v>32</c:v>
                </c:pt>
                <c:pt idx="7">
                  <c:v>34.799999999999997</c:v>
                </c:pt>
                <c:pt idx="8">
                  <c:v>36.6</c:v>
                </c:pt>
                <c:pt idx="9">
                  <c:v>38.4</c:v>
                </c:pt>
                <c:pt idx="10">
                  <c:v>39.700000000000003</c:v>
                </c:pt>
                <c:pt idx="11">
                  <c:v>41</c:v>
                </c:pt>
                <c:pt idx="12">
                  <c:v>41.1</c:v>
                </c:pt>
                <c:pt idx="13">
                  <c:v>42.5</c:v>
                </c:pt>
                <c:pt idx="14">
                  <c:v>43.7</c:v>
                </c:pt>
                <c:pt idx="15">
                  <c:v>44.5</c:v>
                </c:pt>
                <c:pt idx="16">
                  <c:v>46.2</c:v>
                </c:pt>
                <c:pt idx="17">
                  <c:v>46.8</c:v>
                </c:pt>
                <c:pt idx="18">
                  <c:v>47.6</c:v>
                </c:pt>
                <c:pt idx="19">
                  <c:v>47.8</c:v>
                </c:pt>
                <c:pt idx="20">
                  <c:v>48.2</c:v>
                </c:pt>
                <c:pt idx="21">
                  <c:v>50.4</c:v>
                </c:pt>
                <c:pt idx="22">
                  <c:v>49.2</c:v>
                </c:pt>
                <c:pt idx="23">
                  <c:v>50.7</c:v>
                </c:pt>
                <c:pt idx="24">
                  <c:v>51.1</c:v>
                </c:pt>
                <c:pt idx="25">
                  <c:v>52.8</c:v>
                </c:pt>
                <c:pt idx="26">
                  <c:v>52.6</c:v>
                </c:pt>
                <c:pt idx="27">
                  <c:v>52.5</c:v>
                </c:pt>
                <c:pt idx="28">
                  <c:v>53.5</c:v>
                </c:pt>
                <c:pt idx="29">
                  <c:v>54.5</c:v>
                </c:pt>
                <c:pt idx="30">
                  <c:v>54.9</c:v>
                </c:pt>
                <c:pt idx="31">
                  <c:v>55</c:v>
                </c:pt>
                <c:pt idx="32">
                  <c:v>54.4</c:v>
                </c:pt>
                <c:pt idx="33">
                  <c:v>54</c:v>
                </c:pt>
                <c:pt idx="34">
                  <c:v>55</c:v>
                </c:pt>
                <c:pt idx="35">
                  <c:v>57.1</c:v>
                </c:pt>
                <c:pt idx="36">
                  <c:v>58.4</c:v>
                </c:pt>
                <c:pt idx="37">
                  <c:v>57</c:v>
                </c:pt>
                <c:pt idx="38">
                  <c:v>57.4</c:v>
                </c:pt>
                <c:pt idx="39">
                  <c:v>59.2</c:v>
                </c:pt>
                <c:pt idx="40">
                  <c:v>59.3</c:v>
                </c:pt>
                <c:pt idx="41">
                  <c:v>59.1</c:v>
                </c:pt>
                <c:pt idx="42">
                  <c:v>60</c:v>
                </c:pt>
                <c:pt idx="43">
                  <c:v>61.5</c:v>
                </c:pt>
                <c:pt idx="44">
                  <c:v>61.3</c:v>
                </c:pt>
                <c:pt idx="45">
                  <c:v>61.5</c:v>
                </c:pt>
                <c:pt idx="46">
                  <c:v>62.4</c:v>
                </c:pt>
                <c:pt idx="47">
                  <c:v>63.8</c:v>
                </c:pt>
                <c:pt idx="48">
                  <c:v>63.2</c:v>
                </c:pt>
                <c:pt idx="49">
                  <c:v>64.099999999999994</c:v>
                </c:pt>
                <c:pt idx="50">
                  <c:v>63.9</c:v>
                </c:pt>
                <c:pt idx="51">
                  <c:v>64.7</c:v>
                </c:pt>
                <c:pt idx="52">
                  <c:v>64.900000000000006</c:v>
                </c:pt>
                <c:pt idx="53">
                  <c:v>64.2</c:v>
                </c:pt>
                <c:pt idx="54">
                  <c:v>65</c:v>
                </c:pt>
                <c:pt idx="55">
                  <c:v>64.900000000000006</c:v>
                </c:pt>
                <c:pt idx="56">
                  <c:v>65.2</c:v>
                </c:pt>
                <c:pt idx="57">
                  <c:v>66.400000000000006</c:v>
                </c:pt>
                <c:pt idx="58">
                  <c:v>65.099999999999994</c:v>
                </c:pt>
                <c:pt idx="59">
                  <c:v>67.3</c:v>
                </c:pt>
                <c:pt idx="60">
                  <c:v>67.099999999999994</c:v>
                </c:pt>
                <c:pt idx="61">
                  <c:v>67.7</c:v>
                </c:pt>
                <c:pt idx="62">
                  <c:v>67.599999999999994</c:v>
                </c:pt>
                <c:pt idx="63">
                  <c:v>68</c:v>
                </c:pt>
                <c:pt idx="64">
                  <c:v>69.400000000000006</c:v>
                </c:pt>
                <c:pt idx="65">
                  <c:v>70.3</c:v>
                </c:pt>
                <c:pt idx="66">
                  <c:v>69.5</c:v>
                </c:pt>
                <c:pt idx="67">
                  <c:v>68.7</c:v>
                </c:pt>
                <c:pt idx="68">
                  <c:v>69.099999999999994</c:v>
                </c:pt>
                <c:pt idx="69">
                  <c:v>69.7</c:v>
                </c:pt>
                <c:pt idx="70">
                  <c:v>70.7</c:v>
                </c:pt>
                <c:pt idx="71">
                  <c:v>69.8</c:v>
                </c:pt>
                <c:pt idx="72">
                  <c:v>70.3</c:v>
                </c:pt>
                <c:pt idx="73">
                  <c:v>70.2</c:v>
                </c:pt>
                <c:pt idx="74">
                  <c:v>71.2</c:v>
                </c:pt>
                <c:pt idx="75">
                  <c:v>72.400000000000006</c:v>
                </c:pt>
                <c:pt idx="76">
                  <c:v>73</c:v>
                </c:pt>
                <c:pt idx="77">
                  <c:v>72.400000000000006</c:v>
                </c:pt>
                <c:pt idx="78">
                  <c:v>72.599999999999994</c:v>
                </c:pt>
                <c:pt idx="79">
                  <c:v>72.8</c:v>
                </c:pt>
                <c:pt idx="80">
                  <c:v>74.099999999999994</c:v>
                </c:pt>
                <c:pt idx="81">
                  <c:v>73.8</c:v>
                </c:pt>
                <c:pt idx="82">
                  <c:v>73.400000000000006</c:v>
                </c:pt>
                <c:pt idx="83">
                  <c:v>75.3</c:v>
                </c:pt>
                <c:pt idx="84">
                  <c:v>75.5</c:v>
                </c:pt>
                <c:pt idx="85">
                  <c:v>76.2</c:v>
                </c:pt>
                <c:pt idx="86">
                  <c:v>76.599999999999994</c:v>
                </c:pt>
                <c:pt idx="87">
                  <c:v>75.5</c:v>
                </c:pt>
                <c:pt idx="88">
                  <c:v>76.5</c:v>
                </c:pt>
                <c:pt idx="89">
                  <c:v>77.400000000000006</c:v>
                </c:pt>
                <c:pt idx="90">
                  <c:v>79.2</c:v>
                </c:pt>
                <c:pt idx="91">
                  <c:v>77.599999999999994</c:v>
                </c:pt>
                <c:pt idx="92">
                  <c:v>78</c:v>
                </c:pt>
                <c:pt idx="93">
                  <c:v>78.8</c:v>
                </c:pt>
                <c:pt idx="94">
                  <c:v>79.3</c:v>
                </c:pt>
                <c:pt idx="95">
                  <c:v>78.900000000000006</c:v>
                </c:pt>
                <c:pt idx="96">
                  <c:v>77.8</c:v>
                </c:pt>
                <c:pt idx="97">
                  <c:v>78.2</c:v>
                </c:pt>
                <c:pt idx="98">
                  <c:v>78</c:v>
                </c:pt>
                <c:pt idx="99">
                  <c:v>78.5</c:v>
                </c:pt>
                <c:pt idx="100">
                  <c:v>79.5</c:v>
                </c:pt>
                <c:pt idx="101">
                  <c:v>81.5</c:v>
                </c:pt>
                <c:pt idx="102">
                  <c:v>79.900000000000006</c:v>
                </c:pt>
                <c:pt idx="103">
                  <c:v>79.400000000000006</c:v>
                </c:pt>
                <c:pt idx="104">
                  <c:v>80.599999999999994</c:v>
                </c:pt>
                <c:pt idx="105">
                  <c:v>79.7</c:v>
                </c:pt>
                <c:pt idx="106">
                  <c:v>79.599999999999994</c:v>
                </c:pt>
                <c:pt idx="107">
                  <c:v>80.400000000000006</c:v>
                </c:pt>
                <c:pt idx="108">
                  <c:v>80.5</c:v>
                </c:pt>
                <c:pt idx="109">
                  <c:v>80.2</c:v>
                </c:pt>
                <c:pt idx="110">
                  <c:v>79.900000000000006</c:v>
                </c:pt>
                <c:pt idx="111">
                  <c:v>79.599999999999994</c:v>
                </c:pt>
                <c:pt idx="112">
                  <c:v>79.7</c:v>
                </c:pt>
                <c:pt idx="113">
                  <c:v>79.599999999999994</c:v>
                </c:pt>
                <c:pt idx="114">
                  <c:v>79.3</c:v>
                </c:pt>
                <c:pt idx="115">
                  <c:v>79.599999999999994</c:v>
                </c:pt>
                <c:pt idx="116">
                  <c:v>80.5</c:v>
                </c:pt>
                <c:pt idx="117">
                  <c:v>81.2</c:v>
                </c:pt>
                <c:pt idx="118">
                  <c:v>80.400000000000006</c:v>
                </c:pt>
                <c:pt idx="119">
                  <c:v>82.4</c:v>
                </c:pt>
                <c:pt idx="120">
                  <c:v>81.099999999999994</c:v>
                </c:pt>
                <c:pt idx="121">
                  <c:v>81.2</c:v>
                </c:pt>
                <c:pt idx="122">
                  <c:v>80.099999999999994</c:v>
                </c:pt>
                <c:pt idx="123">
                  <c:v>79.3</c:v>
                </c:pt>
                <c:pt idx="124">
                  <c:v>80.5</c:v>
                </c:pt>
                <c:pt idx="125">
                  <c:v>80.2</c:v>
                </c:pt>
                <c:pt idx="126">
                  <c:v>79.5</c:v>
                </c:pt>
                <c:pt idx="127">
                  <c:v>79.8</c:v>
                </c:pt>
                <c:pt idx="128">
                  <c:v>79.400000000000006</c:v>
                </c:pt>
                <c:pt idx="129">
                  <c:v>81</c:v>
                </c:pt>
                <c:pt idx="130">
                  <c:v>80.599999999999994</c:v>
                </c:pt>
                <c:pt idx="131">
                  <c:v>80.5</c:v>
                </c:pt>
                <c:pt idx="132">
                  <c:v>80.099999999999994</c:v>
                </c:pt>
                <c:pt idx="133">
                  <c:v>79.2</c:v>
                </c:pt>
                <c:pt idx="134">
                  <c:v>79</c:v>
                </c:pt>
                <c:pt idx="135">
                  <c:v>79.7</c:v>
                </c:pt>
                <c:pt idx="136">
                  <c:v>79.8</c:v>
                </c:pt>
                <c:pt idx="137">
                  <c:v>80.400000000000006</c:v>
                </c:pt>
                <c:pt idx="138">
                  <c:v>80</c:v>
                </c:pt>
                <c:pt idx="139">
                  <c:v>81</c:v>
                </c:pt>
                <c:pt idx="140">
                  <c:v>80.7</c:v>
                </c:pt>
                <c:pt idx="141">
                  <c:v>80.400000000000006</c:v>
                </c:pt>
                <c:pt idx="142">
                  <c:v>80.2</c:v>
                </c:pt>
                <c:pt idx="143">
                  <c:v>80.8</c:v>
                </c:pt>
                <c:pt idx="144">
                  <c:v>81</c:v>
                </c:pt>
                <c:pt idx="145">
                  <c:v>79.7</c:v>
                </c:pt>
                <c:pt idx="146">
                  <c:v>78.8</c:v>
                </c:pt>
                <c:pt idx="147">
                  <c:v>79.5</c:v>
                </c:pt>
                <c:pt idx="148">
                  <c:v>79.5</c:v>
                </c:pt>
                <c:pt idx="149">
                  <c:v>80.7</c:v>
                </c:pt>
                <c:pt idx="150">
                  <c:v>80.8</c:v>
                </c:pt>
                <c:pt idx="151">
                  <c:v>80.599999999999994</c:v>
                </c:pt>
                <c:pt idx="152">
                  <c:v>79.8</c:v>
                </c:pt>
                <c:pt idx="153">
                  <c:v>80.099999999999994</c:v>
                </c:pt>
                <c:pt idx="154">
                  <c:v>80</c:v>
                </c:pt>
                <c:pt idx="155">
                  <c:v>80.099999999999994</c:v>
                </c:pt>
                <c:pt idx="156">
                  <c:v>79.7</c:v>
                </c:pt>
                <c:pt idx="157">
                  <c:v>79.599999999999994</c:v>
                </c:pt>
                <c:pt idx="158">
                  <c:v>79.599999999999994</c:v>
                </c:pt>
                <c:pt idx="159">
                  <c:v>80.599999999999994</c:v>
                </c:pt>
                <c:pt idx="160">
                  <c:v>79.8</c:v>
                </c:pt>
                <c:pt idx="161">
                  <c:v>79.900000000000006</c:v>
                </c:pt>
                <c:pt idx="162">
                  <c:v>80.3</c:v>
                </c:pt>
                <c:pt idx="163">
                  <c:v>80.3</c:v>
                </c:pt>
                <c:pt idx="164">
                  <c:v>79.3</c:v>
                </c:pt>
                <c:pt idx="165">
                  <c:v>79.099999999999994</c:v>
                </c:pt>
                <c:pt idx="166">
                  <c:v>79.8</c:v>
                </c:pt>
                <c:pt idx="167">
                  <c:v>80.7</c:v>
                </c:pt>
                <c:pt idx="168">
                  <c:v>81.2</c:v>
                </c:pt>
                <c:pt idx="169">
                  <c:v>80.2</c:v>
                </c:pt>
                <c:pt idx="170">
                  <c:v>79.599999999999994</c:v>
                </c:pt>
                <c:pt idx="171">
                  <c:v>79.3</c:v>
                </c:pt>
                <c:pt idx="172">
                  <c:v>79.400000000000006</c:v>
                </c:pt>
                <c:pt idx="173">
                  <c:v>80.8</c:v>
                </c:pt>
                <c:pt idx="174">
                  <c:v>80.599999999999994</c:v>
                </c:pt>
                <c:pt idx="175">
                  <c:v>79.8</c:v>
                </c:pt>
                <c:pt idx="176">
                  <c:v>79.900000000000006</c:v>
                </c:pt>
                <c:pt idx="177">
                  <c:v>79.900000000000006</c:v>
                </c:pt>
                <c:pt idx="178">
                  <c:v>80.2</c:v>
                </c:pt>
                <c:pt idx="179">
                  <c:v>80.099999999999994</c:v>
                </c:pt>
                <c:pt idx="180">
                  <c:v>79.400000000000006</c:v>
                </c:pt>
                <c:pt idx="181">
                  <c:v>79.2</c:v>
                </c:pt>
                <c:pt idx="182">
                  <c:v>79.7</c:v>
                </c:pt>
                <c:pt idx="183">
                  <c:v>79.8</c:v>
                </c:pt>
                <c:pt idx="184">
                  <c:v>80.400000000000006</c:v>
                </c:pt>
                <c:pt idx="185">
                  <c:v>80.8</c:v>
                </c:pt>
                <c:pt idx="186">
                  <c:v>80</c:v>
                </c:pt>
                <c:pt idx="187">
                  <c:v>79</c:v>
                </c:pt>
                <c:pt idx="188">
                  <c:v>79.8</c:v>
                </c:pt>
                <c:pt idx="189">
                  <c:v>80.400000000000006</c:v>
                </c:pt>
                <c:pt idx="190">
                  <c:v>80.400000000000006</c:v>
                </c:pt>
                <c:pt idx="191">
                  <c:v>80.400000000000006</c:v>
                </c:pt>
                <c:pt idx="192">
                  <c:v>79.900000000000006</c:v>
                </c:pt>
                <c:pt idx="193">
                  <c:v>79.3</c:v>
                </c:pt>
                <c:pt idx="194">
                  <c:v>79.599999999999994</c:v>
                </c:pt>
                <c:pt idx="195">
                  <c:v>80.3</c:v>
                </c:pt>
                <c:pt idx="196">
                  <c:v>80.400000000000006</c:v>
                </c:pt>
                <c:pt idx="197">
                  <c:v>80.3</c:v>
                </c:pt>
                <c:pt idx="198">
                  <c:v>79.900000000000006</c:v>
                </c:pt>
                <c:pt idx="199">
                  <c:v>79.5</c:v>
                </c:pt>
                <c:pt idx="200">
                  <c:v>79.3</c:v>
                </c:pt>
                <c:pt idx="201">
                  <c:v>79.900000000000006</c:v>
                </c:pt>
                <c:pt idx="202">
                  <c:v>80.2</c:v>
                </c:pt>
                <c:pt idx="203">
                  <c:v>80</c:v>
                </c:pt>
                <c:pt idx="204">
                  <c:v>79.900000000000006</c:v>
                </c:pt>
                <c:pt idx="205">
                  <c:v>79.8</c:v>
                </c:pt>
                <c:pt idx="206">
                  <c:v>79.900000000000006</c:v>
                </c:pt>
                <c:pt idx="207">
                  <c:v>80.3</c:v>
                </c:pt>
                <c:pt idx="208">
                  <c:v>80.599999999999994</c:v>
                </c:pt>
                <c:pt idx="209">
                  <c:v>80.599999999999994</c:v>
                </c:pt>
                <c:pt idx="210">
                  <c:v>81.2</c:v>
                </c:pt>
                <c:pt idx="211">
                  <c:v>82.8</c:v>
                </c:pt>
                <c:pt idx="212">
                  <c:v>83.1</c:v>
                </c:pt>
                <c:pt idx="213">
                  <c:v>82.7</c:v>
                </c:pt>
                <c:pt idx="214">
                  <c:v>81.7</c:v>
                </c:pt>
                <c:pt idx="215">
                  <c:v>80.599999999999994</c:v>
                </c:pt>
                <c:pt idx="216">
                  <c:v>79.8</c:v>
                </c:pt>
                <c:pt idx="217">
                  <c:v>79.099999999999994</c:v>
                </c:pt>
                <c:pt idx="218">
                  <c:v>78.599999999999994</c:v>
                </c:pt>
                <c:pt idx="219">
                  <c:v>78.099999999999994</c:v>
                </c:pt>
                <c:pt idx="220">
                  <c:v>77.7</c:v>
                </c:pt>
                <c:pt idx="221">
                  <c:v>77.5</c:v>
                </c:pt>
                <c:pt idx="222">
                  <c:v>76.8</c:v>
                </c:pt>
                <c:pt idx="223">
                  <c:v>76.5</c:v>
                </c:pt>
                <c:pt idx="224">
                  <c:v>76.3</c:v>
                </c:pt>
                <c:pt idx="225">
                  <c:v>76.5</c:v>
                </c:pt>
                <c:pt idx="226">
                  <c:v>81.2</c:v>
                </c:pt>
                <c:pt idx="227">
                  <c:v>82.7</c:v>
                </c:pt>
                <c:pt idx="228">
                  <c:v>84.3</c:v>
                </c:pt>
                <c:pt idx="229">
                  <c:v>86.8</c:v>
                </c:pt>
                <c:pt idx="230">
                  <c:v>89</c:v>
                </c:pt>
                <c:pt idx="231">
                  <c:v>89.8</c:v>
                </c:pt>
                <c:pt idx="232">
                  <c:v>93.1</c:v>
                </c:pt>
                <c:pt idx="233">
                  <c:v>93.2</c:v>
                </c:pt>
                <c:pt idx="234">
                  <c:v>92</c:v>
                </c:pt>
                <c:pt idx="235">
                  <c:v>91.1</c:v>
                </c:pt>
                <c:pt idx="236">
                  <c:v>90.3</c:v>
                </c:pt>
                <c:pt idx="237">
                  <c:v>87.9</c:v>
                </c:pt>
                <c:pt idx="238">
                  <c:v>85.6</c:v>
                </c:pt>
                <c:pt idx="239">
                  <c:v>66</c:v>
                </c:pt>
                <c:pt idx="240">
                  <c:v>52.7</c:v>
                </c:pt>
                <c:pt idx="241">
                  <c:v>50.3</c:v>
                </c:pt>
                <c:pt idx="242">
                  <c:v>60.4</c:v>
                </c:pt>
                <c:pt idx="243">
                  <c:v>66.2</c:v>
                </c:pt>
                <c:pt idx="244">
                  <c:v>69.8</c:v>
                </c:pt>
                <c:pt idx="245">
                  <c:v>72.8</c:v>
                </c:pt>
                <c:pt idx="246">
                  <c:v>76.599999999999994</c:v>
                </c:pt>
                <c:pt idx="247">
                  <c:v>82.3</c:v>
                </c:pt>
                <c:pt idx="248">
                  <c:v>83.3</c:v>
                </c:pt>
                <c:pt idx="249">
                  <c:v>84.9</c:v>
                </c:pt>
                <c:pt idx="250">
                  <c:v>87.5</c:v>
                </c:pt>
                <c:pt idx="251">
                  <c:v>89.8</c:v>
                </c:pt>
                <c:pt idx="252">
                  <c:v>92.4</c:v>
                </c:pt>
                <c:pt idx="253">
                  <c:v>92.2</c:v>
                </c:pt>
                <c:pt idx="254">
                  <c:v>91.2</c:v>
                </c:pt>
                <c:pt idx="255">
                  <c:v>90.3</c:v>
                </c:pt>
                <c:pt idx="256">
                  <c:v>89.7</c:v>
                </c:pt>
                <c:pt idx="257">
                  <c:v>90.7</c:v>
                </c:pt>
                <c:pt idx="258">
                  <c:v>87.9</c:v>
                </c:pt>
                <c:pt idx="259">
                  <c:v>86.1</c:v>
                </c:pt>
                <c:pt idx="260">
                  <c:v>84.7</c:v>
                </c:pt>
                <c:pt idx="261">
                  <c:v>83.7</c:v>
                </c:pt>
                <c:pt idx="262">
                  <c:v>82.9</c:v>
                </c:pt>
                <c:pt idx="263">
                  <c:v>81.900000000000006</c:v>
                </c:pt>
                <c:pt idx="264">
                  <c:v>81.3</c:v>
                </c:pt>
                <c:pt idx="265">
                  <c:v>81</c:v>
                </c:pt>
                <c:pt idx="266">
                  <c:v>80.400000000000006</c:v>
                </c:pt>
                <c:pt idx="267">
                  <c:v>80.2</c:v>
                </c:pt>
                <c:pt idx="268">
                  <c:v>80.099999999999994</c:v>
                </c:pt>
                <c:pt idx="269">
                  <c:v>79.599999999999994</c:v>
                </c:pt>
                <c:pt idx="270">
                  <c:v>79.3</c:v>
                </c:pt>
                <c:pt idx="271">
                  <c:v>79</c:v>
                </c:pt>
                <c:pt idx="272">
                  <c:v>78.900000000000006</c:v>
                </c:pt>
                <c:pt idx="273">
                  <c:v>78.7</c:v>
                </c:pt>
                <c:pt idx="274">
                  <c:v>78.400000000000006</c:v>
                </c:pt>
                <c:pt idx="275">
                  <c:v>78</c:v>
                </c:pt>
                <c:pt idx="276">
                  <c:v>78.099999999999994</c:v>
                </c:pt>
                <c:pt idx="277">
                  <c:v>77.900000000000006</c:v>
                </c:pt>
                <c:pt idx="278">
                  <c:v>77.599999999999994</c:v>
                </c:pt>
                <c:pt idx="279">
                  <c:v>77.3</c:v>
                </c:pt>
                <c:pt idx="280">
                  <c:v>77.2</c:v>
                </c:pt>
                <c:pt idx="281">
                  <c:v>77.099999999999994</c:v>
                </c:pt>
                <c:pt idx="282">
                  <c:v>76.900000000000006</c:v>
                </c:pt>
                <c:pt idx="283">
                  <c:v>74.099999999999994</c:v>
                </c:pt>
                <c:pt idx="284">
                  <c:v>64.400000000000006</c:v>
                </c:pt>
                <c:pt idx="285">
                  <c:v>68.7</c:v>
                </c:pt>
                <c:pt idx="286">
                  <c:v>71.2</c:v>
                </c:pt>
                <c:pt idx="287">
                  <c:v>72.8</c:v>
                </c:pt>
                <c:pt idx="288">
                  <c:v>73.3</c:v>
                </c:pt>
                <c:pt idx="289">
                  <c:v>73.5</c:v>
                </c:pt>
                <c:pt idx="290">
                  <c:v>73.900000000000006</c:v>
                </c:pt>
                <c:pt idx="291">
                  <c:v>76.3</c:v>
                </c:pt>
                <c:pt idx="292">
                  <c:v>79.7</c:v>
                </c:pt>
                <c:pt idx="293">
                  <c:v>85.1</c:v>
                </c:pt>
                <c:pt idx="294">
                  <c:v>85.9</c:v>
                </c:pt>
                <c:pt idx="295">
                  <c:v>86.6</c:v>
                </c:pt>
                <c:pt idx="296">
                  <c:v>89.7</c:v>
                </c:pt>
                <c:pt idx="297">
                  <c:v>92.2</c:v>
                </c:pt>
                <c:pt idx="298">
                  <c:v>93.4</c:v>
                </c:pt>
                <c:pt idx="299">
                  <c:v>91.4</c:v>
                </c:pt>
                <c:pt idx="300">
                  <c:v>90.8</c:v>
                </c:pt>
                <c:pt idx="301">
                  <c:v>91.2</c:v>
                </c:pt>
                <c:pt idx="302">
                  <c:v>89.9</c:v>
                </c:pt>
                <c:pt idx="303">
                  <c:v>90.7</c:v>
                </c:pt>
                <c:pt idx="304">
                  <c:v>89.8</c:v>
                </c:pt>
                <c:pt idx="305">
                  <c:v>89.4</c:v>
                </c:pt>
                <c:pt idx="306">
                  <c:v>91.4</c:v>
                </c:pt>
                <c:pt idx="307">
                  <c:v>90.2</c:v>
                </c:pt>
                <c:pt idx="308">
                  <c:v>89.4</c:v>
                </c:pt>
                <c:pt idx="309">
                  <c:v>89.7</c:v>
                </c:pt>
                <c:pt idx="310">
                  <c:v>89.5</c:v>
                </c:pt>
                <c:pt idx="311">
                  <c:v>90.1</c:v>
                </c:pt>
                <c:pt idx="312">
                  <c:v>88.5</c:v>
                </c:pt>
                <c:pt idx="313">
                  <c:v>89.1</c:v>
                </c:pt>
                <c:pt idx="314">
                  <c:v>92.1</c:v>
                </c:pt>
                <c:pt idx="315">
                  <c:v>92.1</c:v>
                </c:pt>
                <c:pt idx="316">
                  <c:v>89.9</c:v>
                </c:pt>
                <c:pt idx="317">
                  <c:v>89.9</c:v>
                </c:pt>
                <c:pt idx="318">
                  <c:v>90.6</c:v>
                </c:pt>
                <c:pt idx="319">
                  <c:v>89.5</c:v>
                </c:pt>
                <c:pt idx="320">
                  <c:v>89.1</c:v>
                </c:pt>
                <c:pt idx="321">
                  <c:v>90.2</c:v>
                </c:pt>
                <c:pt idx="322">
                  <c:v>89.8</c:v>
                </c:pt>
                <c:pt idx="323">
                  <c:v>90.1</c:v>
                </c:pt>
                <c:pt idx="324">
                  <c:v>90.2</c:v>
                </c:pt>
                <c:pt idx="325">
                  <c:v>89.3</c:v>
                </c:pt>
                <c:pt idx="326">
                  <c:v>90.9</c:v>
                </c:pt>
                <c:pt idx="327">
                  <c:v>90.5</c:v>
                </c:pt>
                <c:pt idx="328">
                  <c:v>89.6</c:v>
                </c:pt>
                <c:pt idx="329">
                  <c:v>90.3</c:v>
                </c:pt>
                <c:pt idx="330">
                  <c:v>89.4</c:v>
                </c:pt>
                <c:pt idx="331">
                  <c:v>89.4</c:v>
                </c:pt>
                <c:pt idx="332">
                  <c:v>89.9</c:v>
                </c:pt>
                <c:pt idx="333">
                  <c:v>89.7</c:v>
                </c:pt>
                <c:pt idx="334">
                  <c:v>89.1</c:v>
                </c:pt>
                <c:pt idx="335">
                  <c:v>90.1</c:v>
                </c:pt>
                <c:pt idx="336">
                  <c:v>90.1</c:v>
                </c:pt>
                <c:pt idx="337">
                  <c:v>91.5</c:v>
                </c:pt>
                <c:pt idx="338">
                  <c:v>91.1</c:v>
                </c:pt>
                <c:pt idx="339">
                  <c:v>89.7</c:v>
                </c:pt>
                <c:pt idx="340">
                  <c:v>90</c:v>
                </c:pt>
                <c:pt idx="341">
                  <c:v>89.7</c:v>
                </c:pt>
                <c:pt idx="342">
                  <c:v>89</c:v>
                </c:pt>
                <c:pt idx="343">
                  <c:v>90.8</c:v>
                </c:pt>
                <c:pt idx="344">
                  <c:v>90.4</c:v>
                </c:pt>
                <c:pt idx="345">
                  <c:v>89.4</c:v>
                </c:pt>
                <c:pt idx="346">
                  <c:v>90</c:v>
                </c:pt>
                <c:pt idx="347">
                  <c:v>89.6</c:v>
                </c:pt>
                <c:pt idx="348">
                  <c:v>89.1</c:v>
                </c:pt>
                <c:pt idx="349">
                  <c:v>90.9</c:v>
                </c:pt>
                <c:pt idx="350">
                  <c:v>90.6</c:v>
                </c:pt>
                <c:pt idx="351">
                  <c:v>89.7</c:v>
                </c:pt>
                <c:pt idx="352">
                  <c:v>89.7</c:v>
                </c:pt>
                <c:pt idx="353">
                  <c:v>89.7</c:v>
                </c:pt>
                <c:pt idx="354">
                  <c:v>89.6</c:v>
                </c:pt>
                <c:pt idx="355">
                  <c:v>89.6</c:v>
                </c:pt>
                <c:pt idx="356">
                  <c:v>89.4</c:v>
                </c:pt>
                <c:pt idx="357">
                  <c:v>91.5</c:v>
                </c:pt>
                <c:pt idx="358">
                  <c:v>93.1</c:v>
                </c:pt>
                <c:pt idx="359">
                  <c:v>91.3</c:v>
                </c:pt>
                <c:pt idx="360">
                  <c:v>90.8</c:v>
                </c:pt>
                <c:pt idx="361">
                  <c:v>90.5</c:v>
                </c:pt>
                <c:pt idx="362">
                  <c:v>89.5</c:v>
                </c:pt>
                <c:pt idx="363">
                  <c:v>90.1</c:v>
                </c:pt>
                <c:pt idx="364">
                  <c:v>89.6</c:v>
                </c:pt>
                <c:pt idx="365">
                  <c:v>89.6</c:v>
                </c:pt>
                <c:pt idx="366">
                  <c:v>89.6</c:v>
                </c:pt>
                <c:pt idx="367">
                  <c:v>89.9</c:v>
                </c:pt>
                <c:pt idx="368">
                  <c:v>90.1</c:v>
                </c:pt>
                <c:pt idx="369">
                  <c:v>89.9</c:v>
                </c:pt>
                <c:pt idx="370">
                  <c:v>89.9</c:v>
                </c:pt>
                <c:pt idx="371">
                  <c:v>89.9</c:v>
                </c:pt>
                <c:pt idx="372">
                  <c:v>91.2</c:v>
                </c:pt>
                <c:pt idx="373">
                  <c:v>90.4</c:v>
                </c:pt>
                <c:pt idx="374">
                  <c:v>90.1</c:v>
                </c:pt>
                <c:pt idx="375">
                  <c:v>90</c:v>
                </c:pt>
                <c:pt idx="376">
                  <c:v>89.8</c:v>
                </c:pt>
                <c:pt idx="377">
                  <c:v>89.7</c:v>
                </c:pt>
                <c:pt idx="378">
                  <c:v>89.7</c:v>
                </c:pt>
                <c:pt idx="379">
                  <c:v>89.8</c:v>
                </c:pt>
                <c:pt idx="380">
                  <c:v>89</c:v>
                </c:pt>
                <c:pt idx="381">
                  <c:v>89.5</c:v>
                </c:pt>
                <c:pt idx="382">
                  <c:v>89.6</c:v>
                </c:pt>
                <c:pt idx="383">
                  <c:v>92.7</c:v>
                </c:pt>
                <c:pt idx="384">
                  <c:v>92.7</c:v>
                </c:pt>
                <c:pt idx="385">
                  <c:v>90.7</c:v>
                </c:pt>
                <c:pt idx="386">
                  <c:v>90.2</c:v>
                </c:pt>
                <c:pt idx="387">
                  <c:v>89.6</c:v>
                </c:pt>
                <c:pt idx="388">
                  <c:v>89.3</c:v>
                </c:pt>
                <c:pt idx="389">
                  <c:v>90.3</c:v>
                </c:pt>
                <c:pt idx="390">
                  <c:v>89.6</c:v>
                </c:pt>
                <c:pt idx="391">
                  <c:v>89.5</c:v>
                </c:pt>
                <c:pt idx="392">
                  <c:v>90.5</c:v>
                </c:pt>
                <c:pt idx="393">
                  <c:v>90.7</c:v>
                </c:pt>
                <c:pt idx="394">
                  <c:v>89.5</c:v>
                </c:pt>
                <c:pt idx="395">
                  <c:v>90.1</c:v>
                </c:pt>
                <c:pt idx="396">
                  <c:v>89.7</c:v>
                </c:pt>
                <c:pt idx="397">
                  <c:v>89.5</c:v>
                </c:pt>
                <c:pt idx="398">
                  <c:v>90.3</c:v>
                </c:pt>
                <c:pt idx="399">
                  <c:v>90.1</c:v>
                </c:pt>
                <c:pt idx="400">
                  <c:v>89.5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00-48AE-BD82-EF0F9ABD1F5F}"/>
            </c:ext>
          </c:extLst>
        </c:ser>
        <c:ser>
          <c:idx val="2"/>
          <c:order val="2"/>
          <c:tx>
            <c:strRef>
              <c:f>'0703-a'!$C$1</c:f>
              <c:strCache>
                <c:ptCount val="1"/>
                <c:pt idx="0">
                  <c:v>PWM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'0703-a'!$A:$A</c:f>
              <c:strCache>
                <c:ptCount val="402"/>
                <c:pt idx="0">
                  <c:v>time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8</c:v>
                </c:pt>
                <c:pt idx="52">
                  <c:v>8</c:v>
                </c:pt>
                <c:pt idx="53">
                  <c:v>8</c:v>
                </c:pt>
                <c:pt idx="54">
                  <c:v>9</c:v>
                </c:pt>
                <c:pt idx="55">
                  <c:v>9</c:v>
                </c:pt>
                <c:pt idx="56">
                  <c:v>9</c:v>
                </c:pt>
                <c:pt idx="57">
                  <c:v>9</c:v>
                </c:pt>
                <c:pt idx="58">
                  <c:v>9</c:v>
                </c:pt>
                <c:pt idx="59">
                  <c:v>9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11</c:v>
                </c:pt>
                <c:pt idx="67">
                  <c:v>11</c:v>
                </c:pt>
                <c:pt idx="68">
                  <c:v>11</c:v>
                </c:pt>
                <c:pt idx="69">
                  <c:v>11</c:v>
                </c:pt>
                <c:pt idx="70">
                  <c:v>11</c:v>
                </c:pt>
                <c:pt idx="71">
                  <c:v>11</c:v>
                </c:pt>
                <c:pt idx="72">
                  <c:v>12</c:v>
                </c:pt>
                <c:pt idx="73">
                  <c:v>12</c:v>
                </c:pt>
                <c:pt idx="74">
                  <c:v>12</c:v>
                </c:pt>
                <c:pt idx="75">
                  <c:v>12</c:v>
                </c:pt>
                <c:pt idx="76">
                  <c:v>12</c:v>
                </c:pt>
                <c:pt idx="77">
                  <c:v>12</c:v>
                </c:pt>
                <c:pt idx="78">
                  <c:v>13</c:v>
                </c:pt>
                <c:pt idx="79">
                  <c:v>13</c:v>
                </c:pt>
                <c:pt idx="80">
                  <c:v>13</c:v>
                </c:pt>
                <c:pt idx="81">
                  <c:v>13</c:v>
                </c:pt>
                <c:pt idx="82">
                  <c:v>13</c:v>
                </c:pt>
                <c:pt idx="83">
                  <c:v>13</c:v>
                </c:pt>
                <c:pt idx="84">
                  <c:v>14</c:v>
                </c:pt>
                <c:pt idx="85">
                  <c:v>14</c:v>
                </c:pt>
                <c:pt idx="86">
                  <c:v>14</c:v>
                </c:pt>
                <c:pt idx="87">
                  <c:v>14</c:v>
                </c:pt>
                <c:pt idx="88">
                  <c:v>14</c:v>
                </c:pt>
                <c:pt idx="89">
                  <c:v>14</c:v>
                </c:pt>
                <c:pt idx="90">
                  <c:v>15</c:v>
                </c:pt>
                <c:pt idx="91">
                  <c:v>15</c:v>
                </c:pt>
                <c:pt idx="92">
                  <c:v>15</c:v>
                </c:pt>
                <c:pt idx="93">
                  <c:v>15</c:v>
                </c:pt>
                <c:pt idx="94">
                  <c:v>15</c:v>
                </c:pt>
                <c:pt idx="95">
                  <c:v>15</c:v>
                </c:pt>
                <c:pt idx="96">
                  <c:v>16</c:v>
                </c:pt>
                <c:pt idx="97">
                  <c:v>16</c:v>
                </c:pt>
                <c:pt idx="98">
                  <c:v>16</c:v>
                </c:pt>
                <c:pt idx="99">
                  <c:v>16</c:v>
                </c:pt>
                <c:pt idx="100">
                  <c:v>16</c:v>
                </c:pt>
                <c:pt idx="101">
                  <c:v>16</c:v>
                </c:pt>
                <c:pt idx="102">
                  <c:v>17</c:v>
                </c:pt>
                <c:pt idx="103">
                  <c:v>17</c:v>
                </c:pt>
                <c:pt idx="104">
                  <c:v>17</c:v>
                </c:pt>
                <c:pt idx="105">
                  <c:v>17</c:v>
                </c:pt>
                <c:pt idx="106">
                  <c:v>17</c:v>
                </c:pt>
                <c:pt idx="107">
                  <c:v>17</c:v>
                </c:pt>
                <c:pt idx="108">
                  <c:v>18</c:v>
                </c:pt>
                <c:pt idx="109">
                  <c:v>18</c:v>
                </c:pt>
                <c:pt idx="110">
                  <c:v>18</c:v>
                </c:pt>
                <c:pt idx="111">
                  <c:v>18</c:v>
                </c:pt>
                <c:pt idx="112">
                  <c:v>18</c:v>
                </c:pt>
                <c:pt idx="113">
                  <c:v>18</c:v>
                </c:pt>
                <c:pt idx="114">
                  <c:v>19</c:v>
                </c:pt>
                <c:pt idx="115">
                  <c:v>19</c:v>
                </c:pt>
                <c:pt idx="116">
                  <c:v>19</c:v>
                </c:pt>
                <c:pt idx="117">
                  <c:v>19</c:v>
                </c:pt>
                <c:pt idx="118">
                  <c:v>19</c:v>
                </c:pt>
                <c:pt idx="119">
                  <c:v>19</c:v>
                </c:pt>
                <c:pt idx="120">
                  <c:v>20</c:v>
                </c:pt>
                <c:pt idx="121">
                  <c:v>20</c:v>
                </c:pt>
                <c:pt idx="122">
                  <c:v>20</c:v>
                </c:pt>
                <c:pt idx="123">
                  <c:v>20</c:v>
                </c:pt>
                <c:pt idx="124">
                  <c:v>20</c:v>
                </c:pt>
                <c:pt idx="125">
                  <c:v>20</c:v>
                </c:pt>
                <c:pt idx="126">
                  <c:v>21</c:v>
                </c:pt>
                <c:pt idx="127">
                  <c:v>21</c:v>
                </c:pt>
                <c:pt idx="128">
                  <c:v>21</c:v>
                </c:pt>
                <c:pt idx="129">
                  <c:v>21</c:v>
                </c:pt>
                <c:pt idx="130">
                  <c:v>21</c:v>
                </c:pt>
                <c:pt idx="131">
                  <c:v>21</c:v>
                </c:pt>
                <c:pt idx="132">
                  <c:v>22</c:v>
                </c:pt>
                <c:pt idx="133">
                  <c:v>22</c:v>
                </c:pt>
                <c:pt idx="134">
                  <c:v>22</c:v>
                </c:pt>
                <c:pt idx="135">
                  <c:v>22</c:v>
                </c:pt>
                <c:pt idx="136">
                  <c:v>22</c:v>
                </c:pt>
                <c:pt idx="137">
                  <c:v>22</c:v>
                </c:pt>
                <c:pt idx="138">
                  <c:v>23</c:v>
                </c:pt>
                <c:pt idx="139">
                  <c:v>23</c:v>
                </c:pt>
                <c:pt idx="140">
                  <c:v>23</c:v>
                </c:pt>
                <c:pt idx="141">
                  <c:v>23</c:v>
                </c:pt>
                <c:pt idx="142">
                  <c:v>23</c:v>
                </c:pt>
                <c:pt idx="143">
                  <c:v>23</c:v>
                </c:pt>
                <c:pt idx="144">
                  <c:v>24</c:v>
                </c:pt>
                <c:pt idx="145">
                  <c:v>24</c:v>
                </c:pt>
                <c:pt idx="146">
                  <c:v>24</c:v>
                </c:pt>
                <c:pt idx="147">
                  <c:v>24</c:v>
                </c:pt>
                <c:pt idx="148">
                  <c:v>24</c:v>
                </c:pt>
                <c:pt idx="149">
                  <c:v>24</c:v>
                </c:pt>
                <c:pt idx="150">
                  <c:v>25</c:v>
                </c:pt>
                <c:pt idx="151">
                  <c:v>25</c:v>
                </c:pt>
                <c:pt idx="152">
                  <c:v>25</c:v>
                </c:pt>
                <c:pt idx="153">
                  <c:v>25</c:v>
                </c:pt>
                <c:pt idx="154">
                  <c:v>25</c:v>
                </c:pt>
                <c:pt idx="155">
                  <c:v>25</c:v>
                </c:pt>
                <c:pt idx="156">
                  <c:v>26</c:v>
                </c:pt>
                <c:pt idx="157">
                  <c:v>26</c:v>
                </c:pt>
                <c:pt idx="158">
                  <c:v>26</c:v>
                </c:pt>
                <c:pt idx="159">
                  <c:v>26</c:v>
                </c:pt>
                <c:pt idx="160">
                  <c:v>26</c:v>
                </c:pt>
                <c:pt idx="161">
                  <c:v>26</c:v>
                </c:pt>
                <c:pt idx="162">
                  <c:v>27</c:v>
                </c:pt>
                <c:pt idx="163">
                  <c:v>27</c:v>
                </c:pt>
                <c:pt idx="164">
                  <c:v>27</c:v>
                </c:pt>
                <c:pt idx="165">
                  <c:v>27</c:v>
                </c:pt>
                <c:pt idx="166">
                  <c:v>27</c:v>
                </c:pt>
                <c:pt idx="167">
                  <c:v>27</c:v>
                </c:pt>
                <c:pt idx="168">
                  <c:v>28</c:v>
                </c:pt>
                <c:pt idx="169">
                  <c:v>28</c:v>
                </c:pt>
                <c:pt idx="170">
                  <c:v>28</c:v>
                </c:pt>
                <c:pt idx="171">
                  <c:v>28</c:v>
                </c:pt>
                <c:pt idx="172">
                  <c:v>28</c:v>
                </c:pt>
                <c:pt idx="173">
                  <c:v>28</c:v>
                </c:pt>
                <c:pt idx="174">
                  <c:v>29</c:v>
                </c:pt>
                <c:pt idx="175">
                  <c:v>29</c:v>
                </c:pt>
                <c:pt idx="176">
                  <c:v>29</c:v>
                </c:pt>
                <c:pt idx="177">
                  <c:v>29</c:v>
                </c:pt>
                <c:pt idx="178">
                  <c:v>29</c:v>
                </c:pt>
                <c:pt idx="179">
                  <c:v>29</c:v>
                </c:pt>
                <c:pt idx="180">
                  <c:v>30</c:v>
                </c:pt>
                <c:pt idx="181">
                  <c:v>30</c:v>
                </c:pt>
                <c:pt idx="182">
                  <c:v>30</c:v>
                </c:pt>
                <c:pt idx="183">
                  <c:v>30</c:v>
                </c:pt>
                <c:pt idx="184">
                  <c:v>30</c:v>
                </c:pt>
                <c:pt idx="185">
                  <c:v>30</c:v>
                </c:pt>
                <c:pt idx="186">
                  <c:v>31</c:v>
                </c:pt>
                <c:pt idx="187">
                  <c:v>31</c:v>
                </c:pt>
                <c:pt idx="188">
                  <c:v>31</c:v>
                </c:pt>
                <c:pt idx="189">
                  <c:v>31</c:v>
                </c:pt>
                <c:pt idx="190">
                  <c:v>31</c:v>
                </c:pt>
                <c:pt idx="191">
                  <c:v>31</c:v>
                </c:pt>
                <c:pt idx="192">
                  <c:v>32</c:v>
                </c:pt>
                <c:pt idx="193">
                  <c:v>32</c:v>
                </c:pt>
                <c:pt idx="194">
                  <c:v>32</c:v>
                </c:pt>
                <c:pt idx="195">
                  <c:v>32</c:v>
                </c:pt>
                <c:pt idx="196">
                  <c:v>32</c:v>
                </c:pt>
                <c:pt idx="197">
                  <c:v>32</c:v>
                </c:pt>
                <c:pt idx="198">
                  <c:v>33</c:v>
                </c:pt>
                <c:pt idx="199">
                  <c:v>33</c:v>
                </c:pt>
                <c:pt idx="200">
                  <c:v>33</c:v>
                </c:pt>
                <c:pt idx="201">
                  <c:v>33</c:v>
                </c:pt>
                <c:pt idx="202">
                  <c:v>33</c:v>
                </c:pt>
                <c:pt idx="203">
                  <c:v>33</c:v>
                </c:pt>
                <c:pt idx="204">
                  <c:v>34</c:v>
                </c:pt>
                <c:pt idx="205">
                  <c:v>34</c:v>
                </c:pt>
                <c:pt idx="206">
                  <c:v>34</c:v>
                </c:pt>
                <c:pt idx="207">
                  <c:v>34</c:v>
                </c:pt>
                <c:pt idx="208">
                  <c:v>34</c:v>
                </c:pt>
                <c:pt idx="209">
                  <c:v>34</c:v>
                </c:pt>
                <c:pt idx="210">
                  <c:v>35</c:v>
                </c:pt>
                <c:pt idx="211">
                  <c:v>35</c:v>
                </c:pt>
                <c:pt idx="212">
                  <c:v>35</c:v>
                </c:pt>
                <c:pt idx="213">
                  <c:v>35</c:v>
                </c:pt>
                <c:pt idx="214">
                  <c:v>35</c:v>
                </c:pt>
                <c:pt idx="215">
                  <c:v>35</c:v>
                </c:pt>
                <c:pt idx="216">
                  <c:v>36</c:v>
                </c:pt>
                <c:pt idx="217">
                  <c:v>36</c:v>
                </c:pt>
                <c:pt idx="218">
                  <c:v>36</c:v>
                </c:pt>
                <c:pt idx="219">
                  <c:v>36</c:v>
                </c:pt>
                <c:pt idx="220">
                  <c:v>36</c:v>
                </c:pt>
                <c:pt idx="221">
                  <c:v>36</c:v>
                </c:pt>
                <c:pt idx="222">
                  <c:v>37</c:v>
                </c:pt>
                <c:pt idx="223">
                  <c:v>37</c:v>
                </c:pt>
                <c:pt idx="224">
                  <c:v>37</c:v>
                </c:pt>
                <c:pt idx="225">
                  <c:v>37</c:v>
                </c:pt>
                <c:pt idx="226">
                  <c:v>38</c:v>
                </c:pt>
                <c:pt idx="227">
                  <c:v>38</c:v>
                </c:pt>
                <c:pt idx="228">
                  <c:v>38</c:v>
                </c:pt>
                <c:pt idx="229">
                  <c:v>38</c:v>
                </c:pt>
                <c:pt idx="230">
                  <c:v>38</c:v>
                </c:pt>
                <c:pt idx="231">
                  <c:v>38</c:v>
                </c:pt>
                <c:pt idx="232">
                  <c:v>39</c:v>
                </c:pt>
                <c:pt idx="233">
                  <c:v>39</c:v>
                </c:pt>
                <c:pt idx="234">
                  <c:v>39</c:v>
                </c:pt>
                <c:pt idx="235">
                  <c:v>39</c:v>
                </c:pt>
                <c:pt idx="236">
                  <c:v>39</c:v>
                </c:pt>
                <c:pt idx="237">
                  <c:v>40</c:v>
                </c:pt>
                <c:pt idx="238">
                  <c:v>40</c:v>
                </c:pt>
                <c:pt idx="239">
                  <c:v>40</c:v>
                </c:pt>
                <c:pt idx="240">
                  <c:v>40</c:v>
                </c:pt>
                <c:pt idx="241">
                  <c:v>40</c:v>
                </c:pt>
                <c:pt idx="242">
                  <c:v>40</c:v>
                </c:pt>
                <c:pt idx="243">
                  <c:v>41</c:v>
                </c:pt>
                <c:pt idx="244">
                  <c:v>41</c:v>
                </c:pt>
                <c:pt idx="245">
                  <c:v>41</c:v>
                </c:pt>
                <c:pt idx="246">
                  <c:v>41</c:v>
                </c:pt>
                <c:pt idx="247">
                  <c:v>41</c:v>
                </c:pt>
                <c:pt idx="248">
                  <c:v>41</c:v>
                </c:pt>
                <c:pt idx="249">
                  <c:v>42</c:v>
                </c:pt>
                <c:pt idx="250">
                  <c:v>42</c:v>
                </c:pt>
                <c:pt idx="251">
                  <c:v>42</c:v>
                </c:pt>
                <c:pt idx="252">
                  <c:v>42</c:v>
                </c:pt>
                <c:pt idx="253">
                  <c:v>42</c:v>
                </c:pt>
                <c:pt idx="254">
                  <c:v>42</c:v>
                </c:pt>
                <c:pt idx="255">
                  <c:v>43</c:v>
                </c:pt>
                <c:pt idx="256">
                  <c:v>43</c:v>
                </c:pt>
                <c:pt idx="257">
                  <c:v>43</c:v>
                </c:pt>
                <c:pt idx="258">
                  <c:v>43</c:v>
                </c:pt>
                <c:pt idx="259">
                  <c:v>43</c:v>
                </c:pt>
                <c:pt idx="260">
                  <c:v>43</c:v>
                </c:pt>
                <c:pt idx="261">
                  <c:v>44</c:v>
                </c:pt>
                <c:pt idx="262">
                  <c:v>44</c:v>
                </c:pt>
                <c:pt idx="263">
                  <c:v>44</c:v>
                </c:pt>
                <c:pt idx="264">
                  <c:v>44</c:v>
                </c:pt>
                <c:pt idx="265">
                  <c:v>44</c:v>
                </c:pt>
                <c:pt idx="266">
                  <c:v>44</c:v>
                </c:pt>
                <c:pt idx="267">
                  <c:v>45</c:v>
                </c:pt>
                <c:pt idx="268">
                  <c:v>45</c:v>
                </c:pt>
                <c:pt idx="269">
                  <c:v>45</c:v>
                </c:pt>
                <c:pt idx="270">
                  <c:v>45</c:v>
                </c:pt>
                <c:pt idx="271">
                  <c:v>45</c:v>
                </c:pt>
                <c:pt idx="272">
                  <c:v>45</c:v>
                </c:pt>
                <c:pt idx="273">
                  <c:v>46</c:v>
                </c:pt>
                <c:pt idx="274">
                  <c:v>46</c:v>
                </c:pt>
                <c:pt idx="275">
                  <c:v>46</c:v>
                </c:pt>
                <c:pt idx="276">
                  <c:v>46</c:v>
                </c:pt>
                <c:pt idx="277">
                  <c:v>46</c:v>
                </c:pt>
                <c:pt idx="278">
                  <c:v>46</c:v>
                </c:pt>
                <c:pt idx="279">
                  <c:v>47</c:v>
                </c:pt>
                <c:pt idx="280">
                  <c:v>47</c:v>
                </c:pt>
                <c:pt idx="281">
                  <c:v>47</c:v>
                </c:pt>
                <c:pt idx="282">
                  <c:v>47</c:v>
                </c:pt>
                <c:pt idx="283">
                  <c:v>47</c:v>
                </c:pt>
                <c:pt idx="284">
                  <c:v>47</c:v>
                </c:pt>
                <c:pt idx="285">
                  <c:v>48</c:v>
                </c:pt>
                <c:pt idx="286">
                  <c:v>48</c:v>
                </c:pt>
                <c:pt idx="287">
                  <c:v>48</c:v>
                </c:pt>
                <c:pt idx="288">
                  <c:v>48</c:v>
                </c:pt>
                <c:pt idx="289">
                  <c:v>48</c:v>
                </c:pt>
                <c:pt idx="290">
                  <c:v>48</c:v>
                </c:pt>
                <c:pt idx="291">
                  <c:v>49</c:v>
                </c:pt>
                <c:pt idx="292">
                  <c:v>49</c:v>
                </c:pt>
                <c:pt idx="293">
                  <c:v>49</c:v>
                </c:pt>
                <c:pt idx="294">
                  <c:v>49</c:v>
                </c:pt>
                <c:pt idx="295">
                  <c:v>49</c:v>
                </c:pt>
                <c:pt idx="296">
                  <c:v>49</c:v>
                </c:pt>
                <c:pt idx="297">
                  <c:v>50</c:v>
                </c:pt>
                <c:pt idx="298">
                  <c:v>50</c:v>
                </c:pt>
                <c:pt idx="299">
                  <c:v>50</c:v>
                </c:pt>
                <c:pt idx="300">
                  <c:v>50</c:v>
                </c:pt>
                <c:pt idx="301">
                  <c:v>50</c:v>
                </c:pt>
                <c:pt idx="302">
                  <c:v>51</c:v>
                </c:pt>
                <c:pt idx="303">
                  <c:v>51</c:v>
                </c:pt>
                <c:pt idx="304">
                  <c:v>51</c:v>
                </c:pt>
                <c:pt idx="305">
                  <c:v>51</c:v>
                </c:pt>
                <c:pt idx="306">
                  <c:v>51</c:v>
                </c:pt>
                <c:pt idx="307">
                  <c:v>51</c:v>
                </c:pt>
                <c:pt idx="308">
                  <c:v>52</c:v>
                </c:pt>
                <c:pt idx="309">
                  <c:v>52</c:v>
                </c:pt>
                <c:pt idx="310">
                  <c:v>52</c:v>
                </c:pt>
                <c:pt idx="311">
                  <c:v>52</c:v>
                </c:pt>
                <c:pt idx="312">
                  <c:v>52</c:v>
                </c:pt>
                <c:pt idx="313">
                  <c:v>53</c:v>
                </c:pt>
                <c:pt idx="314">
                  <c:v>53</c:v>
                </c:pt>
                <c:pt idx="315">
                  <c:v>53</c:v>
                </c:pt>
                <c:pt idx="316">
                  <c:v>53</c:v>
                </c:pt>
                <c:pt idx="317">
                  <c:v>53</c:v>
                </c:pt>
                <c:pt idx="318">
                  <c:v>54</c:v>
                </c:pt>
                <c:pt idx="319">
                  <c:v>54</c:v>
                </c:pt>
                <c:pt idx="320">
                  <c:v>54</c:v>
                </c:pt>
                <c:pt idx="321">
                  <c:v>54</c:v>
                </c:pt>
                <c:pt idx="322">
                  <c:v>54</c:v>
                </c:pt>
                <c:pt idx="323">
                  <c:v>55</c:v>
                </c:pt>
                <c:pt idx="324">
                  <c:v>55</c:v>
                </c:pt>
                <c:pt idx="325">
                  <c:v>55</c:v>
                </c:pt>
                <c:pt idx="326">
                  <c:v>55</c:v>
                </c:pt>
                <c:pt idx="327">
                  <c:v>55</c:v>
                </c:pt>
                <c:pt idx="328">
                  <c:v>56</c:v>
                </c:pt>
                <c:pt idx="329">
                  <c:v>56</c:v>
                </c:pt>
                <c:pt idx="330">
                  <c:v>56</c:v>
                </c:pt>
                <c:pt idx="331">
                  <c:v>56</c:v>
                </c:pt>
                <c:pt idx="332">
                  <c:v>56</c:v>
                </c:pt>
                <c:pt idx="333">
                  <c:v>56</c:v>
                </c:pt>
                <c:pt idx="334">
                  <c:v>57</c:v>
                </c:pt>
                <c:pt idx="335">
                  <c:v>57</c:v>
                </c:pt>
                <c:pt idx="336">
                  <c:v>57</c:v>
                </c:pt>
                <c:pt idx="337">
                  <c:v>57</c:v>
                </c:pt>
                <c:pt idx="338">
                  <c:v>57</c:v>
                </c:pt>
                <c:pt idx="339">
                  <c:v>58</c:v>
                </c:pt>
                <c:pt idx="340">
                  <c:v>58</c:v>
                </c:pt>
                <c:pt idx="341">
                  <c:v>58</c:v>
                </c:pt>
                <c:pt idx="342">
                  <c:v>58</c:v>
                </c:pt>
                <c:pt idx="343">
                  <c:v>58</c:v>
                </c:pt>
                <c:pt idx="344">
                  <c:v>59</c:v>
                </c:pt>
                <c:pt idx="345">
                  <c:v>59</c:v>
                </c:pt>
                <c:pt idx="346">
                  <c:v>59</c:v>
                </c:pt>
                <c:pt idx="347">
                  <c:v>59</c:v>
                </c:pt>
                <c:pt idx="348">
                  <c:v>59</c:v>
                </c:pt>
                <c:pt idx="349">
                  <c:v>60</c:v>
                </c:pt>
                <c:pt idx="350">
                  <c:v>60</c:v>
                </c:pt>
                <c:pt idx="351">
                  <c:v>60</c:v>
                </c:pt>
                <c:pt idx="352">
                  <c:v>60</c:v>
                </c:pt>
                <c:pt idx="353">
                  <c:v>60</c:v>
                </c:pt>
                <c:pt idx="354">
                  <c:v>60</c:v>
                </c:pt>
                <c:pt idx="355">
                  <c:v>61</c:v>
                </c:pt>
                <c:pt idx="356">
                  <c:v>61</c:v>
                </c:pt>
                <c:pt idx="357">
                  <c:v>61</c:v>
                </c:pt>
                <c:pt idx="358">
                  <c:v>61</c:v>
                </c:pt>
                <c:pt idx="359">
                  <c:v>61</c:v>
                </c:pt>
                <c:pt idx="360">
                  <c:v>62</c:v>
                </c:pt>
                <c:pt idx="361">
                  <c:v>62</c:v>
                </c:pt>
                <c:pt idx="362">
                  <c:v>62</c:v>
                </c:pt>
                <c:pt idx="363">
                  <c:v>62</c:v>
                </c:pt>
                <c:pt idx="364">
                  <c:v>62</c:v>
                </c:pt>
                <c:pt idx="365">
                  <c:v>63</c:v>
                </c:pt>
                <c:pt idx="366">
                  <c:v>63</c:v>
                </c:pt>
                <c:pt idx="367">
                  <c:v>63</c:v>
                </c:pt>
                <c:pt idx="368">
                  <c:v>63</c:v>
                </c:pt>
                <c:pt idx="369">
                  <c:v>63</c:v>
                </c:pt>
                <c:pt idx="370">
                  <c:v>64</c:v>
                </c:pt>
                <c:pt idx="371">
                  <c:v>64</c:v>
                </c:pt>
                <c:pt idx="372">
                  <c:v>64</c:v>
                </c:pt>
                <c:pt idx="373">
                  <c:v>64</c:v>
                </c:pt>
                <c:pt idx="374">
                  <c:v>64</c:v>
                </c:pt>
                <c:pt idx="375">
                  <c:v>65</c:v>
                </c:pt>
                <c:pt idx="376">
                  <c:v>65</c:v>
                </c:pt>
                <c:pt idx="377">
                  <c:v>65</c:v>
                </c:pt>
                <c:pt idx="378">
                  <c:v>65</c:v>
                </c:pt>
                <c:pt idx="379">
                  <c:v>65</c:v>
                </c:pt>
                <c:pt idx="380">
                  <c:v>66</c:v>
                </c:pt>
                <c:pt idx="381">
                  <c:v>66</c:v>
                </c:pt>
                <c:pt idx="382">
                  <c:v>66</c:v>
                </c:pt>
                <c:pt idx="383">
                  <c:v>66</c:v>
                </c:pt>
                <c:pt idx="384">
                  <c:v>66</c:v>
                </c:pt>
                <c:pt idx="385">
                  <c:v>66</c:v>
                </c:pt>
                <c:pt idx="386">
                  <c:v>67</c:v>
                </c:pt>
                <c:pt idx="387">
                  <c:v>67</c:v>
                </c:pt>
                <c:pt idx="388">
                  <c:v>67</c:v>
                </c:pt>
                <c:pt idx="389">
                  <c:v>67</c:v>
                </c:pt>
                <c:pt idx="390">
                  <c:v>67</c:v>
                </c:pt>
                <c:pt idx="391">
                  <c:v>68</c:v>
                </c:pt>
                <c:pt idx="392">
                  <c:v>68</c:v>
                </c:pt>
                <c:pt idx="393">
                  <c:v>68</c:v>
                </c:pt>
                <c:pt idx="394">
                  <c:v>68</c:v>
                </c:pt>
                <c:pt idx="395">
                  <c:v>68</c:v>
                </c:pt>
                <c:pt idx="396">
                  <c:v>69</c:v>
                </c:pt>
                <c:pt idx="397">
                  <c:v>69</c:v>
                </c:pt>
                <c:pt idx="398">
                  <c:v>69</c:v>
                </c:pt>
                <c:pt idx="399">
                  <c:v>69</c:v>
                </c:pt>
                <c:pt idx="400">
                  <c:v>69</c:v>
                </c:pt>
                <c:pt idx="401">
                  <c:v>70</c:v>
                </c:pt>
              </c:strCache>
            </c:strRef>
          </c:cat>
          <c:val>
            <c:numRef>
              <c:f>'0703-a'!$C$2:$C$402</c:f>
              <c:numCache>
                <c:formatCode>General</c:formatCode>
                <c:ptCount val="4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84.9</c:v>
                </c:pt>
                <c:pt idx="4">
                  <c:v>28.8</c:v>
                </c:pt>
                <c:pt idx="5">
                  <c:v>52.5</c:v>
                </c:pt>
                <c:pt idx="6">
                  <c:v>73.5</c:v>
                </c:pt>
                <c:pt idx="7">
                  <c:v>73.7</c:v>
                </c:pt>
                <c:pt idx="8">
                  <c:v>67.7</c:v>
                </c:pt>
                <c:pt idx="9">
                  <c:v>69.400000000000006</c:v>
                </c:pt>
                <c:pt idx="10">
                  <c:v>84.7</c:v>
                </c:pt>
                <c:pt idx="11">
                  <c:v>82.6</c:v>
                </c:pt>
                <c:pt idx="12">
                  <c:v>97.6</c:v>
                </c:pt>
                <c:pt idx="13">
                  <c:v>83.5</c:v>
                </c:pt>
                <c:pt idx="14">
                  <c:v>89.5</c:v>
                </c:pt>
                <c:pt idx="15">
                  <c:v>83.5</c:v>
                </c:pt>
                <c:pt idx="16">
                  <c:v>66.8</c:v>
                </c:pt>
                <c:pt idx="17">
                  <c:v>85.9</c:v>
                </c:pt>
                <c:pt idx="18">
                  <c:v>92.8</c:v>
                </c:pt>
                <c:pt idx="19">
                  <c:v>98.3</c:v>
                </c:pt>
                <c:pt idx="20">
                  <c:v>97.9</c:v>
                </c:pt>
                <c:pt idx="21">
                  <c:v>68.7</c:v>
                </c:pt>
                <c:pt idx="22">
                  <c:v>95.9</c:v>
                </c:pt>
                <c:pt idx="23">
                  <c:v>73</c:v>
                </c:pt>
                <c:pt idx="24">
                  <c:v>83.9</c:v>
                </c:pt>
                <c:pt idx="25">
                  <c:v>68.099999999999994</c:v>
                </c:pt>
                <c:pt idx="26">
                  <c:v>90.2</c:v>
                </c:pt>
                <c:pt idx="27">
                  <c:v>98.5</c:v>
                </c:pt>
                <c:pt idx="28">
                  <c:v>83.2</c:v>
                </c:pt>
                <c:pt idx="29">
                  <c:v>81.2</c:v>
                </c:pt>
                <c:pt idx="30">
                  <c:v>87.1</c:v>
                </c:pt>
                <c:pt idx="31">
                  <c:v>97.7</c:v>
                </c:pt>
                <c:pt idx="32">
                  <c:v>98.8</c:v>
                </c:pt>
                <c:pt idx="33">
                  <c:v>99.8</c:v>
                </c:pt>
                <c:pt idx="34">
                  <c:v>93.2</c:v>
                </c:pt>
                <c:pt idx="35">
                  <c:v>68.2</c:v>
                </c:pt>
                <c:pt idx="36">
                  <c:v>74.8</c:v>
                </c:pt>
                <c:pt idx="37">
                  <c:v>96.2</c:v>
                </c:pt>
                <c:pt idx="38">
                  <c:v>94.7</c:v>
                </c:pt>
                <c:pt idx="39">
                  <c:v>69.900000000000006</c:v>
                </c:pt>
                <c:pt idx="40">
                  <c:v>91.8</c:v>
                </c:pt>
                <c:pt idx="41">
                  <c:v>94.3</c:v>
                </c:pt>
                <c:pt idx="42">
                  <c:v>91.5</c:v>
                </c:pt>
                <c:pt idx="43">
                  <c:v>82.6</c:v>
                </c:pt>
                <c:pt idx="44">
                  <c:v>96.9</c:v>
                </c:pt>
                <c:pt idx="45">
                  <c:v>95.1</c:v>
                </c:pt>
                <c:pt idx="46">
                  <c:v>85.6</c:v>
                </c:pt>
                <c:pt idx="47">
                  <c:v>74.7</c:v>
                </c:pt>
                <c:pt idx="48">
                  <c:v>91.7</c:v>
                </c:pt>
                <c:pt idx="49">
                  <c:v>80.900000000000006</c:v>
                </c:pt>
                <c:pt idx="50">
                  <c:v>93</c:v>
                </c:pt>
                <c:pt idx="51">
                  <c:v>85.1</c:v>
                </c:pt>
                <c:pt idx="52">
                  <c:v>90.6</c:v>
                </c:pt>
                <c:pt idx="53">
                  <c:v>93.9</c:v>
                </c:pt>
                <c:pt idx="54">
                  <c:v>88.4</c:v>
                </c:pt>
                <c:pt idx="55">
                  <c:v>95.6</c:v>
                </c:pt>
                <c:pt idx="56">
                  <c:v>96.4</c:v>
                </c:pt>
                <c:pt idx="57">
                  <c:v>81.2</c:v>
                </c:pt>
                <c:pt idx="58">
                  <c:v>97</c:v>
                </c:pt>
                <c:pt idx="59">
                  <c:v>68.400000000000006</c:v>
                </c:pt>
                <c:pt idx="60">
                  <c:v>90.1</c:v>
                </c:pt>
                <c:pt idx="61">
                  <c:v>85</c:v>
                </c:pt>
                <c:pt idx="62">
                  <c:v>96.7</c:v>
                </c:pt>
                <c:pt idx="63">
                  <c:v>91.8</c:v>
                </c:pt>
                <c:pt idx="64">
                  <c:v>77.900000000000006</c:v>
                </c:pt>
                <c:pt idx="65">
                  <c:v>77.599999999999994</c:v>
                </c:pt>
                <c:pt idx="66">
                  <c:v>97.1</c:v>
                </c:pt>
                <c:pt idx="67">
                  <c:v>99.5</c:v>
                </c:pt>
                <c:pt idx="68">
                  <c:v>97.5</c:v>
                </c:pt>
                <c:pt idx="69">
                  <c:v>92.5</c:v>
                </c:pt>
                <c:pt idx="70">
                  <c:v>82.6</c:v>
                </c:pt>
                <c:pt idx="71">
                  <c:v>94.2</c:v>
                </c:pt>
                <c:pt idx="72">
                  <c:v>93.6</c:v>
                </c:pt>
                <c:pt idx="73">
                  <c:v>96.3</c:v>
                </c:pt>
                <c:pt idx="74">
                  <c:v>85.8</c:v>
                </c:pt>
                <c:pt idx="75">
                  <c:v>77.2</c:v>
                </c:pt>
                <c:pt idx="76">
                  <c:v>74.8</c:v>
                </c:pt>
                <c:pt idx="77">
                  <c:v>96.7</c:v>
                </c:pt>
                <c:pt idx="78">
                  <c:v>99.1</c:v>
                </c:pt>
                <c:pt idx="79">
                  <c:v>99.8</c:v>
                </c:pt>
                <c:pt idx="80">
                  <c:v>76</c:v>
                </c:pt>
                <c:pt idx="81">
                  <c:v>94.8</c:v>
                </c:pt>
                <c:pt idx="82">
                  <c:v>99.3</c:v>
                </c:pt>
                <c:pt idx="83">
                  <c:v>78</c:v>
                </c:pt>
                <c:pt idx="84">
                  <c:v>91.4</c:v>
                </c:pt>
                <c:pt idx="85">
                  <c:v>93.9</c:v>
                </c:pt>
                <c:pt idx="86">
                  <c:v>84.3</c:v>
                </c:pt>
                <c:pt idx="87">
                  <c:v>95.8</c:v>
                </c:pt>
                <c:pt idx="88">
                  <c:v>87.2</c:v>
                </c:pt>
                <c:pt idx="89">
                  <c:v>81.400000000000006</c:v>
                </c:pt>
                <c:pt idx="90">
                  <c:v>69.5</c:v>
                </c:pt>
                <c:pt idx="91">
                  <c:v>95.7</c:v>
                </c:pt>
                <c:pt idx="92">
                  <c:v>95.7</c:v>
                </c:pt>
                <c:pt idx="93">
                  <c:v>90.7</c:v>
                </c:pt>
                <c:pt idx="94">
                  <c:v>93.1</c:v>
                </c:pt>
                <c:pt idx="95">
                  <c:v>97.4</c:v>
                </c:pt>
                <c:pt idx="96">
                  <c:v>98.1</c:v>
                </c:pt>
                <c:pt idx="97">
                  <c:v>94.9</c:v>
                </c:pt>
                <c:pt idx="98">
                  <c:v>98.1</c:v>
                </c:pt>
                <c:pt idx="99">
                  <c:v>95.2</c:v>
                </c:pt>
                <c:pt idx="100">
                  <c:v>94.5</c:v>
                </c:pt>
                <c:pt idx="101">
                  <c:v>79.900000000000006</c:v>
                </c:pt>
                <c:pt idx="102">
                  <c:v>59.6</c:v>
                </c:pt>
                <c:pt idx="103">
                  <c:v>60.2</c:v>
                </c:pt>
                <c:pt idx="104">
                  <c:v>42</c:v>
                </c:pt>
                <c:pt idx="105">
                  <c:v>60.7</c:v>
                </c:pt>
                <c:pt idx="106">
                  <c:v>64.8</c:v>
                </c:pt>
                <c:pt idx="107">
                  <c:v>49.7</c:v>
                </c:pt>
                <c:pt idx="108">
                  <c:v>39.200000000000003</c:v>
                </c:pt>
                <c:pt idx="109">
                  <c:v>45.3</c:v>
                </c:pt>
                <c:pt idx="110">
                  <c:v>49.3</c:v>
                </c:pt>
                <c:pt idx="111">
                  <c:v>61.2</c:v>
                </c:pt>
                <c:pt idx="112">
                  <c:v>45.1</c:v>
                </c:pt>
                <c:pt idx="113">
                  <c:v>61</c:v>
                </c:pt>
                <c:pt idx="114">
                  <c:v>63.7</c:v>
                </c:pt>
                <c:pt idx="115">
                  <c:v>57.8</c:v>
                </c:pt>
                <c:pt idx="116">
                  <c:v>36.700000000000003</c:v>
                </c:pt>
                <c:pt idx="117">
                  <c:v>32.1</c:v>
                </c:pt>
                <c:pt idx="118">
                  <c:v>44.6</c:v>
                </c:pt>
                <c:pt idx="119">
                  <c:v>17.100000000000001</c:v>
                </c:pt>
                <c:pt idx="120">
                  <c:v>37.5</c:v>
                </c:pt>
                <c:pt idx="121">
                  <c:v>20.5</c:v>
                </c:pt>
                <c:pt idx="122">
                  <c:v>35.9</c:v>
                </c:pt>
                <c:pt idx="123">
                  <c:v>47.3</c:v>
                </c:pt>
                <c:pt idx="124">
                  <c:v>24.2</c:v>
                </c:pt>
                <c:pt idx="125">
                  <c:v>28.9</c:v>
                </c:pt>
                <c:pt idx="126">
                  <c:v>47.4</c:v>
                </c:pt>
                <c:pt idx="127">
                  <c:v>34.5</c:v>
                </c:pt>
                <c:pt idx="128">
                  <c:v>47.7</c:v>
                </c:pt>
                <c:pt idx="129">
                  <c:v>15.7</c:v>
                </c:pt>
                <c:pt idx="130">
                  <c:v>14</c:v>
                </c:pt>
                <c:pt idx="131">
                  <c:v>13.3</c:v>
                </c:pt>
                <c:pt idx="132">
                  <c:v>17.8</c:v>
                </c:pt>
                <c:pt idx="133">
                  <c:v>44.8</c:v>
                </c:pt>
                <c:pt idx="134">
                  <c:v>48.2</c:v>
                </c:pt>
                <c:pt idx="135">
                  <c:v>36.9</c:v>
                </c:pt>
                <c:pt idx="136">
                  <c:v>32.700000000000003</c:v>
                </c:pt>
                <c:pt idx="137">
                  <c:v>16.899999999999999</c:v>
                </c:pt>
                <c:pt idx="138">
                  <c:v>32.1</c:v>
                </c:pt>
                <c:pt idx="139">
                  <c:v>14</c:v>
                </c:pt>
                <c:pt idx="140">
                  <c:v>19.2</c:v>
                </c:pt>
                <c:pt idx="141">
                  <c:v>22</c:v>
                </c:pt>
                <c:pt idx="142">
                  <c:v>19.7</c:v>
                </c:pt>
                <c:pt idx="143">
                  <c:v>9.5</c:v>
                </c:pt>
                <c:pt idx="144">
                  <c:v>4.9000000000000004</c:v>
                </c:pt>
                <c:pt idx="145">
                  <c:v>29.2</c:v>
                </c:pt>
                <c:pt idx="146">
                  <c:v>49.9</c:v>
                </c:pt>
                <c:pt idx="147">
                  <c:v>31.1</c:v>
                </c:pt>
                <c:pt idx="148">
                  <c:v>33.299999999999997</c:v>
                </c:pt>
                <c:pt idx="149">
                  <c:v>17.2</c:v>
                </c:pt>
                <c:pt idx="150">
                  <c:v>14.3</c:v>
                </c:pt>
                <c:pt idx="151">
                  <c:v>11.8</c:v>
                </c:pt>
                <c:pt idx="152">
                  <c:v>24.3</c:v>
                </c:pt>
                <c:pt idx="153">
                  <c:v>15.7</c:v>
                </c:pt>
                <c:pt idx="154">
                  <c:v>16.100000000000001</c:v>
                </c:pt>
                <c:pt idx="155">
                  <c:v>16.899999999999999</c:v>
                </c:pt>
                <c:pt idx="156">
                  <c:v>26.4</c:v>
                </c:pt>
                <c:pt idx="157">
                  <c:v>28.4</c:v>
                </c:pt>
                <c:pt idx="158">
                  <c:v>27.9</c:v>
                </c:pt>
                <c:pt idx="159">
                  <c:v>11.7</c:v>
                </c:pt>
                <c:pt idx="160">
                  <c:v>29.7</c:v>
                </c:pt>
                <c:pt idx="161">
                  <c:v>23</c:v>
                </c:pt>
                <c:pt idx="162">
                  <c:v>12.3</c:v>
                </c:pt>
                <c:pt idx="163">
                  <c:v>9.1</c:v>
                </c:pt>
                <c:pt idx="164">
                  <c:v>39.1</c:v>
                </c:pt>
                <c:pt idx="165">
                  <c:v>42.9</c:v>
                </c:pt>
                <c:pt idx="166">
                  <c:v>27.8</c:v>
                </c:pt>
                <c:pt idx="167">
                  <c:v>10.8</c:v>
                </c:pt>
                <c:pt idx="168">
                  <c:v>1.9</c:v>
                </c:pt>
                <c:pt idx="169">
                  <c:v>16</c:v>
                </c:pt>
                <c:pt idx="170">
                  <c:v>24.3</c:v>
                </c:pt>
                <c:pt idx="171">
                  <c:v>35.799999999999997</c:v>
                </c:pt>
                <c:pt idx="172">
                  <c:v>33.700000000000003</c:v>
                </c:pt>
                <c:pt idx="173">
                  <c:v>10.9</c:v>
                </c:pt>
                <c:pt idx="174">
                  <c:v>7.7</c:v>
                </c:pt>
                <c:pt idx="175">
                  <c:v>22.9</c:v>
                </c:pt>
                <c:pt idx="176">
                  <c:v>17</c:v>
                </c:pt>
                <c:pt idx="177">
                  <c:v>21.6</c:v>
                </c:pt>
                <c:pt idx="178">
                  <c:v>12.5</c:v>
                </c:pt>
                <c:pt idx="179">
                  <c:v>13.1</c:v>
                </c:pt>
                <c:pt idx="180">
                  <c:v>30.3</c:v>
                </c:pt>
                <c:pt idx="181">
                  <c:v>36.700000000000003</c:v>
                </c:pt>
                <c:pt idx="182">
                  <c:v>24.6</c:v>
                </c:pt>
                <c:pt idx="183">
                  <c:v>27.7</c:v>
                </c:pt>
                <c:pt idx="184">
                  <c:v>9.9</c:v>
                </c:pt>
                <c:pt idx="185">
                  <c:v>4</c:v>
                </c:pt>
                <c:pt idx="186">
                  <c:v>19.7</c:v>
                </c:pt>
                <c:pt idx="187">
                  <c:v>44.1</c:v>
                </c:pt>
                <c:pt idx="188">
                  <c:v>19.8</c:v>
                </c:pt>
                <c:pt idx="189">
                  <c:v>11.2</c:v>
                </c:pt>
                <c:pt idx="190">
                  <c:v>13</c:v>
                </c:pt>
                <c:pt idx="191">
                  <c:v>6.9</c:v>
                </c:pt>
                <c:pt idx="192">
                  <c:v>16.5</c:v>
                </c:pt>
                <c:pt idx="193">
                  <c:v>32.799999999999997</c:v>
                </c:pt>
                <c:pt idx="194">
                  <c:v>23.1</c:v>
                </c:pt>
                <c:pt idx="195">
                  <c:v>16.5</c:v>
                </c:pt>
                <c:pt idx="196">
                  <c:v>16.5</c:v>
                </c:pt>
                <c:pt idx="197">
                  <c:v>7.7</c:v>
                </c:pt>
                <c:pt idx="198">
                  <c:v>14.7</c:v>
                </c:pt>
                <c:pt idx="199">
                  <c:v>23.7</c:v>
                </c:pt>
                <c:pt idx="200">
                  <c:v>37.799999999999997</c:v>
                </c:pt>
                <c:pt idx="201">
                  <c:v>16.600000000000001</c:v>
                </c:pt>
                <c:pt idx="202">
                  <c:v>12.6</c:v>
                </c:pt>
                <c:pt idx="203">
                  <c:v>19.7</c:v>
                </c:pt>
                <c:pt idx="204">
                  <c:v>16.7</c:v>
                </c:pt>
                <c:pt idx="205">
                  <c:v>29.3</c:v>
                </c:pt>
                <c:pt idx="206">
                  <c:v>22.7</c:v>
                </c:pt>
                <c:pt idx="207">
                  <c:v>13</c:v>
                </c:pt>
                <c:pt idx="208">
                  <c:v>11.3</c:v>
                </c:pt>
                <c:pt idx="209">
                  <c:v>88.5</c:v>
                </c:pt>
                <c:pt idx="210">
                  <c:v>97.8</c:v>
                </c:pt>
                <c:pt idx="211">
                  <c:v>12.5</c:v>
                </c:pt>
                <c:pt idx="212">
                  <c:v>1.6</c:v>
                </c:pt>
                <c:pt idx="213">
                  <c:v>0.1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2.1</c:v>
                </c:pt>
                <c:pt idx="225">
                  <c:v>87.4</c:v>
                </c:pt>
                <c:pt idx="226">
                  <c:v>28.5</c:v>
                </c:pt>
                <c:pt idx="227">
                  <c:v>79.099999999999994</c:v>
                </c:pt>
                <c:pt idx="228">
                  <c:v>94.7</c:v>
                </c:pt>
                <c:pt idx="229">
                  <c:v>77.400000000000006</c:v>
                </c:pt>
                <c:pt idx="230">
                  <c:v>85.8</c:v>
                </c:pt>
                <c:pt idx="231">
                  <c:v>97.9</c:v>
                </c:pt>
                <c:pt idx="232">
                  <c:v>81.099999999999994</c:v>
                </c:pt>
                <c:pt idx="233">
                  <c:v>11.9</c:v>
                </c:pt>
                <c:pt idx="234">
                  <c:v>15.9</c:v>
                </c:pt>
                <c:pt idx="235">
                  <c:v>15.4</c:v>
                </c:pt>
                <c:pt idx="236">
                  <c:v>27.2</c:v>
                </c:pt>
                <c:pt idx="237">
                  <c:v>3.5</c:v>
                </c:pt>
                <c:pt idx="238">
                  <c:v>0.4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32.799999999999997</c:v>
                </c:pt>
                <c:pt idx="244">
                  <c:v>17.100000000000001</c:v>
                </c:pt>
                <c:pt idx="245">
                  <c:v>53.1</c:v>
                </c:pt>
                <c:pt idx="246">
                  <c:v>40.299999999999997</c:v>
                </c:pt>
                <c:pt idx="247">
                  <c:v>13</c:v>
                </c:pt>
                <c:pt idx="248">
                  <c:v>85.2</c:v>
                </c:pt>
                <c:pt idx="249">
                  <c:v>95.2</c:v>
                </c:pt>
                <c:pt idx="250">
                  <c:v>79.5</c:v>
                </c:pt>
                <c:pt idx="251">
                  <c:v>63.3</c:v>
                </c:pt>
                <c:pt idx="252">
                  <c:v>83.4</c:v>
                </c:pt>
                <c:pt idx="253">
                  <c:v>17.899999999999999</c:v>
                </c:pt>
                <c:pt idx="254">
                  <c:v>24.1</c:v>
                </c:pt>
                <c:pt idx="255">
                  <c:v>30.9</c:v>
                </c:pt>
                <c:pt idx="256">
                  <c:v>32.1</c:v>
                </c:pt>
                <c:pt idx="257">
                  <c:v>10.7</c:v>
                </c:pt>
                <c:pt idx="258">
                  <c:v>1.3</c:v>
                </c:pt>
                <c:pt idx="259">
                  <c:v>0.1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87.1</c:v>
                </c:pt>
                <c:pt idx="291">
                  <c:v>75.8</c:v>
                </c:pt>
                <c:pt idx="292">
                  <c:v>48.8</c:v>
                </c:pt>
                <c:pt idx="293">
                  <c:v>15.1</c:v>
                </c:pt>
                <c:pt idx="294">
                  <c:v>87.6</c:v>
                </c:pt>
                <c:pt idx="295">
                  <c:v>96.5</c:v>
                </c:pt>
                <c:pt idx="296">
                  <c:v>74.7</c:v>
                </c:pt>
                <c:pt idx="297">
                  <c:v>67.2</c:v>
                </c:pt>
                <c:pt idx="298">
                  <c:v>8.6</c:v>
                </c:pt>
                <c:pt idx="299">
                  <c:v>29.8</c:v>
                </c:pt>
                <c:pt idx="300">
                  <c:v>22.8</c:v>
                </c:pt>
                <c:pt idx="301">
                  <c:v>7.2</c:v>
                </c:pt>
                <c:pt idx="302">
                  <c:v>34.299999999999997</c:v>
                </c:pt>
                <c:pt idx="303">
                  <c:v>7.1</c:v>
                </c:pt>
                <c:pt idx="304">
                  <c:v>29.5</c:v>
                </c:pt>
                <c:pt idx="305">
                  <c:v>39.6</c:v>
                </c:pt>
                <c:pt idx="306">
                  <c:v>3.3</c:v>
                </c:pt>
                <c:pt idx="307">
                  <c:v>14.8</c:v>
                </c:pt>
                <c:pt idx="308">
                  <c:v>26.1</c:v>
                </c:pt>
                <c:pt idx="309">
                  <c:v>15.2</c:v>
                </c:pt>
                <c:pt idx="310">
                  <c:v>28.5</c:v>
                </c:pt>
                <c:pt idx="311">
                  <c:v>10.5</c:v>
                </c:pt>
                <c:pt idx="312">
                  <c:v>68.900000000000006</c:v>
                </c:pt>
                <c:pt idx="313">
                  <c:v>44.8</c:v>
                </c:pt>
                <c:pt idx="314">
                  <c:v>9.4</c:v>
                </c:pt>
                <c:pt idx="315">
                  <c:v>0.7</c:v>
                </c:pt>
                <c:pt idx="316">
                  <c:v>33.200000000000003</c:v>
                </c:pt>
                <c:pt idx="317">
                  <c:v>14</c:v>
                </c:pt>
                <c:pt idx="318">
                  <c:v>1.7</c:v>
                </c:pt>
                <c:pt idx="319">
                  <c:v>22.8</c:v>
                </c:pt>
                <c:pt idx="320">
                  <c:v>32.299999999999997</c:v>
                </c:pt>
                <c:pt idx="321">
                  <c:v>10.199999999999999</c:v>
                </c:pt>
                <c:pt idx="322">
                  <c:v>20.3</c:v>
                </c:pt>
                <c:pt idx="323">
                  <c:v>10</c:v>
                </c:pt>
                <c:pt idx="324">
                  <c:v>8.1</c:v>
                </c:pt>
                <c:pt idx="325">
                  <c:v>40.799999999999997</c:v>
                </c:pt>
                <c:pt idx="326">
                  <c:v>5.2</c:v>
                </c:pt>
                <c:pt idx="327">
                  <c:v>5.3</c:v>
                </c:pt>
                <c:pt idx="328">
                  <c:v>17.8</c:v>
                </c:pt>
                <c:pt idx="329">
                  <c:v>1.7</c:v>
                </c:pt>
                <c:pt idx="330">
                  <c:v>19.399999999999999</c:v>
                </c:pt>
                <c:pt idx="331">
                  <c:v>20.7</c:v>
                </c:pt>
                <c:pt idx="332">
                  <c:v>9.9</c:v>
                </c:pt>
                <c:pt idx="333">
                  <c:v>16.2</c:v>
                </c:pt>
                <c:pt idx="334">
                  <c:v>40.700000000000003</c:v>
                </c:pt>
                <c:pt idx="335">
                  <c:v>16.7</c:v>
                </c:pt>
                <c:pt idx="336">
                  <c:v>16</c:v>
                </c:pt>
                <c:pt idx="337">
                  <c:v>4.4000000000000004</c:v>
                </c:pt>
                <c:pt idx="338">
                  <c:v>2.2999999999999998</c:v>
                </c:pt>
                <c:pt idx="339">
                  <c:v>17.7</c:v>
                </c:pt>
                <c:pt idx="340">
                  <c:v>6.5</c:v>
                </c:pt>
                <c:pt idx="341">
                  <c:v>14</c:v>
                </c:pt>
                <c:pt idx="342">
                  <c:v>42.2</c:v>
                </c:pt>
                <c:pt idx="343">
                  <c:v>5.3</c:v>
                </c:pt>
                <c:pt idx="344">
                  <c:v>3.6</c:v>
                </c:pt>
                <c:pt idx="345">
                  <c:v>20.7</c:v>
                </c:pt>
                <c:pt idx="346">
                  <c:v>6.2</c:v>
                </c:pt>
                <c:pt idx="347">
                  <c:v>16.399999999999999</c:v>
                </c:pt>
                <c:pt idx="348">
                  <c:v>44.7</c:v>
                </c:pt>
                <c:pt idx="349">
                  <c:v>5.7</c:v>
                </c:pt>
                <c:pt idx="350">
                  <c:v>2.6</c:v>
                </c:pt>
                <c:pt idx="351">
                  <c:v>14.5</c:v>
                </c:pt>
                <c:pt idx="352">
                  <c:v>9</c:v>
                </c:pt>
                <c:pt idx="353">
                  <c:v>9.5</c:v>
                </c:pt>
                <c:pt idx="354">
                  <c:v>16.3</c:v>
                </c:pt>
                <c:pt idx="355">
                  <c:v>19.100000000000001</c:v>
                </c:pt>
                <c:pt idx="356">
                  <c:v>30.4</c:v>
                </c:pt>
                <c:pt idx="357">
                  <c:v>12.6</c:v>
                </c:pt>
                <c:pt idx="358">
                  <c:v>1.1000000000000001</c:v>
                </c:pt>
                <c:pt idx="359">
                  <c:v>7.5</c:v>
                </c:pt>
                <c:pt idx="360">
                  <c:v>10.6</c:v>
                </c:pt>
                <c:pt idx="361">
                  <c:v>3</c:v>
                </c:pt>
                <c:pt idx="362">
                  <c:v>19.5</c:v>
                </c:pt>
                <c:pt idx="363">
                  <c:v>3</c:v>
                </c:pt>
                <c:pt idx="364">
                  <c:v>14.9</c:v>
                </c:pt>
                <c:pt idx="365">
                  <c:v>14.4</c:v>
                </c:pt>
                <c:pt idx="366">
                  <c:v>17.2</c:v>
                </c:pt>
                <c:pt idx="367">
                  <c:v>11.4</c:v>
                </c:pt>
                <c:pt idx="368">
                  <c:v>8.5</c:v>
                </c:pt>
                <c:pt idx="369">
                  <c:v>16</c:v>
                </c:pt>
                <c:pt idx="370">
                  <c:v>12.6</c:v>
                </c:pt>
                <c:pt idx="371">
                  <c:v>20.3</c:v>
                </c:pt>
                <c:pt idx="372">
                  <c:v>2.6</c:v>
                </c:pt>
                <c:pt idx="373">
                  <c:v>5.0999999999999996</c:v>
                </c:pt>
                <c:pt idx="374">
                  <c:v>6.9</c:v>
                </c:pt>
                <c:pt idx="375">
                  <c:v>6</c:v>
                </c:pt>
                <c:pt idx="376">
                  <c:v>5.8</c:v>
                </c:pt>
                <c:pt idx="377">
                  <c:v>9.9</c:v>
                </c:pt>
                <c:pt idx="378">
                  <c:v>9.3000000000000007</c:v>
                </c:pt>
                <c:pt idx="379">
                  <c:v>12</c:v>
                </c:pt>
                <c:pt idx="380">
                  <c:v>43.1</c:v>
                </c:pt>
                <c:pt idx="381">
                  <c:v>29.3</c:v>
                </c:pt>
                <c:pt idx="382">
                  <c:v>31.3</c:v>
                </c:pt>
                <c:pt idx="383">
                  <c:v>5.3</c:v>
                </c:pt>
                <c:pt idx="384">
                  <c:v>0.6</c:v>
                </c:pt>
                <c:pt idx="385">
                  <c:v>7.1</c:v>
                </c:pt>
                <c:pt idx="386">
                  <c:v>3.3</c:v>
                </c:pt>
                <c:pt idx="387">
                  <c:v>15.5</c:v>
                </c:pt>
                <c:pt idx="388">
                  <c:v>25.2</c:v>
                </c:pt>
                <c:pt idx="389">
                  <c:v>3.3</c:v>
                </c:pt>
                <c:pt idx="390">
                  <c:v>23.1</c:v>
                </c:pt>
                <c:pt idx="391">
                  <c:v>23.8</c:v>
                </c:pt>
                <c:pt idx="392">
                  <c:v>4.4000000000000004</c:v>
                </c:pt>
                <c:pt idx="393">
                  <c:v>0.6</c:v>
                </c:pt>
                <c:pt idx="394">
                  <c:v>28.4</c:v>
                </c:pt>
                <c:pt idx="395">
                  <c:v>4.5</c:v>
                </c:pt>
                <c:pt idx="396">
                  <c:v>13.5</c:v>
                </c:pt>
                <c:pt idx="397">
                  <c:v>19.399999999999999</c:v>
                </c:pt>
                <c:pt idx="398">
                  <c:v>1.7</c:v>
                </c:pt>
                <c:pt idx="399">
                  <c:v>4</c:v>
                </c:pt>
                <c:pt idx="400">
                  <c:v>17.100000000000001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00-48AE-BD82-EF0F9ABD1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2742304"/>
        <c:axId val="163166369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'0703-a'!$A$1</c15:sqref>
                        </c15:formulaRef>
                      </c:ext>
                    </c:extLst>
                    <c:strCache>
                      <c:ptCount val="1"/>
                      <c:pt idx="0">
                        <c:v>time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'0703-a'!$A:$A</c15:sqref>
                        </c15:formulaRef>
                      </c:ext>
                    </c:extLst>
                    <c:strCache>
                      <c:ptCount val="402"/>
                      <c:pt idx="0">
                        <c:v>time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3</c:v>
                      </c:pt>
                      <c:pt idx="21">
                        <c:v>3</c:v>
                      </c:pt>
                      <c:pt idx="22">
                        <c:v>3</c:v>
                      </c:pt>
                      <c:pt idx="23">
                        <c:v>3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4</c:v>
                      </c:pt>
                      <c:pt idx="27">
                        <c:v>4</c:v>
                      </c:pt>
                      <c:pt idx="28">
                        <c:v>4</c:v>
                      </c:pt>
                      <c:pt idx="29">
                        <c:v>4</c:v>
                      </c:pt>
                      <c:pt idx="30">
                        <c:v>5</c:v>
                      </c:pt>
                      <c:pt idx="31">
                        <c:v>5</c:v>
                      </c:pt>
                      <c:pt idx="32">
                        <c:v>5</c:v>
                      </c:pt>
                      <c:pt idx="33">
                        <c:v>5</c:v>
                      </c:pt>
                      <c:pt idx="34">
                        <c:v>5</c:v>
                      </c:pt>
                      <c:pt idx="35">
                        <c:v>5</c:v>
                      </c:pt>
                      <c:pt idx="36">
                        <c:v>6</c:v>
                      </c:pt>
                      <c:pt idx="37">
                        <c:v>6</c:v>
                      </c:pt>
                      <c:pt idx="38">
                        <c:v>6</c:v>
                      </c:pt>
                      <c:pt idx="39">
                        <c:v>6</c:v>
                      </c:pt>
                      <c:pt idx="40">
                        <c:v>6</c:v>
                      </c:pt>
                      <c:pt idx="41">
                        <c:v>6</c:v>
                      </c:pt>
                      <c:pt idx="42">
                        <c:v>7</c:v>
                      </c:pt>
                      <c:pt idx="43">
                        <c:v>7</c:v>
                      </c:pt>
                      <c:pt idx="44">
                        <c:v>7</c:v>
                      </c:pt>
                      <c:pt idx="45">
                        <c:v>7</c:v>
                      </c:pt>
                      <c:pt idx="46">
                        <c:v>7</c:v>
                      </c:pt>
                      <c:pt idx="47">
                        <c:v>7</c:v>
                      </c:pt>
                      <c:pt idx="48">
                        <c:v>8</c:v>
                      </c:pt>
                      <c:pt idx="49">
                        <c:v>8</c:v>
                      </c:pt>
                      <c:pt idx="50">
                        <c:v>8</c:v>
                      </c:pt>
                      <c:pt idx="51">
                        <c:v>8</c:v>
                      </c:pt>
                      <c:pt idx="52">
                        <c:v>8</c:v>
                      </c:pt>
                      <c:pt idx="53">
                        <c:v>8</c:v>
                      </c:pt>
                      <c:pt idx="54">
                        <c:v>9</c:v>
                      </c:pt>
                      <c:pt idx="55">
                        <c:v>9</c:v>
                      </c:pt>
                      <c:pt idx="56">
                        <c:v>9</c:v>
                      </c:pt>
                      <c:pt idx="57">
                        <c:v>9</c:v>
                      </c:pt>
                      <c:pt idx="58">
                        <c:v>9</c:v>
                      </c:pt>
                      <c:pt idx="59">
                        <c:v>9</c:v>
                      </c:pt>
                      <c:pt idx="60">
                        <c:v>10</c:v>
                      </c:pt>
                      <c:pt idx="61">
                        <c:v>10</c:v>
                      </c:pt>
                      <c:pt idx="62">
                        <c:v>10</c:v>
                      </c:pt>
                      <c:pt idx="63">
                        <c:v>10</c:v>
                      </c:pt>
                      <c:pt idx="64">
                        <c:v>10</c:v>
                      </c:pt>
                      <c:pt idx="65">
                        <c:v>10</c:v>
                      </c:pt>
                      <c:pt idx="66">
                        <c:v>11</c:v>
                      </c:pt>
                      <c:pt idx="67">
                        <c:v>11</c:v>
                      </c:pt>
                      <c:pt idx="68">
                        <c:v>11</c:v>
                      </c:pt>
                      <c:pt idx="69">
                        <c:v>11</c:v>
                      </c:pt>
                      <c:pt idx="70">
                        <c:v>11</c:v>
                      </c:pt>
                      <c:pt idx="71">
                        <c:v>11</c:v>
                      </c:pt>
                      <c:pt idx="72">
                        <c:v>12</c:v>
                      </c:pt>
                      <c:pt idx="73">
                        <c:v>12</c:v>
                      </c:pt>
                      <c:pt idx="74">
                        <c:v>12</c:v>
                      </c:pt>
                      <c:pt idx="75">
                        <c:v>12</c:v>
                      </c:pt>
                      <c:pt idx="76">
                        <c:v>12</c:v>
                      </c:pt>
                      <c:pt idx="77">
                        <c:v>12</c:v>
                      </c:pt>
                      <c:pt idx="78">
                        <c:v>13</c:v>
                      </c:pt>
                      <c:pt idx="79">
                        <c:v>13</c:v>
                      </c:pt>
                      <c:pt idx="80">
                        <c:v>13</c:v>
                      </c:pt>
                      <c:pt idx="81">
                        <c:v>13</c:v>
                      </c:pt>
                      <c:pt idx="82">
                        <c:v>13</c:v>
                      </c:pt>
                      <c:pt idx="83">
                        <c:v>13</c:v>
                      </c:pt>
                      <c:pt idx="84">
                        <c:v>14</c:v>
                      </c:pt>
                      <c:pt idx="85">
                        <c:v>14</c:v>
                      </c:pt>
                      <c:pt idx="86">
                        <c:v>14</c:v>
                      </c:pt>
                      <c:pt idx="87">
                        <c:v>14</c:v>
                      </c:pt>
                      <c:pt idx="88">
                        <c:v>14</c:v>
                      </c:pt>
                      <c:pt idx="89">
                        <c:v>14</c:v>
                      </c:pt>
                      <c:pt idx="90">
                        <c:v>15</c:v>
                      </c:pt>
                      <c:pt idx="91">
                        <c:v>15</c:v>
                      </c:pt>
                      <c:pt idx="92">
                        <c:v>15</c:v>
                      </c:pt>
                      <c:pt idx="93">
                        <c:v>15</c:v>
                      </c:pt>
                      <c:pt idx="94">
                        <c:v>15</c:v>
                      </c:pt>
                      <c:pt idx="95">
                        <c:v>15</c:v>
                      </c:pt>
                      <c:pt idx="96">
                        <c:v>16</c:v>
                      </c:pt>
                      <c:pt idx="97">
                        <c:v>16</c:v>
                      </c:pt>
                      <c:pt idx="98">
                        <c:v>16</c:v>
                      </c:pt>
                      <c:pt idx="99">
                        <c:v>16</c:v>
                      </c:pt>
                      <c:pt idx="100">
                        <c:v>16</c:v>
                      </c:pt>
                      <c:pt idx="101">
                        <c:v>16</c:v>
                      </c:pt>
                      <c:pt idx="102">
                        <c:v>17</c:v>
                      </c:pt>
                      <c:pt idx="103">
                        <c:v>17</c:v>
                      </c:pt>
                      <c:pt idx="104">
                        <c:v>17</c:v>
                      </c:pt>
                      <c:pt idx="105">
                        <c:v>17</c:v>
                      </c:pt>
                      <c:pt idx="106">
                        <c:v>17</c:v>
                      </c:pt>
                      <c:pt idx="107">
                        <c:v>17</c:v>
                      </c:pt>
                      <c:pt idx="108">
                        <c:v>18</c:v>
                      </c:pt>
                      <c:pt idx="109">
                        <c:v>18</c:v>
                      </c:pt>
                      <c:pt idx="110">
                        <c:v>18</c:v>
                      </c:pt>
                      <c:pt idx="111">
                        <c:v>18</c:v>
                      </c:pt>
                      <c:pt idx="112">
                        <c:v>18</c:v>
                      </c:pt>
                      <c:pt idx="113">
                        <c:v>18</c:v>
                      </c:pt>
                      <c:pt idx="114">
                        <c:v>19</c:v>
                      </c:pt>
                      <c:pt idx="115">
                        <c:v>19</c:v>
                      </c:pt>
                      <c:pt idx="116">
                        <c:v>19</c:v>
                      </c:pt>
                      <c:pt idx="117">
                        <c:v>19</c:v>
                      </c:pt>
                      <c:pt idx="118">
                        <c:v>19</c:v>
                      </c:pt>
                      <c:pt idx="119">
                        <c:v>19</c:v>
                      </c:pt>
                      <c:pt idx="120">
                        <c:v>20</c:v>
                      </c:pt>
                      <c:pt idx="121">
                        <c:v>20</c:v>
                      </c:pt>
                      <c:pt idx="122">
                        <c:v>20</c:v>
                      </c:pt>
                      <c:pt idx="123">
                        <c:v>20</c:v>
                      </c:pt>
                      <c:pt idx="124">
                        <c:v>20</c:v>
                      </c:pt>
                      <c:pt idx="125">
                        <c:v>20</c:v>
                      </c:pt>
                      <c:pt idx="126">
                        <c:v>21</c:v>
                      </c:pt>
                      <c:pt idx="127">
                        <c:v>21</c:v>
                      </c:pt>
                      <c:pt idx="128">
                        <c:v>21</c:v>
                      </c:pt>
                      <c:pt idx="129">
                        <c:v>21</c:v>
                      </c:pt>
                      <c:pt idx="130">
                        <c:v>21</c:v>
                      </c:pt>
                      <c:pt idx="131">
                        <c:v>21</c:v>
                      </c:pt>
                      <c:pt idx="132">
                        <c:v>22</c:v>
                      </c:pt>
                      <c:pt idx="133">
                        <c:v>22</c:v>
                      </c:pt>
                      <c:pt idx="134">
                        <c:v>22</c:v>
                      </c:pt>
                      <c:pt idx="135">
                        <c:v>22</c:v>
                      </c:pt>
                      <c:pt idx="136">
                        <c:v>22</c:v>
                      </c:pt>
                      <c:pt idx="137">
                        <c:v>22</c:v>
                      </c:pt>
                      <c:pt idx="138">
                        <c:v>23</c:v>
                      </c:pt>
                      <c:pt idx="139">
                        <c:v>23</c:v>
                      </c:pt>
                      <c:pt idx="140">
                        <c:v>23</c:v>
                      </c:pt>
                      <c:pt idx="141">
                        <c:v>23</c:v>
                      </c:pt>
                      <c:pt idx="142">
                        <c:v>23</c:v>
                      </c:pt>
                      <c:pt idx="143">
                        <c:v>23</c:v>
                      </c:pt>
                      <c:pt idx="144">
                        <c:v>24</c:v>
                      </c:pt>
                      <c:pt idx="145">
                        <c:v>24</c:v>
                      </c:pt>
                      <c:pt idx="146">
                        <c:v>24</c:v>
                      </c:pt>
                      <c:pt idx="147">
                        <c:v>24</c:v>
                      </c:pt>
                      <c:pt idx="148">
                        <c:v>24</c:v>
                      </c:pt>
                      <c:pt idx="149">
                        <c:v>24</c:v>
                      </c:pt>
                      <c:pt idx="150">
                        <c:v>25</c:v>
                      </c:pt>
                      <c:pt idx="151">
                        <c:v>25</c:v>
                      </c:pt>
                      <c:pt idx="152">
                        <c:v>25</c:v>
                      </c:pt>
                      <c:pt idx="153">
                        <c:v>25</c:v>
                      </c:pt>
                      <c:pt idx="154">
                        <c:v>25</c:v>
                      </c:pt>
                      <c:pt idx="155">
                        <c:v>25</c:v>
                      </c:pt>
                      <c:pt idx="156">
                        <c:v>26</c:v>
                      </c:pt>
                      <c:pt idx="157">
                        <c:v>26</c:v>
                      </c:pt>
                      <c:pt idx="158">
                        <c:v>26</c:v>
                      </c:pt>
                      <c:pt idx="159">
                        <c:v>26</c:v>
                      </c:pt>
                      <c:pt idx="160">
                        <c:v>26</c:v>
                      </c:pt>
                      <c:pt idx="161">
                        <c:v>26</c:v>
                      </c:pt>
                      <c:pt idx="162">
                        <c:v>27</c:v>
                      </c:pt>
                      <c:pt idx="163">
                        <c:v>27</c:v>
                      </c:pt>
                      <c:pt idx="164">
                        <c:v>27</c:v>
                      </c:pt>
                      <c:pt idx="165">
                        <c:v>27</c:v>
                      </c:pt>
                      <c:pt idx="166">
                        <c:v>27</c:v>
                      </c:pt>
                      <c:pt idx="167">
                        <c:v>27</c:v>
                      </c:pt>
                      <c:pt idx="168">
                        <c:v>28</c:v>
                      </c:pt>
                      <c:pt idx="169">
                        <c:v>28</c:v>
                      </c:pt>
                      <c:pt idx="170">
                        <c:v>28</c:v>
                      </c:pt>
                      <c:pt idx="171">
                        <c:v>28</c:v>
                      </c:pt>
                      <c:pt idx="172">
                        <c:v>28</c:v>
                      </c:pt>
                      <c:pt idx="173">
                        <c:v>28</c:v>
                      </c:pt>
                      <c:pt idx="174">
                        <c:v>29</c:v>
                      </c:pt>
                      <c:pt idx="175">
                        <c:v>29</c:v>
                      </c:pt>
                      <c:pt idx="176">
                        <c:v>29</c:v>
                      </c:pt>
                      <c:pt idx="177">
                        <c:v>29</c:v>
                      </c:pt>
                      <c:pt idx="178">
                        <c:v>29</c:v>
                      </c:pt>
                      <c:pt idx="179">
                        <c:v>29</c:v>
                      </c:pt>
                      <c:pt idx="180">
                        <c:v>30</c:v>
                      </c:pt>
                      <c:pt idx="181">
                        <c:v>30</c:v>
                      </c:pt>
                      <c:pt idx="182">
                        <c:v>30</c:v>
                      </c:pt>
                      <c:pt idx="183">
                        <c:v>30</c:v>
                      </c:pt>
                      <c:pt idx="184">
                        <c:v>30</c:v>
                      </c:pt>
                      <c:pt idx="185">
                        <c:v>30</c:v>
                      </c:pt>
                      <c:pt idx="186">
                        <c:v>31</c:v>
                      </c:pt>
                      <c:pt idx="187">
                        <c:v>31</c:v>
                      </c:pt>
                      <c:pt idx="188">
                        <c:v>31</c:v>
                      </c:pt>
                      <c:pt idx="189">
                        <c:v>31</c:v>
                      </c:pt>
                      <c:pt idx="190">
                        <c:v>31</c:v>
                      </c:pt>
                      <c:pt idx="191">
                        <c:v>31</c:v>
                      </c:pt>
                      <c:pt idx="192">
                        <c:v>32</c:v>
                      </c:pt>
                      <c:pt idx="193">
                        <c:v>32</c:v>
                      </c:pt>
                      <c:pt idx="194">
                        <c:v>32</c:v>
                      </c:pt>
                      <c:pt idx="195">
                        <c:v>32</c:v>
                      </c:pt>
                      <c:pt idx="196">
                        <c:v>32</c:v>
                      </c:pt>
                      <c:pt idx="197">
                        <c:v>32</c:v>
                      </c:pt>
                      <c:pt idx="198">
                        <c:v>33</c:v>
                      </c:pt>
                      <c:pt idx="199">
                        <c:v>33</c:v>
                      </c:pt>
                      <c:pt idx="200">
                        <c:v>33</c:v>
                      </c:pt>
                      <c:pt idx="201">
                        <c:v>33</c:v>
                      </c:pt>
                      <c:pt idx="202">
                        <c:v>33</c:v>
                      </c:pt>
                      <c:pt idx="203">
                        <c:v>33</c:v>
                      </c:pt>
                      <c:pt idx="204">
                        <c:v>34</c:v>
                      </c:pt>
                      <c:pt idx="205">
                        <c:v>34</c:v>
                      </c:pt>
                      <c:pt idx="206">
                        <c:v>34</c:v>
                      </c:pt>
                      <c:pt idx="207">
                        <c:v>34</c:v>
                      </c:pt>
                      <c:pt idx="208">
                        <c:v>34</c:v>
                      </c:pt>
                      <c:pt idx="209">
                        <c:v>34</c:v>
                      </c:pt>
                      <c:pt idx="210">
                        <c:v>35</c:v>
                      </c:pt>
                      <c:pt idx="211">
                        <c:v>35</c:v>
                      </c:pt>
                      <c:pt idx="212">
                        <c:v>35</c:v>
                      </c:pt>
                      <c:pt idx="213">
                        <c:v>35</c:v>
                      </c:pt>
                      <c:pt idx="214">
                        <c:v>35</c:v>
                      </c:pt>
                      <c:pt idx="215">
                        <c:v>35</c:v>
                      </c:pt>
                      <c:pt idx="216">
                        <c:v>36</c:v>
                      </c:pt>
                      <c:pt idx="217">
                        <c:v>36</c:v>
                      </c:pt>
                      <c:pt idx="218">
                        <c:v>36</c:v>
                      </c:pt>
                      <c:pt idx="219">
                        <c:v>36</c:v>
                      </c:pt>
                      <c:pt idx="220">
                        <c:v>36</c:v>
                      </c:pt>
                      <c:pt idx="221">
                        <c:v>36</c:v>
                      </c:pt>
                      <c:pt idx="222">
                        <c:v>37</c:v>
                      </c:pt>
                      <c:pt idx="223">
                        <c:v>37</c:v>
                      </c:pt>
                      <c:pt idx="224">
                        <c:v>37</c:v>
                      </c:pt>
                      <c:pt idx="225">
                        <c:v>37</c:v>
                      </c:pt>
                      <c:pt idx="226">
                        <c:v>38</c:v>
                      </c:pt>
                      <c:pt idx="227">
                        <c:v>38</c:v>
                      </c:pt>
                      <c:pt idx="228">
                        <c:v>38</c:v>
                      </c:pt>
                      <c:pt idx="229">
                        <c:v>38</c:v>
                      </c:pt>
                      <c:pt idx="230">
                        <c:v>38</c:v>
                      </c:pt>
                      <c:pt idx="231">
                        <c:v>38</c:v>
                      </c:pt>
                      <c:pt idx="232">
                        <c:v>39</c:v>
                      </c:pt>
                      <c:pt idx="233">
                        <c:v>39</c:v>
                      </c:pt>
                      <c:pt idx="234">
                        <c:v>39</c:v>
                      </c:pt>
                      <c:pt idx="235">
                        <c:v>39</c:v>
                      </c:pt>
                      <c:pt idx="236">
                        <c:v>39</c:v>
                      </c:pt>
                      <c:pt idx="237">
                        <c:v>40</c:v>
                      </c:pt>
                      <c:pt idx="238">
                        <c:v>40</c:v>
                      </c:pt>
                      <c:pt idx="239">
                        <c:v>40</c:v>
                      </c:pt>
                      <c:pt idx="240">
                        <c:v>40</c:v>
                      </c:pt>
                      <c:pt idx="241">
                        <c:v>40</c:v>
                      </c:pt>
                      <c:pt idx="242">
                        <c:v>40</c:v>
                      </c:pt>
                      <c:pt idx="243">
                        <c:v>41</c:v>
                      </c:pt>
                      <c:pt idx="244">
                        <c:v>41</c:v>
                      </c:pt>
                      <c:pt idx="245">
                        <c:v>41</c:v>
                      </c:pt>
                      <c:pt idx="246">
                        <c:v>41</c:v>
                      </c:pt>
                      <c:pt idx="247">
                        <c:v>41</c:v>
                      </c:pt>
                      <c:pt idx="248">
                        <c:v>41</c:v>
                      </c:pt>
                      <c:pt idx="249">
                        <c:v>42</c:v>
                      </c:pt>
                      <c:pt idx="250">
                        <c:v>42</c:v>
                      </c:pt>
                      <c:pt idx="251">
                        <c:v>42</c:v>
                      </c:pt>
                      <c:pt idx="252">
                        <c:v>42</c:v>
                      </c:pt>
                      <c:pt idx="253">
                        <c:v>42</c:v>
                      </c:pt>
                      <c:pt idx="254">
                        <c:v>42</c:v>
                      </c:pt>
                      <c:pt idx="255">
                        <c:v>43</c:v>
                      </c:pt>
                      <c:pt idx="256">
                        <c:v>43</c:v>
                      </c:pt>
                      <c:pt idx="257">
                        <c:v>43</c:v>
                      </c:pt>
                      <c:pt idx="258">
                        <c:v>43</c:v>
                      </c:pt>
                      <c:pt idx="259">
                        <c:v>43</c:v>
                      </c:pt>
                      <c:pt idx="260">
                        <c:v>43</c:v>
                      </c:pt>
                      <c:pt idx="261">
                        <c:v>44</c:v>
                      </c:pt>
                      <c:pt idx="262">
                        <c:v>44</c:v>
                      </c:pt>
                      <c:pt idx="263">
                        <c:v>44</c:v>
                      </c:pt>
                      <c:pt idx="264">
                        <c:v>44</c:v>
                      </c:pt>
                      <c:pt idx="265">
                        <c:v>44</c:v>
                      </c:pt>
                      <c:pt idx="266">
                        <c:v>44</c:v>
                      </c:pt>
                      <c:pt idx="267">
                        <c:v>45</c:v>
                      </c:pt>
                      <c:pt idx="268">
                        <c:v>45</c:v>
                      </c:pt>
                      <c:pt idx="269">
                        <c:v>45</c:v>
                      </c:pt>
                      <c:pt idx="270">
                        <c:v>45</c:v>
                      </c:pt>
                      <c:pt idx="271">
                        <c:v>45</c:v>
                      </c:pt>
                      <c:pt idx="272">
                        <c:v>45</c:v>
                      </c:pt>
                      <c:pt idx="273">
                        <c:v>46</c:v>
                      </c:pt>
                      <c:pt idx="274">
                        <c:v>46</c:v>
                      </c:pt>
                      <c:pt idx="275">
                        <c:v>46</c:v>
                      </c:pt>
                      <c:pt idx="276">
                        <c:v>46</c:v>
                      </c:pt>
                      <c:pt idx="277">
                        <c:v>46</c:v>
                      </c:pt>
                      <c:pt idx="278">
                        <c:v>46</c:v>
                      </c:pt>
                      <c:pt idx="279">
                        <c:v>47</c:v>
                      </c:pt>
                      <c:pt idx="280">
                        <c:v>47</c:v>
                      </c:pt>
                      <c:pt idx="281">
                        <c:v>47</c:v>
                      </c:pt>
                      <c:pt idx="282">
                        <c:v>47</c:v>
                      </c:pt>
                      <c:pt idx="283">
                        <c:v>47</c:v>
                      </c:pt>
                      <c:pt idx="284">
                        <c:v>47</c:v>
                      </c:pt>
                      <c:pt idx="285">
                        <c:v>48</c:v>
                      </c:pt>
                      <c:pt idx="286">
                        <c:v>48</c:v>
                      </c:pt>
                      <c:pt idx="287">
                        <c:v>48</c:v>
                      </c:pt>
                      <c:pt idx="288">
                        <c:v>48</c:v>
                      </c:pt>
                      <c:pt idx="289">
                        <c:v>48</c:v>
                      </c:pt>
                      <c:pt idx="290">
                        <c:v>48</c:v>
                      </c:pt>
                      <c:pt idx="291">
                        <c:v>49</c:v>
                      </c:pt>
                      <c:pt idx="292">
                        <c:v>49</c:v>
                      </c:pt>
                      <c:pt idx="293">
                        <c:v>49</c:v>
                      </c:pt>
                      <c:pt idx="294">
                        <c:v>49</c:v>
                      </c:pt>
                      <c:pt idx="295">
                        <c:v>49</c:v>
                      </c:pt>
                      <c:pt idx="296">
                        <c:v>49</c:v>
                      </c:pt>
                      <c:pt idx="297">
                        <c:v>50</c:v>
                      </c:pt>
                      <c:pt idx="298">
                        <c:v>50</c:v>
                      </c:pt>
                      <c:pt idx="299">
                        <c:v>50</c:v>
                      </c:pt>
                      <c:pt idx="300">
                        <c:v>50</c:v>
                      </c:pt>
                      <c:pt idx="301">
                        <c:v>50</c:v>
                      </c:pt>
                      <c:pt idx="302">
                        <c:v>51</c:v>
                      </c:pt>
                      <c:pt idx="303">
                        <c:v>51</c:v>
                      </c:pt>
                      <c:pt idx="304">
                        <c:v>51</c:v>
                      </c:pt>
                      <c:pt idx="305">
                        <c:v>51</c:v>
                      </c:pt>
                      <c:pt idx="306">
                        <c:v>51</c:v>
                      </c:pt>
                      <c:pt idx="307">
                        <c:v>51</c:v>
                      </c:pt>
                      <c:pt idx="308">
                        <c:v>52</c:v>
                      </c:pt>
                      <c:pt idx="309">
                        <c:v>52</c:v>
                      </c:pt>
                      <c:pt idx="310">
                        <c:v>52</c:v>
                      </c:pt>
                      <c:pt idx="311">
                        <c:v>52</c:v>
                      </c:pt>
                      <c:pt idx="312">
                        <c:v>52</c:v>
                      </c:pt>
                      <c:pt idx="313">
                        <c:v>53</c:v>
                      </c:pt>
                      <c:pt idx="314">
                        <c:v>53</c:v>
                      </c:pt>
                      <c:pt idx="315">
                        <c:v>53</c:v>
                      </c:pt>
                      <c:pt idx="316">
                        <c:v>53</c:v>
                      </c:pt>
                      <c:pt idx="317">
                        <c:v>53</c:v>
                      </c:pt>
                      <c:pt idx="318">
                        <c:v>54</c:v>
                      </c:pt>
                      <c:pt idx="319">
                        <c:v>54</c:v>
                      </c:pt>
                      <c:pt idx="320">
                        <c:v>54</c:v>
                      </c:pt>
                      <c:pt idx="321">
                        <c:v>54</c:v>
                      </c:pt>
                      <c:pt idx="322">
                        <c:v>54</c:v>
                      </c:pt>
                      <c:pt idx="323">
                        <c:v>55</c:v>
                      </c:pt>
                      <c:pt idx="324">
                        <c:v>55</c:v>
                      </c:pt>
                      <c:pt idx="325">
                        <c:v>55</c:v>
                      </c:pt>
                      <c:pt idx="326">
                        <c:v>55</c:v>
                      </c:pt>
                      <c:pt idx="327">
                        <c:v>55</c:v>
                      </c:pt>
                      <c:pt idx="328">
                        <c:v>56</c:v>
                      </c:pt>
                      <c:pt idx="329">
                        <c:v>56</c:v>
                      </c:pt>
                      <c:pt idx="330">
                        <c:v>56</c:v>
                      </c:pt>
                      <c:pt idx="331">
                        <c:v>56</c:v>
                      </c:pt>
                      <c:pt idx="332">
                        <c:v>56</c:v>
                      </c:pt>
                      <c:pt idx="333">
                        <c:v>56</c:v>
                      </c:pt>
                      <c:pt idx="334">
                        <c:v>57</c:v>
                      </c:pt>
                      <c:pt idx="335">
                        <c:v>57</c:v>
                      </c:pt>
                      <c:pt idx="336">
                        <c:v>57</c:v>
                      </c:pt>
                      <c:pt idx="337">
                        <c:v>57</c:v>
                      </c:pt>
                      <c:pt idx="338">
                        <c:v>57</c:v>
                      </c:pt>
                      <c:pt idx="339">
                        <c:v>58</c:v>
                      </c:pt>
                      <c:pt idx="340">
                        <c:v>58</c:v>
                      </c:pt>
                      <c:pt idx="341">
                        <c:v>58</c:v>
                      </c:pt>
                      <c:pt idx="342">
                        <c:v>58</c:v>
                      </c:pt>
                      <c:pt idx="343">
                        <c:v>58</c:v>
                      </c:pt>
                      <c:pt idx="344">
                        <c:v>59</c:v>
                      </c:pt>
                      <c:pt idx="345">
                        <c:v>59</c:v>
                      </c:pt>
                      <c:pt idx="346">
                        <c:v>59</c:v>
                      </c:pt>
                      <c:pt idx="347">
                        <c:v>59</c:v>
                      </c:pt>
                      <c:pt idx="348">
                        <c:v>59</c:v>
                      </c:pt>
                      <c:pt idx="349">
                        <c:v>60</c:v>
                      </c:pt>
                      <c:pt idx="350">
                        <c:v>60</c:v>
                      </c:pt>
                      <c:pt idx="351">
                        <c:v>60</c:v>
                      </c:pt>
                      <c:pt idx="352">
                        <c:v>60</c:v>
                      </c:pt>
                      <c:pt idx="353">
                        <c:v>60</c:v>
                      </c:pt>
                      <c:pt idx="354">
                        <c:v>60</c:v>
                      </c:pt>
                      <c:pt idx="355">
                        <c:v>61</c:v>
                      </c:pt>
                      <c:pt idx="356">
                        <c:v>61</c:v>
                      </c:pt>
                      <c:pt idx="357">
                        <c:v>61</c:v>
                      </c:pt>
                      <c:pt idx="358">
                        <c:v>61</c:v>
                      </c:pt>
                      <c:pt idx="359">
                        <c:v>61</c:v>
                      </c:pt>
                      <c:pt idx="360">
                        <c:v>62</c:v>
                      </c:pt>
                      <c:pt idx="361">
                        <c:v>62</c:v>
                      </c:pt>
                      <c:pt idx="362">
                        <c:v>62</c:v>
                      </c:pt>
                      <c:pt idx="363">
                        <c:v>62</c:v>
                      </c:pt>
                      <c:pt idx="364">
                        <c:v>62</c:v>
                      </c:pt>
                      <c:pt idx="365">
                        <c:v>63</c:v>
                      </c:pt>
                      <c:pt idx="366">
                        <c:v>63</c:v>
                      </c:pt>
                      <c:pt idx="367">
                        <c:v>63</c:v>
                      </c:pt>
                      <c:pt idx="368">
                        <c:v>63</c:v>
                      </c:pt>
                      <c:pt idx="369">
                        <c:v>63</c:v>
                      </c:pt>
                      <c:pt idx="370">
                        <c:v>64</c:v>
                      </c:pt>
                      <c:pt idx="371">
                        <c:v>64</c:v>
                      </c:pt>
                      <c:pt idx="372">
                        <c:v>64</c:v>
                      </c:pt>
                      <c:pt idx="373">
                        <c:v>64</c:v>
                      </c:pt>
                      <c:pt idx="374">
                        <c:v>64</c:v>
                      </c:pt>
                      <c:pt idx="375">
                        <c:v>65</c:v>
                      </c:pt>
                      <c:pt idx="376">
                        <c:v>65</c:v>
                      </c:pt>
                      <c:pt idx="377">
                        <c:v>65</c:v>
                      </c:pt>
                      <c:pt idx="378">
                        <c:v>65</c:v>
                      </c:pt>
                      <c:pt idx="379">
                        <c:v>65</c:v>
                      </c:pt>
                      <c:pt idx="380">
                        <c:v>66</c:v>
                      </c:pt>
                      <c:pt idx="381">
                        <c:v>66</c:v>
                      </c:pt>
                      <c:pt idx="382">
                        <c:v>66</c:v>
                      </c:pt>
                      <c:pt idx="383">
                        <c:v>66</c:v>
                      </c:pt>
                      <c:pt idx="384">
                        <c:v>66</c:v>
                      </c:pt>
                      <c:pt idx="385">
                        <c:v>66</c:v>
                      </c:pt>
                      <c:pt idx="386">
                        <c:v>67</c:v>
                      </c:pt>
                      <c:pt idx="387">
                        <c:v>67</c:v>
                      </c:pt>
                      <c:pt idx="388">
                        <c:v>67</c:v>
                      </c:pt>
                      <c:pt idx="389">
                        <c:v>67</c:v>
                      </c:pt>
                      <c:pt idx="390">
                        <c:v>67</c:v>
                      </c:pt>
                      <c:pt idx="391">
                        <c:v>68</c:v>
                      </c:pt>
                      <c:pt idx="392">
                        <c:v>68</c:v>
                      </c:pt>
                      <c:pt idx="393">
                        <c:v>68</c:v>
                      </c:pt>
                      <c:pt idx="394">
                        <c:v>68</c:v>
                      </c:pt>
                      <c:pt idx="395">
                        <c:v>68</c:v>
                      </c:pt>
                      <c:pt idx="396">
                        <c:v>69</c:v>
                      </c:pt>
                      <c:pt idx="397">
                        <c:v>69</c:v>
                      </c:pt>
                      <c:pt idx="398">
                        <c:v>69</c:v>
                      </c:pt>
                      <c:pt idx="399">
                        <c:v>69</c:v>
                      </c:pt>
                      <c:pt idx="400">
                        <c:v>69</c:v>
                      </c:pt>
                      <c:pt idx="401">
                        <c:v>70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'0703-a'!$A$2:$A$402</c15:sqref>
                        </c15:formulaRef>
                      </c:ext>
                    </c:extLst>
                    <c:numCache>
                      <c:formatCode>General</c:formatCode>
                      <c:ptCount val="40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3</c:v>
                      </c:pt>
                      <c:pt idx="21">
                        <c:v>3</c:v>
                      </c:pt>
                      <c:pt idx="22">
                        <c:v>3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4</c:v>
                      </c:pt>
                      <c:pt idx="27">
                        <c:v>4</c:v>
                      </c:pt>
                      <c:pt idx="28">
                        <c:v>4</c:v>
                      </c:pt>
                      <c:pt idx="29">
                        <c:v>5</c:v>
                      </c:pt>
                      <c:pt idx="30">
                        <c:v>5</c:v>
                      </c:pt>
                      <c:pt idx="31">
                        <c:v>5</c:v>
                      </c:pt>
                      <c:pt idx="32">
                        <c:v>5</c:v>
                      </c:pt>
                      <c:pt idx="33">
                        <c:v>5</c:v>
                      </c:pt>
                      <c:pt idx="34">
                        <c:v>5</c:v>
                      </c:pt>
                      <c:pt idx="35">
                        <c:v>6</c:v>
                      </c:pt>
                      <c:pt idx="36">
                        <c:v>6</c:v>
                      </c:pt>
                      <c:pt idx="37">
                        <c:v>6</c:v>
                      </c:pt>
                      <c:pt idx="38">
                        <c:v>6</c:v>
                      </c:pt>
                      <c:pt idx="39">
                        <c:v>6</c:v>
                      </c:pt>
                      <c:pt idx="40">
                        <c:v>6</c:v>
                      </c:pt>
                      <c:pt idx="41">
                        <c:v>7</c:v>
                      </c:pt>
                      <c:pt idx="42">
                        <c:v>7</c:v>
                      </c:pt>
                      <c:pt idx="43">
                        <c:v>7</c:v>
                      </c:pt>
                      <c:pt idx="44">
                        <c:v>7</c:v>
                      </c:pt>
                      <c:pt idx="45">
                        <c:v>7</c:v>
                      </c:pt>
                      <c:pt idx="46">
                        <c:v>7</c:v>
                      </c:pt>
                      <c:pt idx="47">
                        <c:v>8</c:v>
                      </c:pt>
                      <c:pt idx="48">
                        <c:v>8</c:v>
                      </c:pt>
                      <c:pt idx="49">
                        <c:v>8</c:v>
                      </c:pt>
                      <c:pt idx="50">
                        <c:v>8</c:v>
                      </c:pt>
                      <c:pt idx="51">
                        <c:v>8</c:v>
                      </c:pt>
                      <c:pt idx="52">
                        <c:v>8</c:v>
                      </c:pt>
                      <c:pt idx="53">
                        <c:v>9</c:v>
                      </c:pt>
                      <c:pt idx="54">
                        <c:v>9</c:v>
                      </c:pt>
                      <c:pt idx="55">
                        <c:v>9</c:v>
                      </c:pt>
                      <c:pt idx="56">
                        <c:v>9</c:v>
                      </c:pt>
                      <c:pt idx="57">
                        <c:v>9</c:v>
                      </c:pt>
                      <c:pt idx="58">
                        <c:v>9</c:v>
                      </c:pt>
                      <c:pt idx="59">
                        <c:v>10</c:v>
                      </c:pt>
                      <c:pt idx="60">
                        <c:v>10</c:v>
                      </c:pt>
                      <c:pt idx="61">
                        <c:v>10</c:v>
                      </c:pt>
                      <c:pt idx="62">
                        <c:v>10</c:v>
                      </c:pt>
                      <c:pt idx="63">
                        <c:v>10</c:v>
                      </c:pt>
                      <c:pt idx="64">
                        <c:v>10</c:v>
                      </c:pt>
                      <c:pt idx="65">
                        <c:v>11</c:v>
                      </c:pt>
                      <c:pt idx="66">
                        <c:v>11</c:v>
                      </c:pt>
                      <c:pt idx="67">
                        <c:v>11</c:v>
                      </c:pt>
                      <c:pt idx="68">
                        <c:v>11</c:v>
                      </c:pt>
                      <c:pt idx="69">
                        <c:v>11</c:v>
                      </c:pt>
                      <c:pt idx="70">
                        <c:v>11</c:v>
                      </c:pt>
                      <c:pt idx="71">
                        <c:v>12</c:v>
                      </c:pt>
                      <c:pt idx="72">
                        <c:v>12</c:v>
                      </c:pt>
                      <c:pt idx="73">
                        <c:v>12</c:v>
                      </c:pt>
                      <c:pt idx="74">
                        <c:v>12</c:v>
                      </c:pt>
                      <c:pt idx="75">
                        <c:v>12</c:v>
                      </c:pt>
                      <c:pt idx="76">
                        <c:v>12</c:v>
                      </c:pt>
                      <c:pt idx="77">
                        <c:v>13</c:v>
                      </c:pt>
                      <c:pt idx="78">
                        <c:v>13</c:v>
                      </c:pt>
                      <c:pt idx="79">
                        <c:v>13</c:v>
                      </c:pt>
                      <c:pt idx="80">
                        <c:v>13</c:v>
                      </c:pt>
                      <c:pt idx="81">
                        <c:v>13</c:v>
                      </c:pt>
                      <c:pt idx="82">
                        <c:v>13</c:v>
                      </c:pt>
                      <c:pt idx="83">
                        <c:v>14</c:v>
                      </c:pt>
                      <c:pt idx="84">
                        <c:v>14</c:v>
                      </c:pt>
                      <c:pt idx="85">
                        <c:v>14</c:v>
                      </c:pt>
                      <c:pt idx="86">
                        <c:v>14</c:v>
                      </c:pt>
                      <c:pt idx="87">
                        <c:v>14</c:v>
                      </c:pt>
                      <c:pt idx="88">
                        <c:v>14</c:v>
                      </c:pt>
                      <c:pt idx="89">
                        <c:v>15</c:v>
                      </c:pt>
                      <c:pt idx="90">
                        <c:v>15</c:v>
                      </c:pt>
                      <c:pt idx="91">
                        <c:v>15</c:v>
                      </c:pt>
                      <c:pt idx="92">
                        <c:v>15</c:v>
                      </c:pt>
                      <c:pt idx="93">
                        <c:v>15</c:v>
                      </c:pt>
                      <c:pt idx="94">
                        <c:v>15</c:v>
                      </c:pt>
                      <c:pt idx="95">
                        <c:v>16</c:v>
                      </c:pt>
                      <c:pt idx="96">
                        <c:v>16</c:v>
                      </c:pt>
                      <c:pt idx="97">
                        <c:v>16</c:v>
                      </c:pt>
                      <c:pt idx="98">
                        <c:v>16</c:v>
                      </c:pt>
                      <c:pt idx="99">
                        <c:v>16</c:v>
                      </c:pt>
                      <c:pt idx="100">
                        <c:v>16</c:v>
                      </c:pt>
                      <c:pt idx="101">
                        <c:v>17</c:v>
                      </c:pt>
                      <c:pt idx="102">
                        <c:v>17</c:v>
                      </c:pt>
                      <c:pt idx="103">
                        <c:v>17</c:v>
                      </c:pt>
                      <c:pt idx="104">
                        <c:v>17</c:v>
                      </c:pt>
                      <c:pt idx="105">
                        <c:v>17</c:v>
                      </c:pt>
                      <c:pt idx="106">
                        <c:v>17</c:v>
                      </c:pt>
                      <c:pt idx="107">
                        <c:v>18</c:v>
                      </c:pt>
                      <c:pt idx="108">
                        <c:v>18</c:v>
                      </c:pt>
                      <c:pt idx="109">
                        <c:v>18</c:v>
                      </c:pt>
                      <c:pt idx="110">
                        <c:v>18</c:v>
                      </c:pt>
                      <c:pt idx="111">
                        <c:v>18</c:v>
                      </c:pt>
                      <c:pt idx="112">
                        <c:v>18</c:v>
                      </c:pt>
                      <c:pt idx="113">
                        <c:v>19</c:v>
                      </c:pt>
                      <c:pt idx="114">
                        <c:v>19</c:v>
                      </c:pt>
                      <c:pt idx="115">
                        <c:v>19</c:v>
                      </c:pt>
                      <c:pt idx="116">
                        <c:v>19</c:v>
                      </c:pt>
                      <c:pt idx="117">
                        <c:v>19</c:v>
                      </c:pt>
                      <c:pt idx="118">
                        <c:v>19</c:v>
                      </c:pt>
                      <c:pt idx="119">
                        <c:v>20</c:v>
                      </c:pt>
                      <c:pt idx="120">
                        <c:v>20</c:v>
                      </c:pt>
                      <c:pt idx="121">
                        <c:v>20</c:v>
                      </c:pt>
                      <c:pt idx="122">
                        <c:v>20</c:v>
                      </c:pt>
                      <c:pt idx="123">
                        <c:v>20</c:v>
                      </c:pt>
                      <c:pt idx="124">
                        <c:v>20</c:v>
                      </c:pt>
                      <c:pt idx="125">
                        <c:v>21</c:v>
                      </c:pt>
                      <c:pt idx="126">
                        <c:v>21</c:v>
                      </c:pt>
                      <c:pt idx="127">
                        <c:v>21</c:v>
                      </c:pt>
                      <c:pt idx="128">
                        <c:v>21</c:v>
                      </c:pt>
                      <c:pt idx="129">
                        <c:v>21</c:v>
                      </c:pt>
                      <c:pt idx="130">
                        <c:v>21</c:v>
                      </c:pt>
                      <c:pt idx="131">
                        <c:v>22</c:v>
                      </c:pt>
                      <c:pt idx="132">
                        <c:v>22</c:v>
                      </c:pt>
                      <c:pt idx="133">
                        <c:v>22</c:v>
                      </c:pt>
                      <c:pt idx="134">
                        <c:v>22</c:v>
                      </c:pt>
                      <c:pt idx="135">
                        <c:v>22</c:v>
                      </c:pt>
                      <c:pt idx="136">
                        <c:v>22</c:v>
                      </c:pt>
                      <c:pt idx="137">
                        <c:v>23</c:v>
                      </c:pt>
                      <c:pt idx="138">
                        <c:v>23</c:v>
                      </c:pt>
                      <c:pt idx="139">
                        <c:v>23</c:v>
                      </c:pt>
                      <c:pt idx="140">
                        <c:v>23</c:v>
                      </c:pt>
                      <c:pt idx="141">
                        <c:v>23</c:v>
                      </c:pt>
                      <c:pt idx="142">
                        <c:v>23</c:v>
                      </c:pt>
                      <c:pt idx="143">
                        <c:v>24</c:v>
                      </c:pt>
                      <c:pt idx="144">
                        <c:v>24</c:v>
                      </c:pt>
                      <c:pt idx="145">
                        <c:v>24</c:v>
                      </c:pt>
                      <c:pt idx="146">
                        <c:v>24</c:v>
                      </c:pt>
                      <c:pt idx="147">
                        <c:v>24</c:v>
                      </c:pt>
                      <c:pt idx="148">
                        <c:v>24</c:v>
                      </c:pt>
                      <c:pt idx="149">
                        <c:v>25</c:v>
                      </c:pt>
                      <c:pt idx="150">
                        <c:v>25</c:v>
                      </c:pt>
                      <c:pt idx="151">
                        <c:v>25</c:v>
                      </c:pt>
                      <c:pt idx="152">
                        <c:v>25</c:v>
                      </c:pt>
                      <c:pt idx="153">
                        <c:v>25</c:v>
                      </c:pt>
                      <c:pt idx="154">
                        <c:v>25</c:v>
                      </c:pt>
                      <c:pt idx="155">
                        <c:v>26</c:v>
                      </c:pt>
                      <c:pt idx="156">
                        <c:v>26</c:v>
                      </c:pt>
                      <c:pt idx="157">
                        <c:v>26</c:v>
                      </c:pt>
                      <c:pt idx="158">
                        <c:v>26</c:v>
                      </c:pt>
                      <c:pt idx="159">
                        <c:v>26</c:v>
                      </c:pt>
                      <c:pt idx="160">
                        <c:v>26</c:v>
                      </c:pt>
                      <c:pt idx="161">
                        <c:v>27</c:v>
                      </c:pt>
                      <c:pt idx="162">
                        <c:v>27</c:v>
                      </c:pt>
                      <c:pt idx="163">
                        <c:v>27</c:v>
                      </c:pt>
                      <c:pt idx="164">
                        <c:v>27</c:v>
                      </c:pt>
                      <c:pt idx="165">
                        <c:v>27</c:v>
                      </c:pt>
                      <c:pt idx="166">
                        <c:v>27</c:v>
                      </c:pt>
                      <c:pt idx="167">
                        <c:v>28</c:v>
                      </c:pt>
                      <c:pt idx="168">
                        <c:v>28</c:v>
                      </c:pt>
                      <c:pt idx="169">
                        <c:v>28</c:v>
                      </c:pt>
                      <c:pt idx="170">
                        <c:v>28</c:v>
                      </c:pt>
                      <c:pt idx="171">
                        <c:v>28</c:v>
                      </c:pt>
                      <c:pt idx="172">
                        <c:v>28</c:v>
                      </c:pt>
                      <c:pt idx="173">
                        <c:v>29</c:v>
                      </c:pt>
                      <c:pt idx="174">
                        <c:v>29</c:v>
                      </c:pt>
                      <c:pt idx="175">
                        <c:v>29</c:v>
                      </c:pt>
                      <c:pt idx="176">
                        <c:v>29</c:v>
                      </c:pt>
                      <c:pt idx="177">
                        <c:v>29</c:v>
                      </c:pt>
                      <c:pt idx="178">
                        <c:v>29</c:v>
                      </c:pt>
                      <c:pt idx="179">
                        <c:v>30</c:v>
                      </c:pt>
                      <c:pt idx="180">
                        <c:v>30</c:v>
                      </c:pt>
                      <c:pt idx="181">
                        <c:v>30</c:v>
                      </c:pt>
                      <c:pt idx="182">
                        <c:v>30</c:v>
                      </c:pt>
                      <c:pt idx="183">
                        <c:v>30</c:v>
                      </c:pt>
                      <c:pt idx="184">
                        <c:v>30</c:v>
                      </c:pt>
                      <c:pt idx="185">
                        <c:v>31</c:v>
                      </c:pt>
                      <c:pt idx="186">
                        <c:v>31</c:v>
                      </c:pt>
                      <c:pt idx="187">
                        <c:v>31</c:v>
                      </c:pt>
                      <c:pt idx="188">
                        <c:v>31</c:v>
                      </c:pt>
                      <c:pt idx="189">
                        <c:v>31</c:v>
                      </c:pt>
                      <c:pt idx="190">
                        <c:v>31</c:v>
                      </c:pt>
                      <c:pt idx="191">
                        <c:v>32</c:v>
                      </c:pt>
                      <c:pt idx="192">
                        <c:v>32</c:v>
                      </c:pt>
                      <c:pt idx="193">
                        <c:v>32</c:v>
                      </c:pt>
                      <c:pt idx="194">
                        <c:v>32</c:v>
                      </c:pt>
                      <c:pt idx="195">
                        <c:v>32</c:v>
                      </c:pt>
                      <c:pt idx="196">
                        <c:v>32</c:v>
                      </c:pt>
                      <c:pt idx="197">
                        <c:v>33</c:v>
                      </c:pt>
                      <c:pt idx="198">
                        <c:v>33</c:v>
                      </c:pt>
                      <c:pt idx="199">
                        <c:v>33</c:v>
                      </c:pt>
                      <c:pt idx="200">
                        <c:v>33</c:v>
                      </c:pt>
                      <c:pt idx="201">
                        <c:v>33</c:v>
                      </c:pt>
                      <c:pt idx="202">
                        <c:v>33</c:v>
                      </c:pt>
                      <c:pt idx="203">
                        <c:v>34</c:v>
                      </c:pt>
                      <c:pt idx="204">
                        <c:v>34</c:v>
                      </c:pt>
                      <c:pt idx="205">
                        <c:v>34</c:v>
                      </c:pt>
                      <c:pt idx="206">
                        <c:v>34</c:v>
                      </c:pt>
                      <c:pt idx="207">
                        <c:v>34</c:v>
                      </c:pt>
                      <c:pt idx="208">
                        <c:v>34</c:v>
                      </c:pt>
                      <c:pt idx="209">
                        <c:v>35</c:v>
                      </c:pt>
                      <c:pt idx="210">
                        <c:v>35</c:v>
                      </c:pt>
                      <c:pt idx="211">
                        <c:v>35</c:v>
                      </c:pt>
                      <c:pt idx="212">
                        <c:v>35</c:v>
                      </c:pt>
                      <c:pt idx="213">
                        <c:v>35</c:v>
                      </c:pt>
                      <c:pt idx="214">
                        <c:v>35</c:v>
                      </c:pt>
                      <c:pt idx="215">
                        <c:v>36</c:v>
                      </c:pt>
                      <c:pt idx="216">
                        <c:v>36</c:v>
                      </c:pt>
                      <c:pt idx="217">
                        <c:v>36</c:v>
                      </c:pt>
                      <c:pt idx="218">
                        <c:v>36</c:v>
                      </c:pt>
                      <c:pt idx="219">
                        <c:v>36</c:v>
                      </c:pt>
                      <c:pt idx="220">
                        <c:v>36</c:v>
                      </c:pt>
                      <c:pt idx="221">
                        <c:v>37</c:v>
                      </c:pt>
                      <c:pt idx="222">
                        <c:v>37</c:v>
                      </c:pt>
                      <c:pt idx="223">
                        <c:v>37</c:v>
                      </c:pt>
                      <c:pt idx="224">
                        <c:v>37</c:v>
                      </c:pt>
                      <c:pt idx="225">
                        <c:v>38</c:v>
                      </c:pt>
                      <c:pt idx="226">
                        <c:v>38</c:v>
                      </c:pt>
                      <c:pt idx="227">
                        <c:v>38</c:v>
                      </c:pt>
                      <c:pt idx="228">
                        <c:v>38</c:v>
                      </c:pt>
                      <c:pt idx="229">
                        <c:v>38</c:v>
                      </c:pt>
                      <c:pt idx="230">
                        <c:v>38</c:v>
                      </c:pt>
                      <c:pt idx="231">
                        <c:v>39</c:v>
                      </c:pt>
                      <c:pt idx="232">
                        <c:v>39</c:v>
                      </c:pt>
                      <c:pt idx="233">
                        <c:v>39</c:v>
                      </c:pt>
                      <c:pt idx="234">
                        <c:v>39</c:v>
                      </c:pt>
                      <c:pt idx="235">
                        <c:v>39</c:v>
                      </c:pt>
                      <c:pt idx="236">
                        <c:v>40</c:v>
                      </c:pt>
                      <c:pt idx="237">
                        <c:v>40</c:v>
                      </c:pt>
                      <c:pt idx="238">
                        <c:v>40</c:v>
                      </c:pt>
                      <c:pt idx="239">
                        <c:v>40</c:v>
                      </c:pt>
                      <c:pt idx="240">
                        <c:v>40</c:v>
                      </c:pt>
                      <c:pt idx="241">
                        <c:v>40</c:v>
                      </c:pt>
                      <c:pt idx="242">
                        <c:v>41</c:v>
                      </c:pt>
                      <c:pt idx="243">
                        <c:v>41</c:v>
                      </c:pt>
                      <c:pt idx="244">
                        <c:v>41</c:v>
                      </c:pt>
                      <c:pt idx="245">
                        <c:v>41</c:v>
                      </c:pt>
                      <c:pt idx="246">
                        <c:v>41</c:v>
                      </c:pt>
                      <c:pt idx="247">
                        <c:v>41</c:v>
                      </c:pt>
                      <c:pt idx="248">
                        <c:v>42</c:v>
                      </c:pt>
                      <c:pt idx="249">
                        <c:v>42</c:v>
                      </c:pt>
                      <c:pt idx="250">
                        <c:v>42</c:v>
                      </c:pt>
                      <c:pt idx="251">
                        <c:v>42</c:v>
                      </c:pt>
                      <c:pt idx="252">
                        <c:v>42</c:v>
                      </c:pt>
                      <c:pt idx="253">
                        <c:v>42</c:v>
                      </c:pt>
                      <c:pt idx="254">
                        <c:v>43</c:v>
                      </c:pt>
                      <c:pt idx="255">
                        <c:v>43</c:v>
                      </c:pt>
                      <c:pt idx="256">
                        <c:v>43</c:v>
                      </c:pt>
                      <c:pt idx="257">
                        <c:v>43</c:v>
                      </c:pt>
                      <c:pt idx="258">
                        <c:v>43</c:v>
                      </c:pt>
                      <c:pt idx="259">
                        <c:v>43</c:v>
                      </c:pt>
                      <c:pt idx="260">
                        <c:v>44</c:v>
                      </c:pt>
                      <c:pt idx="261">
                        <c:v>44</c:v>
                      </c:pt>
                      <c:pt idx="262">
                        <c:v>44</c:v>
                      </c:pt>
                      <c:pt idx="263">
                        <c:v>44</c:v>
                      </c:pt>
                      <c:pt idx="264">
                        <c:v>44</c:v>
                      </c:pt>
                      <c:pt idx="265">
                        <c:v>44</c:v>
                      </c:pt>
                      <c:pt idx="266">
                        <c:v>45</c:v>
                      </c:pt>
                      <c:pt idx="267">
                        <c:v>45</c:v>
                      </c:pt>
                      <c:pt idx="268">
                        <c:v>45</c:v>
                      </c:pt>
                      <c:pt idx="269">
                        <c:v>45</c:v>
                      </c:pt>
                      <c:pt idx="270">
                        <c:v>45</c:v>
                      </c:pt>
                      <c:pt idx="271">
                        <c:v>45</c:v>
                      </c:pt>
                      <c:pt idx="272">
                        <c:v>46</c:v>
                      </c:pt>
                      <c:pt idx="273">
                        <c:v>46</c:v>
                      </c:pt>
                      <c:pt idx="274">
                        <c:v>46</c:v>
                      </c:pt>
                      <c:pt idx="275">
                        <c:v>46</c:v>
                      </c:pt>
                      <c:pt idx="276">
                        <c:v>46</c:v>
                      </c:pt>
                      <c:pt idx="277">
                        <c:v>46</c:v>
                      </c:pt>
                      <c:pt idx="278">
                        <c:v>47</c:v>
                      </c:pt>
                      <c:pt idx="279">
                        <c:v>47</c:v>
                      </c:pt>
                      <c:pt idx="280">
                        <c:v>47</c:v>
                      </c:pt>
                      <c:pt idx="281">
                        <c:v>47</c:v>
                      </c:pt>
                      <c:pt idx="282">
                        <c:v>47</c:v>
                      </c:pt>
                      <c:pt idx="283">
                        <c:v>47</c:v>
                      </c:pt>
                      <c:pt idx="284">
                        <c:v>48</c:v>
                      </c:pt>
                      <c:pt idx="285">
                        <c:v>48</c:v>
                      </c:pt>
                      <c:pt idx="286">
                        <c:v>48</c:v>
                      </c:pt>
                      <c:pt idx="287">
                        <c:v>48</c:v>
                      </c:pt>
                      <c:pt idx="288">
                        <c:v>48</c:v>
                      </c:pt>
                      <c:pt idx="289">
                        <c:v>48</c:v>
                      </c:pt>
                      <c:pt idx="290">
                        <c:v>49</c:v>
                      </c:pt>
                      <c:pt idx="291">
                        <c:v>49</c:v>
                      </c:pt>
                      <c:pt idx="292">
                        <c:v>49</c:v>
                      </c:pt>
                      <c:pt idx="293">
                        <c:v>49</c:v>
                      </c:pt>
                      <c:pt idx="294">
                        <c:v>49</c:v>
                      </c:pt>
                      <c:pt idx="295">
                        <c:v>49</c:v>
                      </c:pt>
                      <c:pt idx="296">
                        <c:v>50</c:v>
                      </c:pt>
                      <c:pt idx="297">
                        <c:v>50</c:v>
                      </c:pt>
                      <c:pt idx="298">
                        <c:v>50</c:v>
                      </c:pt>
                      <c:pt idx="299">
                        <c:v>50</c:v>
                      </c:pt>
                      <c:pt idx="300">
                        <c:v>50</c:v>
                      </c:pt>
                      <c:pt idx="301">
                        <c:v>51</c:v>
                      </c:pt>
                      <c:pt idx="302">
                        <c:v>51</c:v>
                      </c:pt>
                      <c:pt idx="303">
                        <c:v>51</c:v>
                      </c:pt>
                      <c:pt idx="304">
                        <c:v>51</c:v>
                      </c:pt>
                      <c:pt idx="305">
                        <c:v>51</c:v>
                      </c:pt>
                      <c:pt idx="306">
                        <c:v>51</c:v>
                      </c:pt>
                      <c:pt idx="307">
                        <c:v>52</c:v>
                      </c:pt>
                      <c:pt idx="308">
                        <c:v>52</c:v>
                      </c:pt>
                      <c:pt idx="309">
                        <c:v>52</c:v>
                      </c:pt>
                      <c:pt idx="310">
                        <c:v>52</c:v>
                      </c:pt>
                      <c:pt idx="311">
                        <c:v>52</c:v>
                      </c:pt>
                      <c:pt idx="312">
                        <c:v>53</c:v>
                      </c:pt>
                      <c:pt idx="313">
                        <c:v>53</c:v>
                      </c:pt>
                      <c:pt idx="314">
                        <c:v>53</c:v>
                      </c:pt>
                      <c:pt idx="315">
                        <c:v>53</c:v>
                      </c:pt>
                      <c:pt idx="316">
                        <c:v>53</c:v>
                      </c:pt>
                      <c:pt idx="317">
                        <c:v>54</c:v>
                      </c:pt>
                      <c:pt idx="318">
                        <c:v>54</c:v>
                      </c:pt>
                      <c:pt idx="319">
                        <c:v>54</c:v>
                      </c:pt>
                      <c:pt idx="320">
                        <c:v>54</c:v>
                      </c:pt>
                      <c:pt idx="321">
                        <c:v>54</c:v>
                      </c:pt>
                      <c:pt idx="322">
                        <c:v>55</c:v>
                      </c:pt>
                      <c:pt idx="323">
                        <c:v>55</c:v>
                      </c:pt>
                      <c:pt idx="324">
                        <c:v>55</c:v>
                      </c:pt>
                      <c:pt idx="325">
                        <c:v>55</c:v>
                      </c:pt>
                      <c:pt idx="326">
                        <c:v>55</c:v>
                      </c:pt>
                      <c:pt idx="327">
                        <c:v>56</c:v>
                      </c:pt>
                      <c:pt idx="328">
                        <c:v>56</c:v>
                      </c:pt>
                      <c:pt idx="329">
                        <c:v>56</c:v>
                      </c:pt>
                      <c:pt idx="330">
                        <c:v>56</c:v>
                      </c:pt>
                      <c:pt idx="331">
                        <c:v>56</c:v>
                      </c:pt>
                      <c:pt idx="332">
                        <c:v>56</c:v>
                      </c:pt>
                      <c:pt idx="333">
                        <c:v>57</c:v>
                      </c:pt>
                      <c:pt idx="334">
                        <c:v>57</c:v>
                      </c:pt>
                      <c:pt idx="335">
                        <c:v>57</c:v>
                      </c:pt>
                      <c:pt idx="336">
                        <c:v>57</c:v>
                      </c:pt>
                      <c:pt idx="337">
                        <c:v>57</c:v>
                      </c:pt>
                      <c:pt idx="338">
                        <c:v>58</c:v>
                      </c:pt>
                      <c:pt idx="339">
                        <c:v>58</c:v>
                      </c:pt>
                      <c:pt idx="340">
                        <c:v>58</c:v>
                      </c:pt>
                      <c:pt idx="341">
                        <c:v>58</c:v>
                      </c:pt>
                      <c:pt idx="342">
                        <c:v>58</c:v>
                      </c:pt>
                      <c:pt idx="343">
                        <c:v>59</c:v>
                      </c:pt>
                      <c:pt idx="344">
                        <c:v>59</c:v>
                      </c:pt>
                      <c:pt idx="345">
                        <c:v>59</c:v>
                      </c:pt>
                      <c:pt idx="346">
                        <c:v>59</c:v>
                      </c:pt>
                      <c:pt idx="347">
                        <c:v>59</c:v>
                      </c:pt>
                      <c:pt idx="348">
                        <c:v>60</c:v>
                      </c:pt>
                      <c:pt idx="349">
                        <c:v>60</c:v>
                      </c:pt>
                      <c:pt idx="350">
                        <c:v>60</c:v>
                      </c:pt>
                      <c:pt idx="351">
                        <c:v>60</c:v>
                      </c:pt>
                      <c:pt idx="352">
                        <c:v>60</c:v>
                      </c:pt>
                      <c:pt idx="353">
                        <c:v>60</c:v>
                      </c:pt>
                      <c:pt idx="354">
                        <c:v>61</c:v>
                      </c:pt>
                      <c:pt idx="355">
                        <c:v>61</c:v>
                      </c:pt>
                      <c:pt idx="356">
                        <c:v>61</c:v>
                      </c:pt>
                      <c:pt idx="357">
                        <c:v>61</c:v>
                      </c:pt>
                      <c:pt idx="358">
                        <c:v>61</c:v>
                      </c:pt>
                      <c:pt idx="359">
                        <c:v>62</c:v>
                      </c:pt>
                      <c:pt idx="360">
                        <c:v>62</c:v>
                      </c:pt>
                      <c:pt idx="361">
                        <c:v>62</c:v>
                      </c:pt>
                      <c:pt idx="362">
                        <c:v>62</c:v>
                      </c:pt>
                      <c:pt idx="363">
                        <c:v>62</c:v>
                      </c:pt>
                      <c:pt idx="364">
                        <c:v>63</c:v>
                      </c:pt>
                      <c:pt idx="365">
                        <c:v>63</c:v>
                      </c:pt>
                      <c:pt idx="366">
                        <c:v>63</c:v>
                      </c:pt>
                      <c:pt idx="367">
                        <c:v>63</c:v>
                      </c:pt>
                      <c:pt idx="368">
                        <c:v>63</c:v>
                      </c:pt>
                      <c:pt idx="369">
                        <c:v>64</c:v>
                      </c:pt>
                      <c:pt idx="370">
                        <c:v>64</c:v>
                      </c:pt>
                      <c:pt idx="371">
                        <c:v>64</c:v>
                      </c:pt>
                      <c:pt idx="372">
                        <c:v>64</c:v>
                      </c:pt>
                      <c:pt idx="373">
                        <c:v>64</c:v>
                      </c:pt>
                      <c:pt idx="374">
                        <c:v>65</c:v>
                      </c:pt>
                      <c:pt idx="375">
                        <c:v>65</c:v>
                      </c:pt>
                      <c:pt idx="376">
                        <c:v>65</c:v>
                      </c:pt>
                      <c:pt idx="377">
                        <c:v>65</c:v>
                      </c:pt>
                      <c:pt idx="378">
                        <c:v>65</c:v>
                      </c:pt>
                      <c:pt idx="379">
                        <c:v>66</c:v>
                      </c:pt>
                      <c:pt idx="380">
                        <c:v>66</c:v>
                      </c:pt>
                      <c:pt idx="381">
                        <c:v>66</c:v>
                      </c:pt>
                      <c:pt idx="382">
                        <c:v>66</c:v>
                      </c:pt>
                      <c:pt idx="383">
                        <c:v>66</c:v>
                      </c:pt>
                      <c:pt idx="384">
                        <c:v>66</c:v>
                      </c:pt>
                      <c:pt idx="385">
                        <c:v>67</c:v>
                      </c:pt>
                      <c:pt idx="386">
                        <c:v>67</c:v>
                      </c:pt>
                      <c:pt idx="387">
                        <c:v>67</c:v>
                      </c:pt>
                      <c:pt idx="388">
                        <c:v>67</c:v>
                      </c:pt>
                      <c:pt idx="389">
                        <c:v>67</c:v>
                      </c:pt>
                      <c:pt idx="390">
                        <c:v>68</c:v>
                      </c:pt>
                      <c:pt idx="391">
                        <c:v>68</c:v>
                      </c:pt>
                      <c:pt idx="392">
                        <c:v>68</c:v>
                      </c:pt>
                      <c:pt idx="393">
                        <c:v>68</c:v>
                      </c:pt>
                      <c:pt idx="394">
                        <c:v>68</c:v>
                      </c:pt>
                      <c:pt idx="395">
                        <c:v>69</c:v>
                      </c:pt>
                      <c:pt idx="396">
                        <c:v>69</c:v>
                      </c:pt>
                      <c:pt idx="397">
                        <c:v>69</c:v>
                      </c:pt>
                      <c:pt idx="398">
                        <c:v>69</c:v>
                      </c:pt>
                      <c:pt idx="399">
                        <c:v>69</c:v>
                      </c:pt>
                      <c:pt idx="400">
                        <c:v>70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6A00-48AE-BD82-EF0F9ABD1F5F}"/>
                  </c:ext>
                </c:extLst>
              </c15:ser>
            </c15:filteredLineSeries>
          </c:ext>
        </c:extLst>
      </c:lineChart>
      <c:catAx>
        <c:axId val="1662742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631663696"/>
        <c:crosses val="autoZero"/>
        <c:auto val="1"/>
        <c:lblAlgn val="ctr"/>
        <c:lblOffset val="100"/>
        <c:noMultiLvlLbl val="0"/>
      </c:catAx>
      <c:valAx>
        <c:axId val="163166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662742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'0719-a'!$B$1</c:f>
              <c:strCache>
                <c:ptCount val="1"/>
                <c:pt idx="0">
                  <c:v>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'0719-a'!$A:$A</c:f>
              <c:strCache>
                <c:ptCount val="139"/>
                <c:pt idx="0">
                  <c:v>time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8</c:v>
                </c:pt>
                <c:pt idx="52">
                  <c:v>8</c:v>
                </c:pt>
                <c:pt idx="53">
                  <c:v>8</c:v>
                </c:pt>
                <c:pt idx="54">
                  <c:v>9</c:v>
                </c:pt>
                <c:pt idx="55">
                  <c:v>9</c:v>
                </c:pt>
                <c:pt idx="56">
                  <c:v>9</c:v>
                </c:pt>
                <c:pt idx="57">
                  <c:v>9</c:v>
                </c:pt>
                <c:pt idx="58">
                  <c:v>9</c:v>
                </c:pt>
                <c:pt idx="59">
                  <c:v>9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11</c:v>
                </c:pt>
                <c:pt idx="67">
                  <c:v>11</c:v>
                </c:pt>
                <c:pt idx="68">
                  <c:v>11</c:v>
                </c:pt>
                <c:pt idx="69">
                  <c:v>11</c:v>
                </c:pt>
                <c:pt idx="70">
                  <c:v>11</c:v>
                </c:pt>
                <c:pt idx="71">
                  <c:v>11</c:v>
                </c:pt>
                <c:pt idx="72">
                  <c:v>12</c:v>
                </c:pt>
                <c:pt idx="73">
                  <c:v>12</c:v>
                </c:pt>
                <c:pt idx="74">
                  <c:v>12</c:v>
                </c:pt>
                <c:pt idx="75">
                  <c:v>12</c:v>
                </c:pt>
                <c:pt idx="76">
                  <c:v>12</c:v>
                </c:pt>
                <c:pt idx="77">
                  <c:v>12</c:v>
                </c:pt>
                <c:pt idx="78">
                  <c:v>13</c:v>
                </c:pt>
                <c:pt idx="79">
                  <c:v>13</c:v>
                </c:pt>
                <c:pt idx="80">
                  <c:v>13</c:v>
                </c:pt>
                <c:pt idx="81">
                  <c:v>13</c:v>
                </c:pt>
                <c:pt idx="82">
                  <c:v>13</c:v>
                </c:pt>
                <c:pt idx="83">
                  <c:v>13</c:v>
                </c:pt>
                <c:pt idx="84">
                  <c:v>14</c:v>
                </c:pt>
                <c:pt idx="85">
                  <c:v>14</c:v>
                </c:pt>
                <c:pt idx="86">
                  <c:v>14</c:v>
                </c:pt>
                <c:pt idx="87">
                  <c:v>14</c:v>
                </c:pt>
                <c:pt idx="88">
                  <c:v>14</c:v>
                </c:pt>
                <c:pt idx="89">
                  <c:v>14</c:v>
                </c:pt>
                <c:pt idx="90">
                  <c:v>15</c:v>
                </c:pt>
                <c:pt idx="91">
                  <c:v>15</c:v>
                </c:pt>
                <c:pt idx="92">
                  <c:v>15</c:v>
                </c:pt>
                <c:pt idx="93">
                  <c:v>15</c:v>
                </c:pt>
                <c:pt idx="94">
                  <c:v>15</c:v>
                </c:pt>
                <c:pt idx="95">
                  <c:v>15</c:v>
                </c:pt>
                <c:pt idx="96">
                  <c:v>16</c:v>
                </c:pt>
                <c:pt idx="97">
                  <c:v>16</c:v>
                </c:pt>
                <c:pt idx="98">
                  <c:v>16</c:v>
                </c:pt>
                <c:pt idx="99">
                  <c:v>16</c:v>
                </c:pt>
                <c:pt idx="100">
                  <c:v>16</c:v>
                </c:pt>
                <c:pt idx="101">
                  <c:v>16</c:v>
                </c:pt>
                <c:pt idx="102">
                  <c:v>17</c:v>
                </c:pt>
                <c:pt idx="103">
                  <c:v>17</c:v>
                </c:pt>
                <c:pt idx="104">
                  <c:v>17</c:v>
                </c:pt>
                <c:pt idx="105">
                  <c:v>17</c:v>
                </c:pt>
                <c:pt idx="106">
                  <c:v>17</c:v>
                </c:pt>
                <c:pt idx="107">
                  <c:v>17</c:v>
                </c:pt>
                <c:pt idx="108">
                  <c:v>18</c:v>
                </c:pt>
                <c:pt idx="109">
                  <c:v>18</c:v>
                </c:pt>
                <c:pt idx="110">
                  <c:v>18</c:v>
                </c:pt>
                <c:pt idx="111">
                  <c:v>18</c:v>
                </c:pt>
                <c:pt idx="112">
                  <c:v>18</c:v>
                </c:pt>
                <c:pt idx="113">
                  <c:v>18</c:v>
                </c:pt>
                <c:pt idx="114">
                  <c:v>19</c:v>
                </c:pt>
                <c:pt idx="115">
                  <c:v>19</c:v>
                </c:pt>
                <c:pt idx="116">
                  <c:v>19</c:v>
                </c:pt>
                <c:pt idx="117">
                  <c:v>19</c:v>
                </c:pt>
                <c:pt idx="118">
                  <c:v>19</c:v>
                </c:pt>
                <c:pt idx="119">
                  <c:v>19</c:v>
                </c:pt>
                <c:pt idx="120">
                  <c:v>20</c:v>
                </c:pt>
                <c:pt idx="121">
                  <c:v>20</c:v>
                </c:pt>
                <c:pt idx="122">
                  <c:v>20</c:v>
                </c:pt>
                <c:pt idx="123">
                  <c:v>20</c:v>
                </c:pt>
                <c:pt idx="124">
                  <c:v>20</c:v>
                </c:pt>
                <c:pt idx="125">
                  <c:v>20</c:v>
                </c:pt>
                <c:pt idx="126">
                  <c:v>21</c:v>
                </c:pt>
                <c:pt idx="127">
                  <c:v>21</c:v>
                </c:pt>
                <c:pt idx="128">
                  <c:v>21</c:v>
                </c:pt>
                <c:pt idx="129">
                  <c:v>21</c:v>
                </c:pt>
                <c:pt idx="130">
                  <c:v>21</c:v>
                </c:pt>
                <c:pt idx="131">
                  <c:v>21</c:v>
                </c:pt>
                <c:pt idx="132">
                  <c:v>22</c:v>
                </c:pt>
                <c:pt idx="133">
                  <c:v>22</c:v>
                </c:pt>
                <c:pt idx="134">
                  <c:v>22</c:v>
                </c:pt>
                <c:pt idx="135">
                  <c:v>22</c:v>
                </c:pt>
                <c:pt idx="136">
                  <c:v>22</c:v>
                </c:pt>
                <c:pt idx="137">
                  <c:v>22</c:v>
                </c:pt>
                <c:pt idx="138">
                  <c:v>23</c:v>
                </c:pt>
              </c:strCache>
            </c:strRef>
          </c:cat>
          <c:val>
            <c:numRef>
              <c:f>'0719-a'!$B$2:$B$139</c:f>
              <c:numCache>
                <c:formatCode>General</c:formatCode>
                <c:ptCount val="138"/>
                <c:pt idx="0">
                  <c:v>25</c:v>
                </c:pt>
                <c:pt idx="1">
                  <c:v>25.1</c:v>
                </c:pt>
                <c:pt idx="2">
                  <c:v>25.7</c:v>
                </c:pt>
                <c:pt idx="3">
                  <c:v>30</c:v>
                </c:pt>
                <c:pt idx="4">
                  <c:v>32.9</c:v>
                </c:pt>
                <c:pt idx="5">
                  <c:v>35.1</c:v>
                </c:pt>
                <c:pt idx="6">
                  <c:v>38.4</c:v>
                </c:pt>
                <c:pt idx="7">
                  <c:v>39.200000000000003</c:v>
                </c:pt>
                <c:pt idx="8">
                  <c:v>40.1</c:v>
                </c:pt>
                <c:pt idx="9">
                  <c:v>41.4</c:v>
                </c:pt>
                <c:pt idx="10">
                  <c:v>42.5</c:v>
                </c:pt>
                <c:pt idx="11">
                  <c:v>43.1</c:v>
                </c:pt>
                <c:pt idx="12">
                  <c:v>44.2</c:v>
                </c:pt>
                <c:pt idx="13">
                  <c:v>44.8</c:v>
                </c:pt>
                <c:pt idx="14">
                  <c:v>45.8</c:v>
                </c:pt>
                <c:pt idx="15">
                  <c:v>47.8</c:v>
                </c:pt>
                <c:pt idx="16">
                  <c:v>47.9</c:v>
                </c:pt>
                <c:pt idx="17">
                  <c:v>47.7</c:v>
                </c:pt>
                <c:pt idx="18">
                  <c:v>48.7</c:v>
                </c:pt>
                <c:pt idx="19">
                  <c:v>49.5</c:v>
                </c:pt>
                <c:pt idx="20">
                  <c:v>50.4</c:v>
                </c:pt>
                <c:pt idx="21">
                  <c:v>51.6</c:v>
                </c:pt>
                <c:pt idx="22">
                  <c:v>51.9</c:v>
                </c:pt>
                <c:pt idx="23">
                  <c:v>51.6</c:v>
                </c:pt>
                <c:pt idx="24">
                  <c:v>52.7</c:v>
                </c:pt>
                <c:pt idx="25">
                  <c:v>52.8</c:v>
                </c:pt>
                <c:pt idx="26">
                  <c:v>54.3</c:v>
                </c:pt>
                <c:pt idx="27">
                  <c:v>55.3</c:v>
                </c:pt>
                <c:pt idx="28">
                  <c:v>56.5</c:v>
                </c:pt>
                <c:pt idx="29">
                  <c:v>56.9</c:v>
                </c:pt>
                <c:pt idx="30">
                  <c:v>58.5</c:v>
                </c:pt>
                <c:pt idx="31">
                  <c:v>58.5</c:v>
                </c:pt>
                <c:pt idx="32">
                  <c:v>58.3</c:v>
                </c:pt>
                <c:pt idx="33">
                  <c:v>59.2</c:v>
                </c:pt>
                <c:pt idx="34">
                  <c:v>59.2</c:v>
                </c:pt>
                <c:pt idx="35">
                  <c:v>60.3</c:v>
                </c:pt>
                <c:pt idx="36">
                  <c:v>61</c:v>
                </c:pt>
                <c:pt idx="37">
                  <c:v>60.4</c:v>
                </c:pt>
                <c:pt idx="38">
                  <c:v>61</c:v>
                </c:pt>
                <c:pt idx="39">
                  <c:v>62.2</c:v>
                </c:pt>
                <c:pt idx="40">
                  <c:v>63.4</c:v>
                </c:pt>
                <c:pt idx="41">
                  <c:v>62.8</c:v>
                </c:pt>
                <c:pt idx="42">
                  <c:v>62.9</c:v>
                </c:pt>
                <c:pt idx="43">
                  <c:v>63.9</c:v>
                </c:pt>
                <c:pt idx="44">
                  <c:v>64.099999999999994</c:v>
                </c:pt>
                <c:pt idx="45">
                  <c:v>65.5</c:v>
                </c:pt>
                <c:pt idx="46">
                  <c:v>66.5</c:v>
                </c:pt>
                <c:pt idx="47">
                  <c:v>66</c:v>
                </c:pt>
                <c:pt idx="48">
                  <c:v>67</c:v>
                </c:pt>
                <c:pt idx="49">
                  <c:v>66.3</c:v>
                </c:pt>
                <c:pt idx="50">
                  <c:v>66.900000000000006</c:v>
                </c:pt>
                <c:pt idx="51">
                  <c:v>67.8</c:v>
                </c:pt>
                <c:pt idx="52">
                  <c:v>68.7</c:v>
                </c:pt>
                <c:pt idx="53">
                  <c:v>69</c:v>
                </c:pt>
                <c:pt idx="54">
                  <c:v>68.2</c:v>
                </c:pt>
                <c:pt idx="55">
                  <c:v>69.2</c:v>
                </c:pt>
                <c:pt idx="56">
                  <c:v>68.900000000000006</c:v>
                </c:pt>
                <c:pt idx="57">
                  <c:v>68.5</c:v>
                </c:pt>
                <c:pt idx="58">
                  <c:v>69.8</c:v>
                </c:pt>
                <c:pt idx="59">
                  <c:v>70.7</c:v>
                </c:pt>
                <c:pt idx="60">
                  <c:v>69.8</c:v>
                </c:pt>
                <c:pt idx="61">
                  <c:v>71</c:v>
                </c:pt>
                <c:pt idx="62">
                  <c:v>71.900000000000006</c:v>
                </c:pt>
                <c:pt idx="63">
                  <c:v>70.599999999999994</c:v>
                </c:pt>
                <c:pt idx="64">
                  <c:v>71.900000000000006</c:v>
                </c:pt>
                <c:pt idx="65">
                  <c:v>73</c:v>
                </c:pt>
                <c:pt idx="66">
                  <c:v>72.900000000000006</c:v>
                </c:pt>
                <c:pt idx="67">
                  <c:v>74.099999999999994</c:v>
                </c:pt>
                <c:pt idx="68">
                  <c:v>74.5</c:v>
                </c:pt>
                <c:pt idx="69">
                  <c:v>74.8</c:v>
                </c:pt>
                <c:pt idx="70">
                  <c:v>73.5</c:v>
                </c:pt>
                <c:pt idx="71">
                  <c:v>73.7</c:v>
                </c:pt>
                <c:pt idx="72">
                  <c:v>74.900000000000006</c:v>
                </c:pt>
                <c:pt idx="73">
                  <c:v>75.2</c:v>
                </c:pt>
                <c:pt idx="74">
                  <c:v>74.5</c:v>
                </c:pt>
                <c:pt idx="75">
                  <c:v>73.8</c:v>
                </c:pt>
                <c:pt idx="76">
                  <c:v>75.8</c:v>
                </c:pt>
                <c:pt idx="77">
                  <c:v>75.599999999999994</c:v>
                </c:pt>
                <c:pt idx="78">
                  <c:v>76.2</c:v>
                </c:pt>
                <c:pt idx="79">
                  <c:v>76.8</c:v>
                </c:pt>
                <c:pt idx="80">
                  <c:v>76.900000000000006</c:v>
                </c:pt>
                <c:pt idx="81">
                  <c:v>77.599999999999994</c:v>
                </c:pt>
                <c:pt idx="82">
                  <c:v>77.5</c:v>
                </c:pt>
                <c:pt idx="83">
                  <c:v>77</c:v>
                </c:pt>
                <c:pt idx="84">
                  <c:v>78.099999999999994</c:v>
                </c:pt>
                <c:pt idx="85">
                  <c:v>78.900000000000006</c:v>
                </c:pt>
                <c:pt idx="86">
                  <c:v>79.2</c:v>
                </c:pt>
                <c:pt idx="87">
                  <c:v>79.2</c:v>
                </c:pt>
                <c:pt idx="88">
                  <c:v>79.599999999999994</c:v>
                </c:pt>
                <c:pt idx="89">
                  <c:v>79.900000000000006</c:v>
                </c:pt>
                <c:pt idx="90">
                  <c:v>80.2</c:v>
                </c:pt>
                <c:pt idx="91">
                  <c:v>79.8</c:v>
                </c:pt>
                <c:pt idx="92">
                  <c:v>80.099999999999994</c:v>
                </c:pt>
                <c:pt idx="93">
                  <c:v>81</c:v>
                </c:pt>
                <c:pt idx="94">
                  <c:v>80.400000000000006</c:v>
                </c:pt>
                <c:pt idx="95">
                  <c:v>80.599999999999994</c:v>
                </c:pt>
                <c:pt idx="96">
                  <c:v>81.400000000000006</c:v>
                </c:pt>
                <c:pt idx="97">
                  <c:v>81</c:v>
                </c:pt>
                <c:pt idx="98">
                  <c:v>82.2</c:v>
                </c:pt>
                <c:pt idx="99">
                  <c:v>82.9</c:v>
                </c:pt>
                <c:pt idx="100">
                  <c:v>83.4</c:v>
                </c:pt>
                <c:pt idx="101">
                  <c:v>83</c:v>
                </c:pt>
                <c:pt idx="102">
                  <c:v>82.9</c:v>
                </c:pt>
                <c:pt idx="103">
                  <c:v>81.099999999999994</c:v>
                </c:pt>
                <c:pt idx="104">
                  <c:v>82.1</c:v>
                </c:pt>
                <c:pt idx="105">
                  <c:v>83</c:v>
                </c:pt>
                <c:pt idx="106">
                  <c:v>82.7</c:v>
                </c:pt>
                <c:pt idx="107">
                  <c:v>83.7</c:v>
                </c:pt>
                <c:pt idx="108">
                  <c:v>84.4</c:v>
                </c:pt>
                <c:pt idx="109">
                  <c:v>84.1</c:v>
                </c:pt>
                <c:pt idx="110">
                  <c:v>83.8</c:v>
                </c:pt>
                <c:pt idx="111">
                  <c:v>83.8</c:v>
                </c:pt>
                <c:pt idx="112">
                  <c:v>85.2</c:v>
                </c:pt>
                <c:pt idx="113">
                  <c:v>84.7</c:v>
                </c:pt>
                <c:pt idx="114">
                  <c:v>84.8</c:v>
                </c:pt>
                <c:pt idx="115">
                  <c:v>86.4</c:v>
                </c:pt>
                <c:pt idx="116">
                  <c:v>86.1</c:v>
                </c:pt>
                <c:pt idx="117">
                  <c:v>86.6</c:v>
                </c:pt>
                <c:pt idx="118">
                  <c:v>87.2</c:v>
                </c:pt>
                <c:pt idx="119">
                  <c:v>87.7</c:v>
                </c:pt>
                <c:pt idx="120">
                  <c:v>87.4</c:v>
                </c:pt>
                <c:pt idx="121">
                  <c:v>85.7</c:v>
                </c:pt>
                <c:pt idx="122">
                  <c:v>86.8</c:v>
                </c:pt>
                <c:pt idx="123">
                  <c:v>87.1</c:v>
                </c:pt>
                <c:pt idx="124">
                  <c:v>88.6</c:v>
                </c:pt>
                <c:pt idx="125">
                  <c:v>88.3</c:v>
                </c:pt>
                <c:pt idx="126">
                  <c:v>88.7</c:v>
                </c:pt>
                <c:pt idx="127">
                  <c:v>88.7</c:v>
                </c:pt>
                <c:pt idx="128">
                  <c:v>89.6</c:v>
                </c:pt>
                <c:pt idx="129">
                  <c:v>89</c:v>
                </c:pt>
                <c:pt idx="130">
                  <c:v>88.4</c:v>
                </c:pt>
                <c:pt idx="131">
                  <c:v>88.1</c:v>
                </c:pt>
                <c:pt idx="132">
                  <c:v>88.8</c:v>
                </c:pt>
                <c:pt idx="133">
                  <c:v>89.3</c:v>
                </c:pt>
                <c:pt idx="134">
                  <c:v>89.6</c:v>
                </c:pt>
                <c:pt idx="135">
                  <c:v>91.2</c:v>
                </c:pt>
                <c:pt idx="136">
                  <c:v>90.7</c:v>
                </c:pt>
                <c:pt idx="137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06-42C5-A221-636B0F662686}"/>
            </c:ext>
          </c:extLst>
        </c:ser>
        <c:ser>
          <c:idx val="2"/>
          <c:order val="2"/>
          <c:tx>
            <c:strRef>
              <c:f>'0719-a'!$C$1</c:f>
              <c:strCache>
                <c:ptCount val="1"/>
                <c:pt idx="0">
                  <c:v>PWM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'0719-a'!$A:$A</c:f>
              <c:strCache>
                <c:ptCount val="139"/>
                <c:pt idx="0">
                  <c:v>time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8</c:v>
                </c:pt>
                <c:pt idx="52">
                  <c:v>8</c:v>
                </c:pt>
                <c:pt idx="53">
                  <c:v>8</c:v>
                </c:pt>
                <c:pt idx="54">
                  <c:v>9</c:v>
                </c:pt>
                <c:pt idx="55">
                  <c:v>9</c:v>
                </c:pt>
                <c:pt idx="56">
                  <c:v>9</c:v>
                </c:pt>
                <c:pt idx="57">
                  <c:v>9</c:v>
                </c:pt>
                <c:pt idx="58">
                  <c:v>9</c:v>
                </c:pt>
                <c:pt idx="59">
                  <c:v>9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11</c:v>
                </c:pt>
                <c:pt idx="67">
                  <c:v>11</c:v>
                </c:pt>
                <c:pt idx="68">
                  <c:v>11</c:v>
                </c:pt>
                <c:pt idx="69">
                  <c:v>11</c:v>
                </c:pt>
                <c:pt idx="70">
                  <c:v>11</c:v>
                </c:pt>
                <c:pt idx="71">
                  <c:v>11</c:v>
                </c:pt>
                <c:pt idx="72">
                  <c:v>12</c:v>
                </c:pt>
                <c:pt idx="73">
                  <c:v>12</c:v>
                </c:pt>
                <c:pt idx="74">
                  <c:v>12</c:v>
                </c:pt>
                <c:pt idx="75">
                  <c:v>12</c:v>
                </c:pt>
                <c:pt idx="76">
                  <c:v>12</c:v>
                </c:pt>
                <c:pt idx="77">
                  <c:v>12</c:v>
                </c:pt>
                <c:pt idx="78">
                  <c:v>13</c:v>
                </c:pt>
                <c:pt idx="79">
                  <c:v>13</c:v>
                </c:pt>
                <c:pt idx="80">
                  <c:v>13</c:v>
                </c:pt>
                <c:pt idx="81">
                  <c:v>13</c:v>
                </c:pt>
                <c:pt idx="82">
                  <c:v>13</c:v>
                </c:pt>
                <c:pt idx="83">
                  <c:v>13</c:v>
                </c:pt>
                <c:pt idx="84">
                  <c:v>14</c:v>
                </c:pt>
                <c:pt idx="85">
                  <c:v>14</c:v>
                </c:pt>
                <c:pt idx="86">
                  <c:v>14</c:v>
                </c:pt>
                <c:pt idx="87">
                  <c:v>14</c:v>
                </c:pt>
                <c:pt idx="88">
                  <c:v>14</c:v>
                </c:pt>
                <c:pt idx="89">
                  <c:v>14</c:v>
                </c:pt>
                <c:pt idx="90">
                  <c:v>15</c:v>
                </c:pt>
                <c:pt idx="91">
                  <c:v>15</c:v>
                </c:pt>
                <c:pt idx="92">
                  <c:v>15</c:v>
                </c:pt>
                <c:pt idx="93">
                  <c:v>15</c:v>
                </c:pt>
                <c:pt idx="94">
                  <c:v>15</c:v>
                </c:pt>
                <c:pt idx="95">
                  <c:v>15</c:v>
                </c:pt>
                <c:pt idx="96">
                  <c:v>16</c:v>
                </c:pt>
                <c:pt idx="97">
                  <c:v>16</c:v>
                </c:pt>
                <c:pt idx="98">
                  <c:v>16</c:v>
                </c:pt>
                <c:pt idx="99">
                  <c:v>16</c:v>
                </c:pt>
                <c:pt idx="100">
                  <c:v>16</c:v>
                </c:pt>
                <c:pt idx="101">
                  <c:v>16</c:v>
                </c:pt>
                <c:pt idx="102">
                  <c:v>17</c:v>
                </c:pt>
                <c:pt idx="103">
                  <c:v>17</c:v>
                </c:pt>
                <c:pt idx="104">
                  <c:v>17</c:v>
                </c:pt>
                <c:pt idx="105">
                  <c:v>17</c:v>
                </c:pt>
                <c:pt idx="106">
                  <c:v>17</c:v>
                </c:pt>
                <c:pt idx="107">
                  <c:v>17</c:v>
                </c:pt>
                <c:pt idx="108">
                  <c:v>18</c:v>
                </c:pt>
                <c:pt idx="109">
                  <c:v>18</c:v>
                </c:pt>
                <c:pt idx="110">
                  <c:v>18</c:v>
                </c:pt>
                <c:pt idx="111">
                  <c:v>18</c:v>
                </c:pt>
                <c:pt idx="112">
                  <c:v>18</c:v>
                </c:pt>
                <c:pt idx="113">
                  <c:v>18</c:v>
                </c:pt>
                <c:pt idx="114">
                  <c:v>19</c:v>
                </c:pt>
                <c:pt idx="115">
                  <c:v>19</c:v>
                </c:pt>
                <c:pt idx="116">
                  <c:v>19</c:v>
                </c:pt>
                <c:pt idx="117">
                  <c:v>19</c:v>
                </c:pt>
                <c:pt idx="118">
                  <c:v>19</c:v>
                </c:pt>
                <c:pt idx="119">
                  <c:v>19</c:v>
                </c:pt>
                <c:pt idx="120">
                  <c:v>20</c:v>
                </c:pt>
                <c:pt idx="121">
                  <c:v>20</c:v>
                </c:pt>
                <c:pt idx="122">
                  <c:v>20</c:v>
                </c:pt>
                <c:pt idx="123">
                  <c:v>20</c:v>
                </c:pt>
                <c:pt idx="124">
                  <c:v>20</c:v>
                </c:pt>
                <c:pt idx="125">
                  <c:v>20</c:v>
                </c:pt>
                <c:pt idx="126">
                  <c:v>21</c:v>
                </c:pt>
                <c:pt idx="127">
                  <c:v>21</c:v>
                </c:pt>
                <c:pt idx="128">
                  <c:v>21</c:v>
                </c:pt>
                <c:pt idx="129">
                  <c:v>21</c:v>
                </c:pt>
                <c:pt idx="130">
                  <c:v>21</c:v>
                </c:pt>
                <c:pt idx="131">
                  <c:v>21</c:v>
                </c:pt>
                <c:pt idx="132">
                  <c:v>22</c:v>
                </c:pt>
                <c:pt idx="133">
                  <c:v>22</c:v>
                </c:pt>
                <c:pt idx="134">
                  <c:v>22</c:v>
                </c:pt>
                <c:pt idx="135">
                  <c:v>22</c:v>
                </c:pt>
                <c:pt idx="136">
                  <c:v>22</c:v>
                </c:pt>
                <c:pt idx="137">
                  <c:v>22</c:v>
                </c:pt>
                <c:pt idx="138">
                  <c:v>23</c:v>
                </c:pt>
              </c:strCache>
            </c:strRef>
          </c:cat>
          <c:val>
            <c:numRef>
              <c:f>'0719-a'!$C$2:$C$139</c:f>
              <c:numCache>
                <c:formatCode>General</c:formatCode>
                <c:ptCount val="138"/>
                <c:pt idx="0">
                  <c:v>0</c:v>
                </c:pt>
                <c:pt idx="1">
                  <c:v>0</c:v>
                </c:pt>
                <c:pt idx="2">
                  <c:v>81.400000000000006</c:v>
                </c:pt>
                <c:pt idx="3">
                  <c:v>19.2</c:v>
                </c:pt>
                <c:pt idx="4">
                  <c:v>40</c:v>
                </c:pt>
                <c:pt idx="5">
                  <c:v>57.4</c:v>
                </c:pt>
                <c:pt idx="6">
                  <c:v>34</c:v>
                </c:pt>
                <c:pt idx="7">
                  <c:v>90.1</c:v>
                </c:pt>
                <c:pt idx="8">
                  <c:v>92.8</c:v>
                </c:pt>
                <c:pt idx="9">
                  <c:v>82.5</c:v>
                </c:pt>
                <c:pt idx="10">
                  <c:v>92.1</c:v>
                </c:pt>
                <c:pt idx="11">
                  <c:v>94.9</c:v>
                </c:pt>
                <c:pt idx="12">
                  <c:v>92.7</c:v>
                </c:pt>
                <c:pt idx="13">
                  <c:v>98.6</c:v>
                </c:pt>
                <c:pt idx="14">
                  <c:v>97.3</c:v>
                </c:pt>
                <c:pt idx="15">
                  <c:v>64.7</c:v>
                </c:pt>
                <c:pt idx="16">
                  <c:v>95.4</c:v>
                </c:pt>
                <c:pt idx="17">
                  <c:v>99.4</c:v>
                </c:pt>
                <c:pt idx="18">
                  <c:v>93.4</c:v>
                </c:pt>
                <c:pt idx="19">
                  <c:v>88.7</c:v>
                </c:pt>
                <c:pt idx="20">
                  <c:v>90.4</c:v>
                </c:pt>
                <c:pt idx="21">
                  <c:v>82.6</c:v>
                </c:pt>
                <c:pt idx="22">
                  <c:v>93.7</c:v>
                </c:pt>
                <c:pt idx="23">
                  <c:v>99.1</c:v>
                </c:pt>
                <c:pt idx="24">
                  <c:v>88.6</c:v>
                </c:pt>
                <c:pt idx="25">
                  <c:v>96.6</c:v>
                </c:pt>
                <c:pt idx="26">
                  <c:v>85.8</c:v>
                </c:pt>
                <c:pt idx="27">
                  <c:v>92</c:v>
                </c:pt>
                <c:pt idx="28">
                  <c:v>90.8</c:v>
                </c:pt>
                <c:pt idx="29">
                  <c:v>96.2</c:v>
                </c:pt>
                <c:pt idx="30">
                  <c:v>93</c:v>
                </c:pt>
                <c:pt idx="31">
                  <c:v>98.9</c:v>
                </c:pt>
                <c:pt idx="32">
                  <c:v>99.8</c:v>
                </c:pt>
                <c:pt idx="33">
                  <c:v>96.5</c:v>
                </c:pt>
                <c:pt idx="34">
                  <c:v>99.5</c:v>
                </c:pt>
                <c:pt idx="35">
                  <c:v>87.5</c:v>
                </c:pt>
                <c:pt idx="36">
                  <c:v>95.5</c:v>
                </c:pt>
                <c:pt idx="37">
                  <c:v>99.4</c:v>
                </c:pt>
                <c:pt idx="38">
                  <c:v>99.1</c:v>
                </c:pt>
                <c:pt idx="39">
                  <c:v>93.2</c:v>
                </c:pt>
                <c:pt idx="40">
                  <c:v>97.7</c:v>
                </c:pt>
                <c:pt idx="41">
                  <c:v>99.7</c:v>
                </c:pt>
                <c:pt idx="42">
                  <c:v>97.4</c:v>
                </c:pt>
                <c:pt idx="43">
                  <c:v>98.5</c:v>
                </c:pt>
                <c:pt idx="44">
                  <c:v>99.8</c:v>
                </c:pt>
                <c:pt idx="45">
                  <c:v>92.8</c:v>
                </c:pt>
                <c:pt idx="46">
                  <c:v>97.4</c:v>
                </c:pt>
                <c:pt idx="47">
                  <c:v>99.6</c:v>
                </c:pt>
                <c:pt idx="48">
                  <c:v>98.8</c:v>
                </c:pt>
                <c:pt idx="49">
                  <c:v>99.8</c:v>
                </c:pt>
                <c:pt idx="50">
                  <c:v>99.8</c:v>
                </c:pt>
                <c:pt idx="51">
                  <c:v>98.7</c:v>
                </c:pt>
                <c:pt idx="52">
                  <c:v>99.6</c:v>
                </c:pt>
                <c:pt idx="53">
                  <c:v>99.9</c:v>
                </c:pt>
                <c:pt idx="54">
                  <c:v>99.9</c:v>
                </c:pt>
                <c:pt idx="55">
                  <c:v>98.3</c:v>
                </c:pt>
                <c:pt idx="56">
                  <c:v>99.7</c:v>
                </c:pt>
                <c:pt idx="57">
                  <c:v>99.9</c:v>
                </c:pt>
                <c:pt idx="58">
                  <c:v>97.1</c:v>
                </c:pt>
                <c:pt idx="59">
                  <c:v>98.5</c:v>
                </c:pt>
                <c:pt idx="60">
                  <c:v>98.9</c:v>
                </c:pt>
                <c:pt idx="61">
                  <c:v>98.1</c:v>
                </c:pt>
                <c:pt idx="62">
                  <c:v>99.7</c:v>
                </c:pt>
                <c:pt idx="63">
                  <c:v>99.9</c:v>
                </c:pt>
                <c:pt idx="64">
                  <c:v>98.3</c:v>
                </c:pt>
                <c:pt idx="65">
                  <c:v>98.1</c:v>
                </c:pt>
                <c:pt idx="66">
                  <c:v>99.7</c:v>
                </c:pt>
                <c:pt idx="67">
                  <c:v>96.4</c:v>
                </c:pt>
                <c:pt idx="68">
                  <c:v>99.5</c:v>
                </c:pt>
                <c:pt idx="69">
                  <c:v>99.9</c:v>
                </c:pt>
                <c:pt idx="70">
                  <c:v>99.9</c:v>
                </c:pt>
                <c:pt idx="71">
                  <c:v>99.7</c:v>
                </c:pt>
                <c:pt idx="72">
                  <c:v>95.5</c:v>
                </c:pt>
                <c:pt idx="73">
                  <c:v>99.4</c:v>
                </c:pt>
                <c:pt idx="74">
                  <c:v>99.9</c:v>
                </c:pt>
                <c:pt idx="75">
                  <c:v>99.9</c:v>
                </c:pt>
                <c:pt idx="76">
                  <c:v>88.1</c:v>
                </c:pt>
                <c:pt idx="77">
                  <c:v>98.4</c:v>
                </c:pt>
                <c:pt idx="78">
                  <c:v>99.7</c:v>
                </c:pt>
                <c:pt idx="79">
                  <c:v>99.9</c:v>
                </c:pt>
                <c:pt idx="80">
                  <c:v>99.9</c:v>
                </c:pt>
                <c:pt idx="81">
                  <c:v>99.9</c:v>
                </c:pt>
                <c:pt idx="82">
                  <c:v>99.9</c:v>
                </c:pt>
                <c:pt idx="83">
                  <c:v>99.9</c:v>
                </c:pt>
                <c:pt idx="84">
                  <c:v>96.9</c:v>
                </c:pt>
                <c:pt idx="85">
                  <c:v>99.6</c:v>
                </c:pt>
                <c:pt idx="86">
                  <c:v>99.9</c:v>
                </c:pt>
                <c:pt idx="87">
                  <c:v>99.9</c:v>
                </c:pt>
                <c:pt idx="88">
                  <c:v>99.8</c:v>
                </c:pt>
                <c:pt idx="89">
                  <c:v>99.9</c:v>
                </c:pt>
                <c:pt idx="90">
                  <c:v>99.9</c:v>
                </c:pt>
                <c:pt idx="91">
                  <c:v>99.9</c:v>
                </c:pt>
                <c:pt idx="92">
                  <c:v>99.9</c:v>
                </c:pt>
                <c:pt idx="93">
                  <c:v>99.9</c:v>
                </c:pt>
                <c:pt idx="94">
                  <c:v>99.9</c:v>
                </c:pt>
                <c:pt idx="95">
                  <c:v>99.9</c:v>
                </c:pt>
                <c:pt idx="96">
                  <c:v>98.6</c:v>
                </c:pt>
                <c:pt idx="97">
                  <c:v>99.8</c:v>
                </c:pt>
                <c:pt idx="98">
                  <c:v>99.9</c:v>
                </c:pt>
                <c:pt idx="99">
                  <c:v>99.8</c:v>
                </c:pt>
                <c:pt idx="100">
                  <c:v>99.9</c:v>
                </c:pt>
                <c:pt idx="101">
                  <c:v>99.9</c:v>
                </c:pt>
                <c:pt idx="102">
                  <c:v>99.9</c:v>
                </c:pt>
                <c:pt idx="103">
                  <c:v>99.9</c:v>
                </c:pt>
                <c:pt idx="104">
                  <c:v>99.4</c:v>
                </c:pt>
                <c:pt idx="105">
                  <c:v>99.8</c:v>
                </c:pt>
                <c:pt idx="106">
                  <c:v>99.9</c:v>
                </c:pt>
                <c:pt idx="107">
                  <c:v>99.1</c:v>
                </c:pt>
                <c:pt idx="108">
                  <c:v>99.8</c:v>
                </c:pt>
                <c:pt idx="109">
                  <c:v>99.9</c:v>
                </c:pt>
                <c:pt idx="110">
                  <c:v>99.9</c:v>
                </c:pt>
                <c:pt idx="111">
                  <c:v>99.9</c:v>
                </c:pt>
                <c:pt idx="112">
                  <c:v>98.4</c:v>
                </c:pt>
                <c:pt idx="113">
                  <c:v>99.8</c:v>
                </c:pt>
                <c:pt idx="114">
                  <c:v>99.9</c:v>
                </c:pt>
                <c:pt idx="115">
                  <c:v>96.9</c:v>
                </c:pt>
                <c:pt idx="116">
                  <c:v>99.6</c:v>
                </c:pt>
                <c:pt idx="117">
                  <c:v>99.9</c:v>
                </c:pt>
                <c:pt idx="118">
                  <c:v>99.9</c:v>
                </c:pt>
                <c:pt idx="119">
                  <c:v>99.9</c:v>
                </c:pt>
                <c:pt idx="120">
                  <c:v>99.9</c:v>
                </c:pt>
                <c:pt idx="121">
                  <c:v>99.9</c:v>
                </c:pt>
                <c:pt idx="122">
                  <c:v>99.9</c:v>
                </c:pt>
                <c:pt idx="123">
                  <c:v>99.9</c:v>
                </c:pt>
                <c:pt idx="124">
                  <c:v>99</c:v>
                </c:pt>
                <c:pt idx="125">
                  <c:v>99.8</c:v>
                </c:pt>
                <c:pt idx="126">
                  <c:v>99.9</c:v>
                </c:pt>
                <c:pt idx="127">
                  <c:v>99.9</c:v>
                </c:pt>
                <c:pt idx="128">
                  <c:v>99.9</c:v>
                </c:pt>
                <c:pt idx="129">
                  <c:v>99.9</c:v>
                </c:pt>
                <c:pt idx="130">
                  <c:v>99.9</c:v>
                </c:pt>
                <c:pt idx="131">
                  <c:v>99.9</c:v>
                </c:pt>
                <c:pt idx="132">
                  <c:v>99.9</c:v>
                </c:pt>
                <c:pt idx="133">
                  <c:v>99.9</c:v>
                </c:pt>
                <c:pt idx="134">
                  <c:v>99.9</c:v>
                </c:pt>
                <c:pt idx="135">
                  <c:v>98.7</c:v>
                </c:pt>
                <c:pt idx="136">
                  <c:v>44.5</c:v>
                </c:pt>
                <c:pt idx="137">
                  <c:v>53.7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06-42C5-A221-636B0F6626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3005680"/>
        <c:axId val="4830037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'0719-a'!$A$1</c15:sqref>
                        </c15:formulaRef>
                      </c:ext>
                    </c:extLst>
                    <c:strCache>
                      <c:ptCount val="1"/>
                      <c:pt idx="0">
                        <c:v>time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'0719-a'!$A:$A</c15:sqref>
                        </c15:formulaRef>
                      </c:ext>
                    </c:extLst>
                    <c:strCache>
                      <c:ptCount val="139"/>
                      <c:pt idx="0">
                        <c:v>time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3</c:v>
                      </c:pt>
                      <c:pt idx="21">
                        <c:v>3</c:v>
                      </c:pt>
                      <c:pt idx="22">
                        <c:v>3</c:v>
                      </c:pt>
                      <c:pt idx="23">
                        <c:v>3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4</c:v>
                      </c:pt>
                      <c:pt idx="27">
                        <c:v>4</c:v>
                      </c:pt>
                      <c:pt idx="28">
                        <c:v>4</c:v>
                      </c:pt>
                      <c:pt idx="29">
                        <c:v>4</c:v>
                      </c:pt>
                      <c:pt idx="30">
                        <c:v>5</c:v>
                      </c:pt>
                      <c:pt idx="31">
                        <c:v>5</c:v>
                      </c:pt>
                      <c:pt idx="32">
                        <c:v>5</c:v>
                      </c:pt>
                      <c:pt idx="33">
                        <c:v>5</c:v>
                      </c:pt>
                      <c:pt idx="34">
                        <c:v>5</c:v>
                      </c:pt>
                      <c:pt idx="35">
                        <c:v>5</c:v>
                      </c:pt>
                      <c:pt idx="36">
                        <c:v>6</c:v>
                      </c:pt>
                      <c:pt idx="37">
                        <c:v>6</c:v>
                      </c:pt>
                      <c:pt idx="38">
                        <c:v>6</c:v>
                      </c:pt>
                      <c:pt idx="39">
                        <c:v>6</c:v>
                      </c:pt>
                      <c:pt idx="40">
                        <c:v>6</c:v>
                      </c:pt>
                      <c:pt idx="41">
                        <c:v>6</c:v>
                      </c:pt>
                      <c:pt idx="42">
                        <c:v>7</c:v>
                      </c:pt>
                      <c:pt idx="43">
                        <c:v>7</c:v>
                      </c:pt>
                      <c:pt idx="44">
                        <c:v>7</c:v>
                      </c:pt>
                      <c:pt idx="45">
                        <c:v>7</c:v>
                      </c:pt>
                      <c:pt idx="46">
                        <c:v>7</c:v>
                      </c:pt>
                      <c:pt idx="47">
                        <c:v>7</c:v>
                      </c:pt>
                      <c:pt idx="48">
                        <c:v>8</c:v>
                      </c:pt>
                      <c:pt idx="49">
                        <c:v>8</c:v>
                      </c:pt>
                      <c:pt idx="50">
                        <c:v>8</c:v>
                      </c:pt>
                      <c:pt idx="51">
                        <c:v>8</c:v>
                      </c:pt>
                      <c:pt idx="52">
                        <c:v>8</c:v>
                      </c:pt>
                      <c:pt idx="53">
                        <c:v>8</c:v>
                      </c:pt>
                      <c:pt idx="54">
                        <c:v>9</c:v>
                      </c:pt>
                      <c:pt idx="55">
                        <c:v>9</c:v>
                      </c:pt>
                      <c:pt idx="56">
                        <c:v>9</c:v>
                      </c:pt>
                      <c:pt idx="57">
                        <c:v>9</c:v>
                      </c:pt>
                      <c:pt idx="58">
                        <c:v>9</c:v>
                      </c:pt>
                      <c:pt idx="59">
                        <c:v>9</c:v>
                      </c:pt>
                      <c:pt idx="60">
                        <c:v>10</c:v>
                      </c:pt>
                      <c:pt idx="61">
                        <c:v>10</c:v>
                      </c:pt>
                      <c:pt idx="62">
                        <c:v>10</c:v>
                      </c:pt>
                      <c:pt idx="63">
                        <c:v>10</c:v>
                      </c:pt>
                      <c:pt idx="64">
                        <c:v>10</c:v>
                      </c:pt>
                      <c:pt idx="65">
                        <c:v>10</c:v>
                      </c:pt>
                      <c:pt idx="66">
                        <c:v>11</c:v>
                      </c:pt>
                      <c:pt idx="67">
                        <c:v>11</c:v>
                      </c:pt>
                      <c:pt idx="68">
                        <c:v>11</c:v>
                      </c:pt>
                      <c:pt idx="69">
                        <c:v>11</c:v>
                      </c:pt>
                      <c:pt idx="70">
                        <c:v>11</c:v>
                      </c:pt>
                      <c:pt idx="71">
                        <c:v>11</c:v>
                      </c:pt>
                      <c:pt idx="72">
                        <c:v>12</c:v>
                      </c:pt>
                      <c:pt idx="73">
                        <c:v>12</c:v>
                      </c:pt>
                      <c:pt idx="74">
                        <c:v>12</c:v>
                      </c:pt>
                      <c:pt idx="75">
                        <c:v>12</c:v>
                      </c:pt>
                      <c:pt idx="76">
                        <c:v>12</c:v>
                      </c:pt>
                      <c:pt idx="77">
                        <c:v>12</c:v>
                      </c:pt>
                      <c:pt idx="78">
                        <c:v>13</c:v>
                      </c:pt>
                      <c:pt idx="79">
                        <c:v>13</c:v>
                      </c:pt>
                      <c:pt idx="80">
                        <c:v>13</c:v>
                      </c:pt>
                      <c:pt idx="81">
                        <c:v>13</c:v>
                      </c:pt>
                      <c:pt idx="82">
                        <c:v>13</c:v>
                      </c:pt>
                      <c:pt idx="83">
                        <c:v>13</c:v>
                      </c:pt>
                      <c:pt idx="84">
                        <c:v>14</c:v>
                      </c:pt>
                      <c:pt idx="85">
                        <c:v>14</c:v>
                      </c:pt>
                      <c:pt idx="86">
                        <c:v>14</c:v>
                      </c:pt>
                      <c:pt idx="87">
                        <c:v>14</c:v>
                      </c:pt>
                      <c:pt idx="88">
                        <c:v>14</c:v>
                      </c:pt>
                      <c:pt idx="89">
                        <c:v>14</c:v>
                      </c:pt>
                      <c:pt idx="90">
                        <c:v>15</c:v>
                      </c:pt>
                      <c:pt idx="91">
                        <c:v>15</c:v>
                      </c:pt>
                      <c:pt idx="92">
                        <c:v>15</c:v>
                      </c:pt>
                      <c:pt idx="93">
                        <c:v>15</c:v>
                      </c:pt>
                      <c:pt idx="94">
                        <c:v>15</c:v>
                      </c:pt>
                      <c:pt idx="95">
                        <c:v>15</c:v>
                      </c:pt>
                      <c:pt idx="96">
                        <c:v>16</c:v>
                      </c:pt>
                      <c:pt idx="97">
                        <c:v>16</c:v>
                      </c:pt>
                      <c:pt idx="98">
                        <c:v>16</c:v>
                      </c:pt>
                      <c:pt idx="99">
                        <c:v>16</c:v>
                      </c:pt>
                      <c:pt idx="100">
                        <c:v>16</c:v>
                      </c:pt>
                      <c:pt idx="101">
                        <c:v>16</c:v>
                      </c:pt>
                      <c:pt idx="102">
                        <c:v>17</c:v>
                      </c:pt>
                      <c:pt idx="103">
                        <c:v>17</c:v>
                      </c:pt>
                      <c:pt idx="104">
                        <c:v>17</c:v>
                      </c:pt>
                      <c:pt idx="105">
                        <c:v>17</c:v>
                      </c:pt>
                      <c:pt idx="106">
                        <c:v>17</c:v>
                      </c:pt>
                      <c:pt idx="107">
                        <c:v>17</c:v>
                      </c:pt>
                      <c:pt idx="108">
                        <c:v>18</c:v>
                      </c:pt>
                      <c:pt idx="109">
                        <c:v>18</c:v>
                      </c:pt>
                      <c:pt idx="110">
                        <c:v>18</c:v>
                      </c:pt>
                      <c:pt idx="111">
                        <c:v>18</c:v>
                      </c:pt>
                      <c:pt idx="112">
                        <c:v>18</c:v>
                      </c:pt>
                      <c:pt idx="113">
                        <c:v>18</c:v>
                      </c:pt>
                      <c:pt idx="114">
                        <c:v>19</c:v>
                      </c:pt>
                      <c:pt idx="115">
                        <c:v>19</c:v>
                      </c:pt>
                      <c:pt idx="116">
                        <c:v>19</c:v>
                      </c:pt>
                      <c:pt idx="117">
                        <c:v>19</c:v>
                      </c:pt>
                      <c:pt idx="118">
                        <c:v>19</c:v>
                      </c:pt>
                      <c:pt idx="119">
                        <c:v>19</c:v>
                      </c:pt>
                      <c:pt idx="120">
                        <c:v>20</c:v>
                      </c:pt>
                      <c:pt idx="121">
                        <c:v>20</c:v>
                      </c:pt>
                      <c:pt idx="122">
                        <c:v>20</c:v>
                      </c:pt>
                      <c:pt idx="123">
                        <c:v>20</c:v>
                      </c:pt>
                      <c:pt idx="124">
                        <c:v>20</c:v>
                      </c:pt>
                      <c:pt idx="125">
                        <c:v>20</c:v>
                      </c:pt>
                      <c:pt idx="126">
                        <c:v>21</c:v>
                      </c:pt>
                      <c:pt idx="127">
                        <c:v>21</c:v>
                      </c:pt>
                      <c:pt idx="128">
                        <c:v>21</c:v>
                      </c:pt>
                      <c:pt idx="129">
                        <c:v>21</c:v>
                      </c:pt>
                      <c:pt idx="130">
                        <c:v>21</c:v>
                      </c:pt>
                      <c:pt idx="131">
                        <c:v>21</c:v>
                      </c:pt>
                      <c:pt idx="132">
                        <c:v>22</c:v>
                      </c:pt>
                      <c:pt idx="133">
                        <c:v>22</c:v>
                      </c:pt>
                      <c:pt idx="134">
                        <c:v>22</c:v>
                      </c:pt>
                      <c:pt idx="135">
                        <c:v>22</c:v>
                      </c:pt>
                      <c:pt idx="136">
                        <c:v>22</c:v>
                      </c:pt>
                      <c:pt idx="137">
                        <c:v>22</c:v>
                      </c:pt>
                      <c:pt idx="138">
                        <c:v>23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'0719-a'!$A$2:$A$139</c15:sqref>
                        </c15:formulaRef>
                      </c:ext>
                    </c:extLst>
                    <c:numCache>
                      <c:formatCode>General</c:formatCode>
                      <c:ptCount val="13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3</c:v>
                      </c:pt>
                      <c:pt idx="21">
                        <c:v>3</c:v>
                      </c:pt>
                      <c:pt idx="22">
                        <c:v>3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4</c:v>
                      </c:pt>
                      <c:pt idx="27">
                        <c:v>4</c:v>
                      </c:pt>
                      <c:pt idx="28">
                        <c:v>4</c:v>
                      </c:pt>
                      <c:pt idx="29">
                        <c:v>5</c:v>
                      </c:pt>
                      <c:pt idx="30">
                        <c:v>5</c:v>
                      </c:pt>
                      <c:pt idx="31">
                        <c:v>5</c:v>
                      </c:pt>
                      <c:pt idx="32">
                        <c:v>5</c:v>
                      </c:pt>
                      <c:pt idx="33">
                        <c:v>5</c:v>
                      </c:pt>
                      <c:pt idx="34">
                        <c:v>5</c:v>
                      </c:pt>
                      <c:pt idx="35">
                        <c:v>6</c:v>
                      </c:pt>
                      <c:pt idx="36">
                        <c:v>6</c:v>
                      </c:pt>
                      <c:pt idx="37">
                        <c:v>6</c:v>
                      </c:pt>
                      <c:pt idx="38">
                        <c:v>6</c:v>
                      </c:pt>
                      <c:pt idx="39">
                        <c:v>6</c:v>
                      </c:pt>
                      <c:pt idx="40">
                        <c:v>6</c:v>
                      </c:pt>
                      <c:pt idx="41">
                        <c:v>7</c:v>
                      </c:pt>
                      <c:pt idx="42">
                        <c:v>7</c:v>
                      </c:pt>
                      <c:pt idx="43">
                        <c:v>7</c:v>
                      </c:pt>
                      <c:pt idx="44">
                        <c:v>7</c:v>
                      </c:pt>
                      <c:pt idx="45">
                        <c:v>7</c:v>
                      </c:pt>
                      <c:pt idx="46">
                        <c:v>7</c:v>
                      </c:pt>
                      <c:pt idx="47">
                        <c:v>8</c:v>
                      </c:pt>
                      <c:pt idx="48">
                        <c:v>8</c:v>
                      </c:pt>
                      <c:pt idx="49">
                        <c:v>8</c:v>
                      </c:pt>
                      <c:pt idx="50">
                        <c:v>8</c:v>
                      </c:pt>
                      <c:pt idx="51">
                        <c:v>8</c:v>
                      </c:pt>
                      <c:pt idx="52">
                        <c:v>8</c:v>
                      </c:pt>
                      <c:pt idx="53">
                        <c:v>9</c:v>
                      </c:pt>
                      <c:pt idx="54">
                        <c:v>9</c:v>
                      </c:pt>
                      <c:pt idx="55">
                        <c:v>9</c:v>
                      </c:pt>
                      <c:pt idx="56">
                        <c:v>9</c:v>
                      </c:pt>
                      <c:pt idx="57">
                        <c:v>9</c:v>
                      </c:pt>
                      <c:pt idx="58">
                        <c:v>9</c:v>
                      </c:pt>
                      <c:pt idx="59">
                        <c:v>10</c:v>
                      </c:pt>
                      <c:pt idx="60">
                        <c:v>10</c:v>
                      </c:pt>
                      <c:pt idx="61">
                        <c:v>10</c:v>
                      </c:pt>
                      <c:pt idx="62">
                        <c:v>10</c:v>
                      </c:pt>
                      <c:pt idx="63">
                        <c:v>10</c:v>
                      </c:pt>
                      <c:pt idx="64">
                        <c:v>10</c:v>
                      </c:pt>
                      <c:pt idx="65">
                        <c:v>11</c:v>
                      </c:pt>
                      <c:pt idx="66">
                        <c:v>11</c:v>
                      </c:pt>
                      <c:pt idx="67">
                        <c:v>11</c:v>
                      </c:pt>
                      <c:pt idx="68">
                        <c:v>11</c:v>
                      </c:pt>
                      <c:pt idx="69">
                        <c:v>11</c:v>
                      </c:pt>
                      <c:pt idx="70">
                        <c:v>11</c:v>
                      </c:pt>
                      <c:pt idx="71">
                        <c:v>12</c:v>
                      </c:pt>
                      <c:pt idx="72">
                        <c:v>12</c:v>
                      </c:pt>
                      <c:pt idx="73">
                        <c:v>12</c:v>
                      </c:pt>
                      <c:pt idx="74">
                        <c:v>12</c:v>
                      </c:pt>
                      <c:pt idx="75">
                        <c:v>12</c:v>
                      </c:pt>
                      <c:pt idx="76">
                        <c:v>12</c:v>
                      </c:pt>
                      <c:pt idx="77">
                        <c:v>13</c:v>
                      </c:pt>
                      <c:pt idx="78">
                        <c:v>13</c:v>
                      </c:pt>
                      <c:pt idx="79">
                        <c:v>13</c:v>
                      </c:pt>
                      <c:pt idx="80">
                        <c:v>13</c:v>
                      </c:pt>
                      <c:pt idx="81">
                        <c:v>13</c:v>
                      </c:pt>
                      <c:pt idx="82">
                        <c:v>13</c:v>
                      </c:pt>
                      <c:pt idx="83">
                        <c:v>14</c:v>
                      </c:pt>
                      <c:pt idx="84">
                        <c:v>14</c:v>
                      </c:pt>
                      <c:pt idx="85">
                        <c:v>14</c:v>
                      </c:pt>
                      <c:pt idx="86">
                        <c:v>14</c:v>
                      </c:pt>
                      <c:pt idx="87">
                        <c:v>14</c:v>
                      </c:pt>
                      <c:pt idx="88">
                        <c:v>14</c:v>
                      </c:pt>
                      <c:pt idx="89">
                        <c:v>15</c:v>
                      </c:pt>
                      <c:pt idx="90">
                        <c:v>15</c:v>
                      </c:pt>
                      <c:pt idx="91">
                        <c:v>15</c:v>
                      </c:pt>
                      <c:pt idx="92">
                        <c:v>15</c:v>
                      </c:pt>
                      <c:pt idx="93">
                        <c:v>15</c:v>
                      </c:pt>
                      <c:pt idx="94">
                        <c:v>15</c:v>
                      </c:pt>
                      <c:pt idx="95">
                        <c:v>16</c:v>
                      </c:pt>
                      <c:pt idx="96">
                        <c:v>16</c:v>
                      </c:pt>
                      <c:pt idx="97">
                        <c:v>16</c:v>
                      </c:pt>
                      <c:pt idx="98">
                        <c:v>16</c:v>
                      </c:pt>
                      <c:pt idx="99">
                        <c:v>16</c:v>
                      </c:pt>
                      <c:pt idx="100">
                        <c:v>16</c:v>
                      </c:pt>
                      <c:pt idx="101">
                        <c:v>17</c:v>
                      </c:pt>
                      <c:pt idx="102">
                        <c:v>17</c:v>
                      </c:pt>
                      <c:pt idx="103">
                        <c:v>17</c:v>
                      </c:pt>
                      <c:pt idx="104">
                        <c:v>17</c:v>
                      </c:pt>
                      <c:pt idx="105">
                        <c:v>17</c:v>
                      </c:pt>
                      <c:pt idx="106">
                        <c:v>17</c:v>
                      </c:pt>
                      <c:pt idx="107">
                        <c:v>18</c:v>
                      </c:pt>
                      <c:pt idx="108">
                        <c:v>18</c:v>
                      </c:pt>
                      <c:pt idx="109">
                        <c:v>18</c:v>
                      </c:pt>
                      <c:pt idx="110">
                        <c:v>18</c:v>
                      </c:pt>
                      <c:pt idx="111">
                        <c:v>18</c:v>
                      </c:pt>
                      <c:pt idx="112">
                        <c:v>18</c:v>
                      </c:pt>
                      <c:pt idx="113">
                        <c:v>19</c:v>
                      </c:pt>
                      <c:pt idx="114">
                        <c:v>19</c:v>
                      </c:pt>
                      <c:pt idx="115">
                        <c:v>19</c:v>
                      </c:pt>
                      <c:pt idx="116">
                        <c:v>19</c:v>
                      </c:pt>
                      <c:pt idx="117">
                        <c:v>19</c:v>
                      </c:pt>
                      <c:pt idx="118">
                        <c:v>19</c:v>
                      </c:pt>
                      <c:pt idx="119">
                        <c:v>20</c:v>
                      </c:pt>
                      <c:pt idx="120">
                        <c:v>20</c:v>
                      </c:pt>
                      <c:pt idx="121">
                        <c:v>20</c:v>
                      </c:pt>
                      <c:pt idx="122">
                        <c:v>20</c:v>
                      </c:pt>
                      <c:pt idx="123">
                        <c:v>20</c:v>
                      </c:pt>
                      <c:pt idx="124">
                        <c:v>20</c:v>
                      </c:pt>
                      <c:pt idx="125">
                        <c:v>21</c:v>
                      </c:pt>
                      <c:pt idx="126">
                        <c:v>21</c:v>
                      </c:pt>
                      <c:pt idx="127">
                        <c:v>21</c:v>
                      </c:pt>
                      <c:pt idx="128">
                        <c:v>21</c:v>
                      </c:pt>
                      <c:pt idx="129">
                        <c:v>21</c:v>
                      </c:pt>
                      <c:pt idx="130">
                        <c:v>21</c:v>
                      </c:pt>
                      <c:pt idx="131">
                        <c:v>22</c:v>
                      </c:pt>
                      <c:pt idx="132">
                        <c:v>22</c:v>
                      </c:pt>
                      <c:pt idx="133">
                        <c:v>22</c:v>
                      </c:pt>
                      <c:pt idx="134">
                        <c:v>22</c:v>
                      </c:pt>
                      <c:pt idx="135">
                        <c:v>22</c:v>
                      </c:pt>
                      <c:pt idx="136">
                        <c:v>22</c:v>
                      </c:pt>
                      <c:pt idx="137">
                        <c:v>23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6C06-42C5-A221-636B0F662686}"/>
                  </c:ext>
                </c:extLst>
              </c15:ser>
            </c15:filteredLineSeries>
          </c:ext>
        </c:extLst>
      </c:lineChart>
      <c:catAx>
        <c:axId val="48300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483003760"/>
        <c:crosses val="autoZero"/>
        <c:auto val="1"/>
        <c:lblAlgn val="ctr"/>
        <c:lblOffset val="100"/>
        <c:noMultiLvlLbl val="0"/>
      </c:catAx>
      <c:valAx>
        <c:axId val="48300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48300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'logtemperature (17)'!$B$1</c:f>
              <c:strCache>
                <c:ptCount val="1"/>
                <c:pt idx="0">
                  <c:v>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'logtemperature (17)'!$A:$A</c:f>
              <c:strCache>
                <c:ptCount val="178"/>
                <c:pt idx="0">
                  <c:v>time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8</c:v>
                </c:pt>
                <c:pt idx="52">
                  <c:v>8</c:v>
                </c:pt>
                <c:pt idx="53">
                  <c:v>8</c:v>
                </c:pt>
                <c:pt idx="54">
                  <c:v>9</c:v>
                </c:pt>
                <c:pt idx="55">
                  <c:v>9</c:v>
                </c:pt>
                <c:pt idx="56">
                  <c:v>9</c:v>
                </c:pt>
                <c:pt idx="57">
                  <c:v>9</c:v>
                </c:pt>
                <c:pt idx="58">
                  <c:v>9</c:v>
                </c:pt>
                <c:pt idx="59">
                  <c:v>9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11</c:v>
                </c:pt>
                <c:pt idx="67">
                  <c:v>11</c:v>
                </c:pt>
                <c:pt idx="68">
                  <c:v>11</c:v>
                </c:pt>
                <c:pt idx="69">
                  <c:v>11</c:v>
                </c:pt>
                <c:pt idx="70">
                  <c:v>11</c:v>
                </c:pt>
                <c:pt idx="71">
                  <c:v>11</c:v>
                </c:pt>
                <c:pt idx="72">
                  <c:v>12</c:v>
                </c:pt>
                <c:pt idx="73">
                  <c:v>12</c:v>
                </c:pt>
                <c:pt idx="74">
                  <c:v>12</c:v>
                </c:pt>
                <c:pt idx="75">
                  <c:v>12</c:v>
                </c:pt>
                <c:pt idx="76">
                  <c:v>12</c:v>
                </c:pt>
                <c:pt idx="77">
                  <c:v>12</c:v>
                </c:pt>
                <c:pt idx="78">
                  <c:v>13</c:v>
                </c:pt>
                <c:pt idx="79">
                  <c:v>13</c:v>
                </c:pt>
                <c:pt idx="80">
                  <c:v>13</c:v>
                </c:pt>
                <c:pt idx="81">
                  <c:v>13</c:v>
                </c:pt>
                <c:pt idx="82">
                  <c:v>13</c:v>
                </c:pt>
                <c:pt idx="83">
                  <c:v>13</c:v>
                </c:pt>
                <c:pt idx="84">
                  <c:v>14</c:v>
                </c:pt>
                <c:pt idx="85">
                  <c:v>14</c:v>
                </c:pt>
                <c:pt idx="86">
                  <c:v>14</c:v>
                </c:pt>
                <c:pt idx="87">
                  <c:v>14</c:v>
                </c:pt>
                <c:pt idx="88">
                  <c:v>14</c:v>
                </c:pt>
                <c:pt idx="89">
                  <c:v>14</c:v>
                </c:pt>
                <c:pt idx="90">
                  <c:v>15</c:v>
                </c:pt>
                <c:pt idx="91">
                  <c:v>15</c:v>
                </c:pt>
                <c:pt idx="92">
                  <c:v>15</c:v>
                </c:pt>
                <c:pt idx="93">
                  <c:v>15</c:v>
                </c:pt>
                <c:pt idx="94">
                  <c:v>15</c:v>
                </c:pt>
                <c:pt idx="95">
                  <c:v>15</c:v>
                </c:pt>
                <c:pt idx="96">
                  <c:v>16</c:v>
                </c:pt>
                <c:pt idx="97">
                  <c:v>16</c:v>
                </c:pt>
                <c:pt idx="98">
                  <c:v>16</c:v>
                </c:pt>
                <c:pt idx="99">
                  <c:v>16</c:v>
                </c:pt>
                <c:pt idx="100">
                  <c:v>16</c:v>
                </c:pt>
                <c:pt idx="101">
                  <c:v>16</c:v>
                </c:pt>
                <c:pt idx="102">
                  <c:v>17</c:v>
                </c:pt>
                <c:pt idx="103">
                  <c:v>17</c:v>
                </c:pt>
                <c:pt idx="104">
                  <c:v>17</c:v>
                </c:pt>
                <c:pt idx="105">
                  <c:v>17</c:v>
                </c:pt>
                <c:pt idx="106">
                  <c:v>17</c:v>
                </c:pt>
                <c:pt idx="107">
                  <c:v>17</c:v>
                </c:pt>
                <c:pt idx="108">
                  <c:v>18</c:v>
                </c:pt>
                <c:pt idx="109">
                  <c:v>18</c:v>
                </c:pt>
                <c:pt idx="110">
                  <c:v>18</c:v>
                </c:pt>
                <c:pt idx="111">
                  <c:v>18</c:v>
                </c:pt>
                <c:pt idx="112">
                  <c:v>18</c:v>
                </c:pt>
                <c:pt idx="113">
                  <c:v>18</c:v>
                </c:pt>
                <c:pt idx="114">
                  <c:v>19</c:v>
                </c:pt>
                <c:pt idx="115">
                  <c:v>19</c:v>
                </c:pt>
                <c:pt idx="116">
                  <c:v>19</c:v>
                </c:pt>
                <c:pt idx="117">
                  <c:v>19</c:v>
                </c:pt>
                <c:pt idx="118">
                  <c:v>19</c:v>
                </c:pt>
                <c:pt idx="119">
                  <c:v>19</c:v>
                </c:pt>
                <c:pt idx="120">
                  <c:v>20</c:v>
                </c:pt>
                <c:pt idx="121">
                  <c:v>20</c:v>
                </c:pt>
                <c:pt idx="122">
                  <c:v>20</c:v>
                </c:pt>
                <c:pt idx="123">
                  <c:v>20</c:v>
                </c:pt>
                <c:pt idx="124">
                  <c:v>20</c:v>
                </c:pt>
                <c:pt idx="125">
                  <c:v>20</c:v>
                </c:pt>
                <c:pt idx="126">
                  <c:v>21</c:v>
                </c:pt>
                <c:pt idx="127">
                  <c:v>21</c:v>
                </c:pt>
                <c:pt idx="128">
                  <c:v>21</c:v>
                </c:pt>
                <c:pt idx="129">
                  <c:v>21</c:v>
                </c:pt>
                <c:pt idx="130">
                  <c:v>21</c:v>
                </c:pt>
                <c:pt idx="131">
                  <c:v>21</c:v>
                </c:pt>
                <c:pt idx="132">
                  <c:v>22</c:v>
                </c:pt>
                <c:pt idx="133">
                  <c:v>22</c:v>
                </c:pt>
                <c:pt idx="134">
                  <c:v>22</c:v>
                </c:pt>
                <c:pt idx="135">
                  <c:v>22</c:v>
                </c:pt>
                <c:pt idx="136">
                  <c:v>22</c:v>
                </c:pt>
                <c:pt idx="137">
                  <c:v>22</c:v>
                </c:pt>
                <c:pt idx="138">
                  <c:v>23</c:v>
                </c:pt>
                <c:pt idx="139">
                  <c:v>23</c:v>
                </c:pt>
                <c:pt idx="140">
                  <c:v>23</c:v>
                </c:pt>
                <c:pt idx="141">
                  <c:v>23</c:v>
                </c:pt>
                <c:pt idx="142">
                  <c:v>23</c:v>
                </c:pt>
                <c:pt idx="143">
                  <c:v>23</c:v>
                </c:pt>
                <c:pt idx="144">
                  <c:v>24</c:v>
                </c:pt>
                <c:pt idx="145">
                  <c:v>24</c:v>
                </c:pt>
                <c:pt idx="146">
                  <c:v>24</c:v>
                </c:pt>
                <c:pt idx="147">
                  <c:v>24</c:v>
                </c:pt>
                <c:pt idx="148">
                  <c:v>24</c:v>
                </c:pt>
                <c:pt idx="149">
                  <c:v>24</c:v>
                </c:pt>
                <c:pt idx="150">
                  <c:v>25</c:v>
                </c:pt>
                <c:pt idx="151">
                  <c:v>25</c:v>
                </c:pt>
                <c:pt idx="152">
                  <c:v>25</c:v>
                </c:pt>
                <c:pt idx="153">
                  <c:v>25</c:v>
                </c:pt>
                <c:pt idx="154">
                  <c:v>25</c:v>
                </c:pt>
                <c:pt idx="155">
                  <c:v>25</c:v>
                </c:pt>
                <c:pt idx="156">
                  <c:v>26</c:v>
                </c:pt>
                <c:pt idx="157">
                  <c:v>26</c:v>
                </c:pt>
                <c:pt idx="158">
                  <c:v>26</c:v>
                </c:pt>
                <c:pt idx="159">
                  <c:v>26</c:v>
                </c:pt>
                <c:pt idx="160">
                  <c:v>26</c:v>
                </c:pt>
                <c:pt idx="161">
                  <c:v>26</c:v>
                </c:pt>
                <c:pt idx="162">
                  <c:v>27</c:v>
                </c:pt>
                <c:pt idx="163">
                  <c:v>27</c:v>
                </c:pt>
                <c:pt idx="164">
                  <c:v>27</c:v>
                </c:pt>
                <c:pt idx="165">
                  <c:v>27</c:v>
                </c:pt>
                <c:pt idx="166">
                  <c:v>27</c:v>
                </c:pt>
                <c:pt idx="167">
                  <c:v>27</c:v>
                </c:pt>
                <c:pt idx="168">
                  <c:v>28</c:v>
                </c:pt>
                <c:pt idx="169">
                  <c:v>28</c:v>
                </c:pt>
                <c:pt idx="170">
                  <c:v>28</c:v>
                </c:pt>
                <c:pt idx="171">
                  <c:v>28</c:v>
                </c:pt>
                <c:pt idx="172">
                  <c:v>28</c:v>
                </c:pt>
                <c:pt idx="173">
                  <c:v>28</c:v>
                </c:pt>
                <c:pt idx="174">
                  <c:v>29</c:v>
                </c:pt>
                <c:pt idx="175">
                  <c:v>29</c:v>
                </c:pt>
                <c:pt idx="176">
                  <c:v>29</c:v>
                </c:pt>
                <c:pt idx="177">
                  <c:v>29</c:v>
                </c:pt>
              </c:strCache>
            </c:strRef>
          </c:cat>
          <c:val>
            <c:numRef>
              <c:f>'logtemperature (17)'!$B$2:$B$178</c:f>
              <c:numCache>
                <c:formatCode>General</c:formatCode>
                <c:ptCount val="177"/>
                <c:pt idx="0">
                  <c:v>23.7</c:v>
                </c:pt>
                <c:pt idx="1">
                  <c:v>23.7</c:v>
                </c:pt>
                <c:pt idx="2">
                  <c:v>24.1</c:v>
                </c:pt>
                <c:pt idx="3">
                  <c:v>27.5</c:v>
                </c:pt>
                <c:pt idx="4">
                  <c:v>32.1</c:v>
                </c:pt>
                <c:pt idx="5">
                  <c:v>36.299999999999997</c:v>
                </c:pt>
                <c:pt idx="6">
                  <c:v>39.5</c:v>
                </c:pt>
                <c:pt idx="7">
                  <c:v>41.7</c:v>
                </c:pt>
                <c:pt idx="8">
                  <c:v>43.5</c:v>
                </c:pt>
                <c:pt idx="9">
                  <c:v>45.2</c:v>
                </c:pt>
                <c:pt idx="10">
                  <c:v>46.6</c:v>
                </c:pt>
                <c:pt idx="11">
                  <c:v>47.8</c:v>
                </c:pt>
                <c:pt idx="12">
                  <c:v>48.8</c:v>
                </c:pt>
                <c:pt idx="13">
                  <c:v>49.7</c:v>
                </c:pt>
                <c:pt idx="14">
                  <c:v>50.7</c:v>
                </c:pt>
                <c:pt idx="15">
                  <c:v>51.6</c:v>
                </c:pt>
                <c:pt idx="16">
                  <c:v>52.4</c:v>
                </c:pt>
                <c:pt idx="17">
                  <c:v>53.1</c:v>
                </c:pt>
                <c:pt idx="18">
                  <c:v>53.7</c:v>
                </c:pt>
                <c:pt idx="19">
                  <c:v>54.4</c:v>
                </c:pt>
                <c:pt idx="20">
                  <c:v>55.2</c:v>
                </c:pt>
                <c:pt idx="21">
                  <c:v>55.7</c:v>
                </c:pt>
                <c:pt idx="22">
                  <c:v>56.4</c:v>
                </c:pt>
                <c:pt idx="23">
                  <c:v>57</c:v>
                </c:pt>
                <c:pt idx="24">
                  <c:v>57.6</c:v>
                </c:pt>
                <c:pt idx="25">
                  <c:v>58.2</c:v>
                </c:pt>
                <c:pt idx="26">
                  <c:v>58.9</c:v>
                </c:pt>
                <c:pt idx="27">
                  <c:v>59.2</c:v>
                </c:pt>
                <c:pt idx="28">
                  <c:v>59.9</c:v>
                </c:pt>
                <c:pt idx="29">
                  <c:v>60.4</c:v>
                </c:pt>
                <c:pt idx="30">
                  <c:v>61</c:v>
                </c:pt>
                <c:pt idx="31">
                  <c:v>61.3</c:v>
                </c:pt>
                <c:pt idx="32">
                  <c:v>61.7</c:v>
                </c:pt>
                <c:pt idx="33">
                  <c:v>62.3</c:v>
                </c:pt>
                <c:pt idx="34">
                  <c:v>62.7</c:v>
                </c:pt>
                <c:pt idx="35">
                  <c:v>63.2</c:v>
                </c:pt>
                <c:pt idx="36">
                  <c:v>63.8</c:v>
                </c:pt>
                <c:pt idx="37">
                  <c:v>64.2</c:v>
                </c:pt>
                <c:pt idx="38">
                  <c:v>64.8</c:v>
                </c:pt>
                <c:pt idx="39">
                  <c:v>65.2</c:v>
                </c:pt>
                <c:pt idx="40">
                  <c:v>65.8</c:v>
                </c:pt>
                <c:pt idx="41">
                  <c:v>66.099999999999994</c:v>
                </c:pt>
                <c:pt idx="42">
                  <c:v>66.2</c:v>
                </c:pt>
                <c:pt idx="43">
                  <c:v>66.599999999999994</c:v>
                </c:pt>
                <c:pt idx="44">
                  <c:v>67.2</c:v>
                </c:pt>
                <c:pt idx="45">
                  <c:v>67.7</c:v>
                </c:pt>
                <c:pt idx="46">
                  <c:v>68.099999999999994</c:v>
                </c:pt>
                <c:pt idx="47">
                  <c:v>68.599999999999994</c:v>
                </c:pt>
                <c:pt idx="48">
                  <c:v>68.7</c:v>
                </c:pt>
                <c:pt idx="49">
                  <c:v>69.2</c:v>
                </c:pt>
                <c:pt idx="50">
                  <c:v>69.599999999999994</c:v>
                </c:pt>
                <c:pt idx="51">
                  <c:v>70</c:v>
                </c:pt>
                <c:pt idx="52">
                  <c:v>70.400000000000006</c:v>
                </c:pt>
                <c:pt idx="53">
                  <c:v>70.7</c:v>
                </c:pt>
                <c:pt idx="54">
                  <c:v>71.2</c:v>
                </c:pt>
                <c:pt idx="55">
                  <c:v>71.599999999999994</c:v>
                </c:pt>
                <c:pt idx="56">
                  <c:v>71.8</c:v>
                </c:pt>
                <c:pt idx="57">
                  <c:v>72.3</c:v>
                </c:pt>
                <c:pt idx="58">
                  <c:v>72.599999999999994</c:v>
                </c:pt>
                <c:pt idx="59">
                  <c:v>73.3</c:v>
                </c:pt>
                <c:pt idx="60">
                  <c:v>73.5</c:v>
                </c:pt>
                <c:pt idx="61">
                  <c:v>73.8</c:v>
                </c:pt>
                <c:pt idx="62">
                  <c:v>74.400000000000006</c:v>
                </c:pt>
                <c:pt idx="63">
                  <c:v>74.7</c:v>
                </c:pt>
                <c:pt idx="64">
                  <c:v>74.900000000000006</c:v>
                </c:pt>
                <c:pt idx="65">
                  <c:v>75.099999999999994</c:v>
                </c:pt>
                <c:pt idx="66">
                  <c:v>75.2</c:v>
                </c:pt>
                <c:pt idx="67">
                  <c:v>75.5</c:v>
                </c:pt>
                <c:pt idx="68">
                  <c:v>76.2</c:v>
                </c:pt>
                <c:pt idx="69">
                  <c:v>76.5</c:v>
                </c:pt>
                <c:pt idx="70">
                  <c:v>76.8</c:v>
                </c:pt>
                <c:pt idx="71">
                  <c:v>77</c:v>
                </c:pt>
                <c:pt idx="72">
                  <c:v>77.3</c:v>
                </c:pt>
                <c:pt idx="73">
                  <c:v>77.599999999999994</c:v>
                </c:pt>
                <c:pt idx="74">
                  <c:v>77.900000000000006</c:v>
                </c:pt>
                <c:pt idx="75">
                  <c:v>78.099999999999994</c:v>
                </c:pt>
                <c:pt idx="76">
                  <c:v>78.599999999999994</c:v>
                </c:pt>
                <c:pt idx="77">
                  <c:v>79</c:v>
                </c:pt>
                <c:pt idx="78">
                  <c:v>79.099999999999994</c:v>
                </c:pt>
                <c:pt idx="79">
                  <c:v>79.5</c:v>
                </c:pt>
                <c:pt idx="80">
                  <c:v>79.599999999999994</c:v>
                </c:pt>
                <c:pt idx="81">
                  <c:v>80</c:v>
                </c:pt>
                <c:pt idx="82">
                  <c:v>80.3</c:v>
                </c:pt>
                <c:pt idx="83">
                  <c:v>80.5</c:v>
                </c:pt>
                <c:pt idx="84">
                  <c:v>80.8</c:v>
                </c:pt>
                <c:pt idx="85">
                  <c:v>81.2</c:v>
                </c:pt>
                <c:pt idx="86">
                  <c:v>81.599999999999994</c:v>
                </c:pt>
                <c:pt idx="87">
                  <c:v>81.599999999999994</c:v>
                </c:pt>
                <c:pt idx="88">
                  <c:v>81.900000000000006</c:v>
                </c:pt>
                <c:pt idx="89">
                  <c:v>82.1</c:v>
                </c:pt>
                <c:pt idx="90">
                  <c:v>82.4</c:v>
                </c:pt>
                <c:pt idx="91">
                  <c:v>82.5</c:v>
                </c:pt>
                <c:pt idx="92">
                  <c:v>83.3</c:v>
                </c:pt>
                <c:pt idx="93">
                  <c:v>83.6</c:v>
                </c:pt>
                <c:pt idx="94">
                  <c:v>83.8</c:v>
                </c:pt>
                <c:pt idx="95">
                  <c:v>83.9</c:v>
                </c:pt>
                <c:pt idx="96">
                  <c:v>83.8</c:v>
                </c:pt>
                <c:pt idx="97">
                  <c:v>84.1</c:v>
                </c:pt>
                <c:pt idx="98">
                  <c:v>84.4</c:v>
                </c:pt>
                <c:pt idx="99">
                  <c:v>85.1</c:v>
                </c:pt>
                <c:pt idx="100">
                  <c:v>85.3</c:v>
                </c:pt>
                <c:pt idx="101">
                  <c:v>85.4</c:v>
                </c:pt>
                <c:pt idx="102">
                  <c:v>85.7</c:v>
                </c:pt>
                <c:pt idx="103">
                  <c:v>86</c:v>
                </c:pt>
                <c:pt idx="104">
                  <c:v>86.1</c:v>
                </c:pt>
                <c:pt idx="105">
                  <c:v>86.7</c:v>
                </c:pt>
                <c:pt idx="106">
                  <c:v>86.5</c:v>
                </c:pt>
                <c:pt idx="107">
                  <c:v>86.4</c:v>
                </c:pt>
                <c:pt idx="108">
                  <c:v>86.8</c:v>
                </c:pt>
                <c:pt idx="109">
                  <c:v>87.3</c:v>
                </c:pt>
                <c:pt idx="110">
                  <c:v>87.9</c:v>
                </c:pt>
                <c:pt idx="111">
                  <c:v>87.8</c:v>
                </c:pt>
                <c:pt idx="112">
                  <c:v>87.9</c:v>
                </c:pt>
                <c:pt idx="113">
                  <c:v>88.2</c:v>
                </c:pt>
                <c:pt idx="114">
                  <c:v>88.5</c:v>
                </c:pt>
                <c:pt idx="115">
                  <c:v>88.9</c:v>
                </c:pt>
                <c:pt idx="116">
                  <c:v>88.9</c:v>
                </c:pt>
                <c:pt idx="117">
                  <c:v>89.1</c:v>
                </c:pt>
                <c:pt idx="118">
                  <c:v>89.5</c:v>
                </c:pt>
                <c:pt idx="119">
                  <c:v>89.6</c:v>
                </c:pt>
                <c:pt idx="120">
                  <c:v>90.1</c:v>
                </c:pt>
                <c:pt idx="121">
                  <c:v>90.2</c:v>
                </c:pt>
                <c:pt idx="122">
                  <c:v>90.7</c:v>
                </c:pt>
                <c:pt idx="123">
                  <c:v>90.6</c:v>
                </c:pt>
                <c:pt idx="124">
                  <c:v>90.9</c:v>
                </c:pt>
                <c:pt idx="125">
                  <c:v>90.9</c:v>
                </c:pt>
                <c:pt idx="126">
                  <c:v>91.1</c:v>
                </c:pt>
                <c:pt idx="127">
                  <c:v>91.6</c:v>
                </c:pt>
                <c:pt idx="128">
                  <c:v>91.9</c:v>
                </c:pt>
                <c:pt idx="129">
                  <c:v>91.9</c:v>
                </c:pt>
                <c:pt idx="130">
                  <c:v>92.3</c:v>
                </c:pt>
                <c:pt idx="131">
                  <c:v>92.3</c:v>
                </c:pt>
                <c:pt idx="132">
                  <c:v>92.4</c:v>
                </c:pt>
                <c:pt idx="133">
                  <c:v>92.8</c:v>
                </c:pt>
                <c:pt idx="134">
                  <c:v>93.2</c:v>
                </c:pt>
                <c:pt idx="135">
                  <c:v>93.2</c:v>
                </c:pt>
                <c:pt idx="136">
                  <c:v>93.4</c:v>
                </c:pt>
                <c:pt idx="137">
                  <c:v>93.6</c:v>
                </c:pt>
                <c:pt idx="138">
                  <c:v>93.8</c:v>
                </c:pt>
                <c:pt idx="139">
                  <c:v>93.9</c:v>
                </c:pt>
                <c:pt idx="140">
                  <c:v>94.2</c:v>
                </c:pt>
                <c:pt idx="141">
                  <c:v>94.7</c:v>
                </c:pt>
                <c:pt idx="142">
                  <c:v>95</c:v>
                </c:pt>
                <c:pt idx="143">
                  <c:v>94.9</c:v>
                </c:pt>
                <c:pt idx="144">
                  <c:v>94.9</c:v>
                </c:pt>
                <c:pt idx="145">
                  <c:v>95</c:v>
                </c:pt>
                <c:pt idx="146">
                  <c:v>95.4</c:v>
                </c:pt>
                <c:pt idx="147">
                  <c:v>95.7</c:v>
                </c:pt>
                <c:pt idx="148">
                  <c:v>95.6</c:v>
                </c:pt>
                <c:pt idx="149">
                  <c:v>96.1</c:v>
                </c:pt>
                <c:pt idx="150">
                  <c:v>96.2</c:v>
                </c:pt>
                <c:pt idx="151">
                  <c:v>96.5</c:v>
                </c:pt>
                <c:pt idx="152">
                  <c:v>96.6</c:v>
                </c:pt>
                <c:pt idx="153">
                  <c:v>96.7</c:v>
                </c:pt>
                <c:pt idx="154">
                  <c:v>96.9</c:v>
                </c:pt>
                <c:pt idx="155">
                  <c:v>97.1</c:v>
                </c:pt>
                <c:pt idx="156">
                  <c:v>97.3</c:v>
                </c:pt>
                <c:pt idx="157">
                  <c:v>97.2</c:v>
                </c:pt>
                <c:pt idx="158">
                  <c:v>97.5</c:v>
                </c:pt>
                <c:pt idx="159">
                  <c:v>97.6</c:v>
                </c:pt>
                <c:pt idx="160">
                  <c:v>97.9</c:v>
                </c:pt>
                <c:pt idx="161">
                  <c:v>98.2</c:v>
                </c:pt>
                <c:pt idx="162">
                  <c:v>98.5</c:v>
                </c:pt>
                <c:pt idx="163">
                  <c:v>98.7</c:v>
                </c:pt>
                <c:pt idx="164">
                  <c:v>98.6</c:v>
                </c:pt>
                <c:pt idx="165">
                  <c:v>99</c:v>
                </c:pt>
                <c:pt idx="166">
                  <c:v>99.4</c:v>
                </c:pt>
                <c:pt idx="167">
                  <c:v>99.1</c:v>
                </c:pt>
                <c:pt idx="168">
                  <c:v>99.3</c:v>
                </c:pt>
                <c:pt idx="169">
                  <c:v>99.7</c:v>
                </c:pt>
                <c:pt idx="170">
                  <c:v>99.8</c:v>
                </c:pt>
                <c:pt idx="171">
                  <c:v>100.1</c:v>
                </c:pt>
                <c:pt idx="172">
                  <c:v>99.8</c:v>
                </c:pt>
                <c:pt idx="173">
                  <c:v>99.3</c:v>
                </c:pt>
                <c:pt idx="174">
                  <c:v>98.9</c:v>
                </c:pt>
                <c:pt idx="175">
                  <c:v>98.9</c:v>
                </c:pt>
                <c:pt idx="176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80-45EB-A278-A8A35EB7CF24}"/>
            </c:ext>
          </c:extLst>
        </c:ser>
        <c:ser>
          <c:idx val="1"/>
          <c:order val="1"/>
          <c:tx>
            <c:strRef>
              <c:f>'logtemperature (17)'!$C$1</c:f>
              <c:strCache>
                <c:ptCount val="1"/>
                <c:pt idx="0">
                  <c:v>PWM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'logtemperature (17)'!$A:$A</c:f>
              <c:strCache>
                <c:ptCount val="178"/>
                <c:pt idx="0">
                  <c:v>time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8</c:v>
                </c:pt>
                <c:pt idx="52">
                  <c:v>8</c:v>
                </c:pt>
                <c:pt idx="53">
                  <c:v>8</c:v>
                </c:pt>
                <c:pt idx="54">
                  <c:v>9</c:v>
                </c:pt>
                <c:pt idx="55">
                  <c:v>9</c:v>
                </c:pt>
                <c:pt idx="56">
                  <c:v>9</c:v>
                </c:pt>
                <c:pt idx="57">
                  <c:v>9</c:v>
                </c:pt>
                <c:pt idx="58">
                  <c:v>9</c:v>
                </c:pt>
                <c:pt idx="59">
                  <c:v>9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11</c:v>
                </c:pt>
                <c:pt idx="67">
                  <c:v>11</c:v>
                </c:pt>
                <c:pt idx="68">
                  <c:v>11</c:v>
                </c:pt>
                <c:pt idx="69">
                  <c:v>11</c:v>
                </c:pt>
                <c:pt idx="70">
                  <c:v>11</c:v>
                </c:pt>
                <c:pt idx="71">
                  <c:v>11</c:v>
                </c:pt>
                <c:pt idx="72">
                  <c:v>12</c:v>
                </c:pt>
                <c:pt idx="73">
                  <c:v>12</c:v>
                </c:pt>
                <c:pt idx="74">
                  <c:v>12</c:v>
                </c:pt>
                <c:pt idx="75">
                  <c:v>12</c:v>
                </c:pt>
                <c:pt idx="76">
                  <c:v>12</c:v>
                </c:pt>
                <c:pt idx="77">
                  <c:v>12</c:v>
                </c:pt>
                <c:pt idx="78">
                  <c:v>13</c:v>
                </c:pt>
                <c:pt idx="79">
                  <c:v>13</c:v>
                </c:pt>
                <c:pt idx="80">
                  <c:v>13</c:v>
                </c:pt>
                <c:pt idx="81">
                  <c:v>13</c:v>
                </c:pt>
                <c:pt idx="82">
                  <c:v>13</c:v>
                </c:pt>
                <c:pt idx="83">
                  <c:v>13</c:v>
                </c:pt>
                <c:pt idx="84">
                  <c:v>14</c:v>
                </c:pt>
                <c:pt idx="85">
                  <c:v>14</c:v>
                </c:pt>
                <c:pt idx="86">
                  <c:v>14</c:v>
                </c:pt>
                <c:pt idx="87">
                  <c:v>14</c:v>
                </c:pt>
                <c:pt idx="88">
                  <c:v>14</c:v>
                </c:pt>
                <c:pt idx="89">
                  <c:v>14</c:v>
                </c:pt>
                <c:pt idx="90">
                  <c:v>15</c:v>
                </c:pt>
                <c:pt idx="91">
                  <c:v>15</c:v>
                </c:pt>
                <c:pt idx="92">
                  <c:v>15</c:v>
                </c:pt>
                <c:pt idx="93">
                  <c:v>15</c:v>
                </c:pt>
                <c:pt idx="94">
                  <c:v>15</c:v>
                </c:pt>
                <c:pt idx="95">
                  <c:v>15</c:v>
                </c:pt>
                <c:pt idx="96">
                  <c:v>16</c:v>
                </c:pt>
                <c:pt idx="97">
                  <c:v>16</c:v>
                </c:pt>
                <c:pt idx="98">
                  <c:v>16</c:v>
                </c:pt>
                <c:pt idx="99">
                  <c:v>16</c:v>
                </c:pt>
                <c:pt idx="100">
                  <c:v>16</c:v>
                </c:pt>
                <c:pt idx="101">
                  <c:v>16</c:v>
                </c:pt>
                <c:pt idx="102">
                  <c:v>17</c:v>
                </c:pt>
                <c:pt idx="103">
                  <c:v>17</c:v>
                </c:pt>
                <c:pt idx="104">
                  <c:v>17</c:v>
                </c:pt>
                <c:pt idx="105">
                  <c:v>17</c:v>
                </c:pt>
                <c:pt idx="106">
                  <c:v>17</c:v>
                </c:pt>
                <c:pt idx="107">
                  <c:v>17</c:v>
                </c:pt>
                <c:pt idx="108">
                  <c:v>18</c:v>
                </c:pt>
                <c:pt idx="109">
                  <c:v>18</c:v>
                </c:pt>
                <c:pt idx="110">
                  <c:v>18</c:v>
                </c:pt>
                <c:pt idx="111">
                  <c:v>18</c:v>
                </c:pt>
                <c:pt idx="112">
                  <c:v>18</c:v>
                </c:pt>
                <c:pt idx="113">
                  <c:v>18</c:v>
                </c:pt>
                <c:pt idx="114">
                  <c:v>19</c:v>
                </c:pt>
                <c:pt idx="115">
                  <c:v>19</c:v>
                </c:pt>
                <c:pt idx="116">
                  <c:v>19</c:v>
                </c:pt>
                <c:pt idx="117">
                  <c:v>19</c:v>
                </c:pt>
                <c:pt idx="118">
                  <c:v>19</c:v>
                </c:pt>
                <c:pt idx="119">
                  <c:v>19</c:v>
                </c:pt>
                <c:pt idx="120">
                  <c:v>20</c:v>
                </c:pt>
                <c:pt idx="121">
                  <c:v>20</c:v>
                </c:pt>
                <c:pt idx="122">
                  <c:v>20</c:v>
                </c:pt>
                <c:pt idx="123">
                  <c:v>20</c:v>
                </c:pt>
                <c:pt idx="124">
                  <c:v>20</c:v>
                </c:pt>
                <c:pt idx="125">
                  <c:v>20</c:v>
                </c:pt>
                <c:pt idx="126">
                  <c:v>21</c:v>
                </c:pt>
                <c:pt idx="127">
                  <c:v>21</c:v>
                </c:pt>
                <c:pt idx="128">
                  <c:v>21</c:v>
                </c:pt>
                <c:pt idx="129">
                  <c:v>21</c:v>
                </c:pt>
                <c:pt idx="130">
                  <c:v>21</c:v>
                </c:pt>
                <c:pt idx="131">
                  <c:v>21</c:v>
                </c:pt>
                <c:pt idx="132">
                  <c:v>22</c:v>
                </c:pt>
                <c:pt idx="133">
                  <c:v>22</c:v>
                </c:pt>
                <c:pt idx="134">
                  <c:v>22</c:v>
                </c:pt>
                <c:pt idx="135">
                  <c:v>22</c:v>
                </c:pt>
                <c:pt idx="136">
                  <c:v>22</c:v>
                </c:pt>
                <c:pt idx="137">
                  <c:v>22</c:v>
                </c:pt>
                <c:pt idx="138">
                  <c:v>23</c:v>
                </c:pt>
                <c:pt idx="139">
                  <c:v>23</c:v>
                </c:pt>
                <c:pt idx="140">
                  <c:v>23</c:v>
                </c:pt>
                <c:pt idx="141">
                  <c:v>23</c:v>
                </c:pt>
                <c:pt idx="142">
                  <c:v>23</c:v>
                </c:pt>
                <c:pt idx="143">
                  <c:v>23</c:v>
                </c:pt>
                <c:pt idx="144">
                  <c:v>24</c:v>
                </c:pt>
                <c:pt idx="145">
                  <c:v>24</c:v>
                </c:pt>
                <c:pt idx="146">
                  <c:v>24</c:v>
                </c:pt>
                <c:pt idx="147">
                  <c:v>24</c:v>
                </c:pt>
                <c:pt idx="148">
                  <c:v>24</c:v>
                </c:pt>
                <c:pt idx="149">
                  <c:v>24</c:v>
                </c:pt>
                <c:pt idx="150">
                  <c:v>25</c:v>
                </c:pt>
                <c:pt idx="151">
                  <c:v>25</c:v>
                </c:pt>
                <c:pt idx="152">
                  <c:v>25</c:v>
                </c:pt>
                <c:pt idx="153">
                  <c:v>25</c:v>
                </c:pt>
                <c:pt idx="154">
                  <c:v>25</c:v>
                </c:pt>
                <c:pt idx="155">
                  <c:v>25</c:v>
                </c:pt>
                <c:pt idx="156">
                  <c:v>26</c:v>
                </c:pt>
                <c:pt idx="157">
                  <c:v>26</c:v>
                </c:pt>
                <c:pt idx="158">
                  <c:v>26</c:v>
                </c:pt>
                <c:pt idx="159">
                  <c:v>26</c:v>
                </c:pt>
                <c:pt idx="160">
                  <c:v>26</c:v>
                </c:pt>
                <c:pt idx="161">
                  <c:v>26</c:v>
                </c:pt>
                <c:pt idx="162">
                  <c:v>27</c:v>
                </c:pt>
                <c:pt idx="163">
                  <c:v>27</c:v>
                </c:pt>
                <c:pt idx="164">
                  <c:v>27</c:v>
                </c:pt>
                <c:pt idx="165">
                  <c:v>27</c:v>
                </c:pt>
                <c:pt idx="166">
                  <c:v>27</c:v>
                </c:pt>
                <c:pt idx="167">
                  <c:v>27</c:v>
                </c:pt>
                <c:pt idx="168">
                  <c:v>28</c:v>
                </c:pt>
                <c:pt idx="169">
                  <c:v>28</c:v>
                </c:pt>
                <c:pt idx="170">
                  <c:v>28</c:v>
                </c:pt>
                <c:pt idx="171">
                  <c:v>28</c:v>
                </c:pt>
                <c:pt idx="172">
                  <c:v>28</c:v>
                </c:pt>
                <c:pt idx="173">
                  <c:v>28</c:v>
                </c:pt>
                <c:pt idx="174">
                  <c:v>29</c:v>
                </c:pt>
                <c:pt idx="175">
                  <c:v>29</c:v>
                </c:pt>
                <c:pt idx="176">
                  <c:v>29</c:v>
                </c:pt>
                <c:pt idx="177">
                  <c:v>29</c:v>
                </c:pt>
              </c:strCache>
            </c:strRef>
          </c:cat>
          <c:val>
            <c:numRef>
              <c:f>'logtemperature (17)'!$C$2:$C$178</c:f>
              <c:numCache>
                <c:formatCode>General</c:formatCode>
                <c:ptCount val="177"/>
                <c:pt idx="0">
                  <c:v>0</c:v>
                </c:pt>
                <c:pt idx="1">
                  <c:v>0</c:v>
                </c:pt>
                <c:pt idx="2">
                  <c:v>87.1</c:v>
                </c:pt>
                <c:pt idx="3">
                  <c:v>98.4</c:v>
                </c:pt>
                <c:pt idx="4">
                  <c:v>99.7</c:v>
                </c:pt>
                <c:pt idx="5">
                  <c:v>99.9</c:v>
                </c:pt>
                <c:pt idx="6">
                  <c:v>99.9</c:v>
                </c:pt>
                <c:pt idx="7">
                  <c:v>99.9</c:v>
                </c:pt>
                <c:pt idx="8">
                  <c:v>99.9</c:v>
                </c:pt>
                <c:pt idx="9">
                  <c:v>99.9</c:v>
                </c:pt>
                <c:pt idx="10">
                  <c:v>99.9</c:v>
                </c:pt>
                <c:pt idx="11">
                  <c:v>99.9</c:v>
                </c:pt>
                <c:pt idx="12">
                  <c:v>99.9</c:v>
                </c:pt>
                <c:pt idx="13">
                  <c:v>99.9</c:v>
                </c:pt>
                <c:pt idx="14">
                  <c:v>99.9</c:v>
                </c:pt>
                <c:pt idx="15">
                  <c:v>99.9</c:v>
                </c:pt>
                <c:pt idx="16">
                  <c:v>99.9</c:v>
                </c:pt>
                <c:pt idx="17">
                  <c:v>99.9</c:v>
                </c:pt>
                <c:pt idx="18">
                  <c:v>99.9</c:v>
                </c:pt>
                <c:pt idx="19">
                  <c:v>99.9</c:v>
                </c:pt>
                <c:pt idx="20">
                  <c:v>99.9</c:v>
                </c:pt>
                <c:pt idx="21">
                  <c:v>99.9</c:v>
                </c:pt>
                <c:pt idx="22">
                  <c:v>99.9</c:v>
                </c:pt>
                <c:pt idx="23">
                  <c:v>99.9</c:v>
                </c:pt>
                <c:pt idx="24">
                  <c:v>99.9</c:v>
                </c:pt>
                <c:pt idx="25">
                  <c:v>99.9</c:v>
                </c:pt>
                <c:pt idx="26">
                  <c:v>99.9</c:v>
                </c:pt>
                <c:pt idx="27">
                  <c:v>99.9</c:v>
                </c:pt>
                <c:pt idx="28">
                  <c:v>99.9</c:v>
                </c:pt>
                <c:pt idx="29">
                  <c:v>99.9</c:v>
                </c:pt>
                <c:pt idx="30">
                  <c:v>99.9</c:v>
                </c:pt>
                <c:pt idx="31">
                  <c:v>99.9</c:v>
                </c:pt>
                <c:pt idx="32">
                  <c:v>99.9</c:v>
                </c:pt>
                <c:pt idx="33">
                  <c:v>99.9</c:v>
                </c:pt>
                <c:pt idx="34">
                  <c:v>99.9</c:v>
                </c:pt>
                <c:pt idx="35">
                  <c:v>99.9</c:v>
                </c:pt>
                <c:pt idx="36">
                  <c:v>99.9</c:v>
                </c:pt>
                <c:pt idx="37">
                  <c:v>99.9</c:v>
                </c:pt>
                <c:pt idx="38">
                  <c:v>99.9</c:v>
                </c:pt>
                <c:pt idx="39">
                  <c:v>99.9</c:v>
                </c:pt>
                <c:pt idx="40">
                  <c:v>99.9</c:v>
                </c:pt>
                <c:pt idx="41">
                  <c:v>99.9</c:v>
                </c:pt>
                <c:pt idx="42">
                  <c:v>99.9</c:v>
                </c:pt>
                <c:pt idx="43">
                  <c:v>99.9</c:v>
                </c:pt>
                <c:pt idx="44">
                  <c:v>99.9</c:v>
                </c:pt>
                <c:pt idx="45">
                  <c:v>99.9</c:v>
                </c:pt>
                <c:pt idx="46">
                  <c:v>99.9</c:v>
                </c:pt>
                <c:pt idx="47">
                  <c:v>99.9</c:v>
                </c:pt>
                <c:pt idx="48">
                  <c:v>99.9</c:v>
                </c:pt>
                <c:pt idx="49">
                  <c:v>99.9</c:v>
                </c:pt>
                <c:pt idx="50">
                  <c:v>99.9</c:v>
                </c:pt>
                <c:pt idx="51">
                  <c:v>99.9</c:v>
                </c:pt>
                <c:pt idx="52">
                  <c:v>99.9</c:v>
                </c:pt>
                <c:pt idx="53">
                  <c:v>99.9</c:v>
                </c:pt>
                <c:pt idx="54">
                  <c:v>99.9</c:v>
                </c:pt>
                <c:pt idx="55">
                  <c:v>99.9</c:v>
                </c:pt>
                <c:pt idx="56">
                  <c:v>99.9</c:v>
                </c:pt>
                <c:pt idx="57">
                  <c:v>99.9</c:v>
                </c:pt>
                <c:pt idx="58">
                  <c:v>99.9</c:v>
                </c:pt>
                <c:pt idx="59">
                  <c:v>99.9</c:v>
                </c:pt>
                <c:pt idx="60">
                  <c:v>99.9</c:v>
                </c:pt>
                <c:pt idx="61">
                  <c:v>99.9</c:v>
                </c:pt>
                <c:pt idx="62">
                  <c:v>99.9</c:v>
                </c:pt>
                <c:pt idx="63">
                  <c:v>99.9</c:v>
                </c:pt>
                <c:pt idx="64">
                  <c:v>99.9</c:v>
                </c:pt>
                <c:pt idx="65">
                  <c:v>99.9</c:v>
                </c:pt>
                <c:pt idx="66">
                  <c:v>99.9</c:v>
                </c:pt>
                <c:pt idx="67">
                  <c:v>99.9</c:v>
                </c:pt>
                <c:pt idx="68">
                  <c:v>99.9</c:v>
                </c:pt>
                <c:pt idx="69">
                  <c:v>99.9</c:v>
                </c:pt>
                <c:pt idx="70">
                  <c:v>99.9</c:v>
                </c:pt>
                <c:pt idx="71">
                  <c:v>99.9</c:v>
                </c:pt>
                <c:pt idx="72">
                  <c:v>99.9</c:v>
                </c:pt>
                <c:pt idx="73">
                  <c:v>99.9</c:v>
                </c:pt>
                <c:pt idx="74">
                  <c:v>99.9</c:v>
                </c:pt>
                <c:pt idx="75">
                  <c:v>99.9</c:v>
                </c:pt>
                <c:pt idx="76">
                  <c:v>99.9</c:v>
                </c:pt>
                <c:pt idx="77">
                  <c:v>99.9</c:v>
                </c:pt>
                <c:pt idx="78">
                  <c:v>99.9</c:v>
                </c:pt>
                <c:pt idx="79">
                  <c:v>99.9</c:v>
                </c:pt>
                <c:pt idx="80">
                  <c:v>99.9</c:v>
                </c:pt>
                <c:pt idx="81">
                  <c:v>99.9</c:v>
                </c:pt>
                <c:pt idx="82">
                  <c:v>99.9</c:v>
                </c:pt>
                <c:pt idx="83">
                  <c:v>99.9</c:v>
                </c:pt>
                <c:pt idx="84">
                  <c:v>99.9</c:v>
                </c:pt>
                <c:pt idx="85">
                  <c:v>99.9</c:v>
                </c:pt>
                <c:pt idx="86">
                  <c:v>99.9</c:v>
                </c:pt>
                <c:pt idx="87">
                  <c:v>99.9</c:v>
                </c:pt>
                <c:pt idx="88">
                  <c:v>99.9</c:v>
                </c:pt>
                <c:pt idx="89">
                  <c:v>99.9</c:v>
                </c:pt>
                <c:pt idx="90">
                  <c:v>99.9</c:v>
                </c:pt>
                <c:pt idx="91">
                  <c:v>99.9</c:v>
                </c:pt>
                <c:pt idx="92">
                  <c:v>99.9</c:v>
                </c:pt>
                <c:pt idx="93">
                  <c:v>99.9</c:v>
                </c:pt>
                <c:pt idx="94">
                  <c:v>99.9</c:v>
                </c:pt>
                <c:pt idx="95">
                  <c:v>99.9</c:v>
                </c:pt>
                <c:pt idx="96">
                  <c:v>99.9</c:v>
                </c:pt>
                <c:pt idx="97">
                  <c:v>99.9</c:v>
                </c:pt>
                <c:pt idx="98">
                  <c:v>99.9</c:v>
                </c:pt>
                <c:pt idx="99">
                  <c:v>99.9</c:v>
                </c:pt>
                <c:pt idx="100">
                  <c:v>99.9</c:v>
                </c:pt>
                <c:pt idx="101">
                  <c:v>99.9</c:v>
                </c:pt>
                <c:pt idx="102">
                  <c:v>99.9</c:v>
                </c:pt>
                <c:pt idx="103">
                  <c:v>99.9</c:v>
                </c:pt>
                <c:pt idx="104">
                  <c:v>99.9</c:v>
                </c:pt>
                <c:pt idx="105">
                  <c:v>99.9</c:v>
                </c:pt>
                <c:pt idx="106">
                  <c:v>99.9</c:v>
                </c:pt>
                <c:pt idx="107">
                  <c:v>99.9</c:v>
                </c:pt>
                <c:pt idx="108">
                  <c:v>99.9</c:v>
                </c:pt>
                <c:pt idx="109">
                  <c:v>99.9</c:v>
                </c:pt>
                <c:pt idx="110">
                  <c:v>99.9</c:v>
                </c:pt>
                <c:pt idx="111">
                  <c:v>99.9</c:v>
                </c:pt>
                <c:pt idx="112">
                  <c:v>99.9</c:v>
                </c:pt>
                <c:pt idx="113">
                  <c:v>99.9</c:v>
                </c:pt>
                <c:pt idx="114">
                  <c:v>99.9</c:v>
                </c:pt>
                <c:pt idx="115">
                  <c:v>99.9</c:v>
                </c:pt>
                <c:pt idx="116">
                  <c:v>99.9</c:v>
                </c:pt>
                <c:pt idx="117">
                  <c:v>99.9</c:v>
                </c:pt>
                <c:pt idx="118">
                  <c:v>99.9</c:v>
                </c:pt>
                <c:pt idx="119">
                  <c:v>99.9</c:v>
                </c:pt>
                <c:pt idx="120">
                  <c:v>99.9</c:v>
                </c:pt>
                <c:pt idx="121">
                  <c:v>99.9</c:v>
                </c:pt>
                <c:pt idx="122">
                  <c:v>99.9</c:v>
                </c:pt>
                <c:pt idx="123">
                  <c:v>99.9</c:v>
                </c:pt>
                <c:pt idx="124">
                  <c:v>99.9</c:v>
                </c:pt>
                <c:pt idx="125">
                  <c:v>99.9</c:v>
                </c:pt>
                <c:pt idx="126">
                  <c:v>99.9</c:v>
                </c:pt>
                <c:pt idx="127">
                  <c:v>99.9</c:v>
                </c:pt>
                <c:pt idx="128">
                  <c:v>99.9</c:v>
                </c:pt>
                <c:pt idx="129">
                  <c:v>99.9</c:v>
                </c:pt>
                <c:pt idx="130">
                  <c:v>99.9</c:v>
                </c:pt>
                <c:pt idx="131">
                  <c:v>99.9</c:v>
                </c:pt>
                <c:pt idx="132">
                  <c:v>99.9</c:v>
                </c:pt>
                <c:pt idx="133">
                  <c:v>99.9</c:v>
                </c:pt>
                <c:pt idx="134">
                  <c:v>99.9</c:v>
                </c:pt>
                <c:pt idx="135">
                  <c:v>99.9</c:v>
                </c:pt>
                <c:pt idx="136">
                  <c:v>99.9</c:v>
                </c:pt>
                <c:pt idx="137">
                  <c:v>99.9</c:v>
                </c:pt>
                <c:pt idx="138">
                  <c:v>99.9</c:v>
                </c:pt>
                <c:pt idx="139">
                  <c:v>99.9</c:v>
                </c:pt>
                <c:pt idx="140">
                  <c:v>99.9</c:v>
                </c:pt>
                <c:pt idx="141">
                  <c:v>99.9</c:v>
                </c:pt>
                <c:pt idx="142">
                  <c:v>99.9</c:v>
                </c:pt>
                <c:pt idx="143">
                  <c:v>99.9</c:v>
                </c:pt>
                <c:pt idx="144">
                  <c:v>99.9</c:v>
                </c:pt>
                <c:pt idx="145">
                  <c:v>99.9</c:v>
                </c:pt>
                <c:pt idx="146">
                  <c:v>99.9</c:v>
                </c:pt>
                <c:pt idx="147">
                  <c:v>99.9</c:v>
                </c:pt>
                <c:pt idx="148">
                  <c:v>99.9</c:v>
                </c:pt>
                <c:pt idx="149">
                  <c:v>99.9</c:v>
                </c:pt>
                <c:pt idx="150">
                  <c:v>99.9</c:v>
                </c:pt>
                <c:pt idx="151">
                  <c:v>99.9</c:v>
                </c:pt>
                <c:pt idx="152">
                  <c:v>99.9</c:v>
                </c:pt>
                <c:pt idx="153">
                  <c:v>99.9</c:v>
                </c:pt>
                <c:pt idx="154">
                  <c:v>99.9</c:v>
                </c:pt>
                <c:pt idx="155">
                  <c:v>99.9</c:v>
                </c:pt>
                <c:pt idx="156">
                  <c:v>99.9</c:v>
                </c:pt>
                <c:pt idx="157">
                  <c:v>99.9</c:v>
                </c:pt>
                <c:pt idx="158">
                  <c:v>99.9</c:v>
                </c:pt>
                <c:pt idx="159">
                  <c:v>99.9</c:v>
                </c:pt>
                <c:pt idx="160">
                  <c:v>99.9</c:v>
                </c:pt>
                <c:pt idx="161">
                  <c:v>99.9</c:v>
                </c:pt>
                <c:pt idx="162">
                  <c:v>99.9</c:v>
                </c:pt>
                <c:pt idx="163">
                  <c:v>99.9</c:v>
                </c:pt>
                <c:pt idx="164">
                  <c:v>99.9</c:v>
                </c:pt>
                <c:pt idx="165">
                  <c:v>99.9</c:v>
                </c:pt>
                <c:pt idx="166">
                  <c:v>99.9</c:v>
                </c:pt>
                <c:pt idx="167">
                  <c:v>99.9</c:v>
                </c:pt>
                <c:pt idx="168">
                  <c:v>99.9</c:v>
                </c:pt>
                <c:pt idx="169">
                  <c:v>99.9</c:v>
                </c:pt>
                <c:pt idx="170">
                  <c:v>99.9</c:v>
                </c:pt>
                <c:pt idx="171">
                  <c:v>99.9</c:v>
                </c:pt>
                <c:pt idx="172">
                  <c:v>49.9</c:v>
                </c:pt>
                <c:pt idx="173">
                  <c:v>28.5</c:v>
                </c:pt>
                <c:pt idx="174">
                  <c:v>55.9</c:v>
                </c:pt>
                <c:pt idx="175">
                  <c:v>48.4</c:v>
                </c:pt>
                <c:pt idx="176">
                  <c:v>50.5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80-45EB-A278-A8A35EB7C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6848687"/>
        <c:axId val="336847727"/>
      </c:lineChart>
      <c:catAx>
        <c:axId val="33684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36847727"/>
        <c:crosses val="autoZero"/>
        <c:auto val="1"/>
        <c:lblAlgn val="ctr"/>
        <c:lblOffset val="100"/>
        <c:noMultiLvlLbl val="0"/>
      </c:catAx>
      <c:valAx>
        <c:axId val="33684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36848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'0720-bb'!$B$1</c:f>
              <c:strCache>
                <c:ptCount val="1"/>
                <c:pt idx="0">
                  <c:v>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'0720-bb'!$A:$A</c:f>
              <c:strCache>
                <c:ptCount val="153"/>
                <c:pt idx="0">
                  <c:v>time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6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8</c:v>
                </c:pt>
                <c:pt idx="52">
                  <c:v>8</c:v>
                </c:pt>
                <c:pt idx="53">
                  <c:v>8</c:v>
                </c:pt>
                <c:pt idx="54">
                  <c:v>9</c:v>
                </c:pt>
                <c:pt idx="55">
                  <c:v>9</c:v>
                </c:pt>
                <c:pt idx="56">
                  <c:v>9</c:v>
                </c:pt>
                <c:pt idx="57">
                  <c:v>9</c:v>
                </c:pt>
                <c:pt idx="58">
                  <c:v>9</c:v>
                </c:pt>
                <c:pt idx="59">
                  <c:v>9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11</c:v>
                </c:pt>
                <c:pt idx="67">
                  <c:v>11</c:v>
                </c:pt>
                <c:pt idx="68">
                  <c:v>11</c:v>
                </c:pt>
                <c:pt idx="69">
                  <c:v>11</c:v>
                </c:pt>
                <c:pt idx="70">
                  <c:v>11</c:v>
                </c:pt>
                <c:pt idx="71">
                  <c:v>11</c:v>
                </c:pt>
                <c:pt idx="72">
                  <c:v>12</c:v>
                </c:pt>
                <c:pt idx="73">
                  <c:v>12</c:v>
                </c:pt>
                <c:pt idx="74">
                  <c:v>12</c:v>
                </c:pt>
                <c:pt idx="75">
                  <c:v>12</c:v>
                </c:pt>
                <c:pt idx="76">
                  <c:v>12</c:v>
                </c:pt>
                <c:pt idx="77">
                  <c:v>12</c:v>
                </c:pt>
                <c:pt idx="78">
                  <c:v>13</c:v>
                </c:pt>
                <c:pt idx="79">
                  <c:v>13</c:v>
                </c:pt>
                <c:pt idx="80">
                  <c:v>13</c:v>
                </c:pt>
                <c:pt idx="81">
                  <c:v>13</c:v>
                </c:pt>
                <c:pt idx="82">
                  <c:v>13</c:v>
                </c:pt>
                <c:pt idx="83">
                  <c:v>13</c:v>
                </c:pt>
                <c:pt idx="84">
                  <c:v>14</c:v>
                </c:pt>
                <c:pt idx="85">
                  <c:v>14</c:v>
                </c:pt>
                <c:pt idx="86">
                  <c:v>14</c:v>
                </c:pt>
                <c:pt idx="87">
                  <c:v>14</c:v>
                </c:pt>
                <c:pt idx="88">
                  <c:v>14</c:v>
                </c:pt>
                <c:pt idx="89">
                  <c:v>14</c:v>
                </c:pt>
                <c:pt idx="90">
                  <c:v>15</c:v>
                </c:pt>
                <c:pt idx="91">
                  <c:v>15</c:v>
                </c:pt>
                <c:pt idx="92">
                  <c:v>15</c:v>
                </c:pt>
                <c:pt idx="93">
                  <c:v>15</c:v>
                </c:pt>
                <c:pt idx="94">
                  <c:v>15</c:v>
                </c:pt>
                <c:pt idx="95">
                  <c:v>15</c:v>
                </c:pt>
                <c:pt idx="96">
                  <c:v>16</c:v>
                </c:pt>
                <c:pt idx="97">
                  <c:v>16</c:v>
                </c:pt>
                <c:pt idx="98">
                  <c:v>16</c:v>
                </c:pt>
                <c:pt idx="99">
                  <c:v>16</c:v>
                </c:pt>
                <c:pt idx="100">
                  <c:v>16</c:v>
                </c:pt>
                <c:pt idx="101">
                  <c:v>16</c:v>
                </c:pt>
                <c:pt idx="102">
                  <c:v>17</c:v>
                </c:pt>
                <c:pt idx="103">
                  <c:v>17</c:v>
                </c:pt>
                <c:pt idx="104">
                  <c:v>17</c:v>
                </c:pt>
                <c:pt idx="105">
                  <c:v>17</c:v>
                </c:pt>
                <c:pt idx="106">
                  <c:v>17</c:v>
                </c:pt>
                <c:pt idx="107">
                  <c:v>17</c:v>
                </c:pt>
                <c:pt idx="108">
                  <c:v>18</c:v>
                </c:pt>
                <c:pt idx="109">
                  <c:v>18</c:v>
                </c:pt>
                <c:pt idx="110">
                  <c:v>18</c:v>
                </c:pt>
                <c:pt idx="111">
                  <c:v>18</c:v>
                </c:pt>
                <c:pt idx="112">
                  <c:v>18</c:v>
                </c:pt>
                <c:pt idx="113">
                  <c:v>18</c:v>
                </c:pt>
                <c:pt idx="114">
                  <c:v>19</c:v>
                </c:pt>
                <c:pt idx="115">
                  <c:v>19</c:v>
                </c:pt>
                <c:pt idx="116">
                  <c:v>19</c:v>
                </c:pt>
                <c:pt idx="117">
                  <c:v>19</c:v>
                </c:pt>
                <c:pt idx="118">
                  <c:v>19</c:v>
                </c:pt>
                <c:pt idx="119">
                  <c:v>19</c:v>
                </c:pt>
                <c:pt idx="120">
                  <c:v>20</c:v>
                </c:pt>
                <c:pt idx="121">
                  <c:v>20</c:v>
                </c:pt>
                <c:pt idx="122">
                  <c:v>20</c:v>
                </c:pt>
                <c:pt idx="123">
                  <c:v>20</c:v>
                </c:pt>
                <c:pt idx="124">
                  <c:v>20</c:v>
                </c:pt>
                <c:pt idx="125">
                  <c:v>20</c:v>
                </c:pt>
                <c:pt idx="126">
                  <c:v>21</c:v>
                </c:pt>
                <c:pt idx="127">
                  <c:v>21</c:v>
                </c:pt>
                <c:pt idx="128">
                  <c:v>21</c:v>
                </c:pt>
                <c:pt idx="129">
                  <c:v>21</c:v>
                </c:pt>
                <c:pt idx="130">
                  <c:v>21</c:v>
                </c:pt>
                <c:pt idx="131">
                  <c:v>21</c:v>
                </c:pt>
                <c:pt idx="132">
                  <c:v>22</c:v>
                </c:pt>
                <c:pt idx="133">
                  <c:v>22</c:v>
                </c:pt>
                <c:pt idx="134">
                  <c:v>22</c:v>
                </c:pt>
                <c:pt idx="135">
                  <c:v>22</c:v>
                </c:pt>
                <c:pt idx="136">
                  <c:v>22</c:v>
                </c:pt>
                <c:pt idx="137">
                  <c:v>22</c:v>
                </c:pt>
                <c:pt idx="138">
                  <c:v>23</c:v>
                </c:pt>
                <c:pt idx="139">
                  <c:v>23</c:v>
                </c:pt>
                <c:pt idx="140">
                  <c:v>23</c:v>
                </c:pt>
                <c:pt idx="141">
                  <c:v>23</c:v>
                </c:pt>
                <c:pt idx="142">
                  <c:v>23</c:v>
                </c:pt>
                <c:pt idx="143">
                  <c:v>23</c:v>
                </c:pt>
                <c:pt idx="144">
                  <c:v>24</c:v>
                </c:pt>
                <c:pt idx="145">
                  <c:v>24</c:v>
                </c:pt>
                <c:pt idx="146">
                  <c:v>24</c:v>
                </c:pt>
                <c:pt idx="147">
                  <c:v>24</c:v>
                </c:pt>
                <c:pt idx="148">
                  <c:v>24</c:v>
                </c:pt>
                <c:pt idx="149">
                  <c:v>24</c:v>
                </c:pt>
                <c:pt idx="150">
                  <c:v>25</c:v>
                </c:pt>
                <c:pt idx="151">
                  <c:v>25</c:v>
                </c:pt>
                <c:pt idx="152">
                  <c:v>25</c:v>
                </c:pt>
              </c:strCache>
            </c:strRef>
          </c:cat>
          <c:val>
            <c:numRef>
              <c:f>'0720-bb'!$B$2:$B$153</c:f>
              <c:numCache>
                <c:formatCode>General</c:formatCode>
                <c:ptCount val="152"/>
                <c:pt idx="0">
                  <c:v>23.8</c:v>
                </c:pt>
                <c:pt idx="1">
                  <c:v>23.8</c:v>
                </c:pt>
                <c:pt idx="2">
                  <c:v>23.9</c:v>
                </c:pt>
                <c:pt idx="3">
                  <c:v>23.9</c:v>
                </c:pt>
                <c:pt idx="4">
                  <c:v>23.9</c:v>
                </c:pt>
                <c:pt idx="5">
                  <c:v>23.9</c:v>
                </c:pt>
                <c:pt idx="6">
                  <c:v>23.9</c:v>
                </c:pt>
                <c:pt idx="7">
                  <c:v>23.9</c:v>
                </c:pt>
                <c:pt idx="8">
                  <c:v>23.9</c:v>
                </c:pt>
                <c:pt idx="9">
                  <c:v>23.9</c:v>
                </c:pt>
                <c:pt idx="10">
                  <c:v>24.5</c:v>
                </c:pt>
                <c:pt idx="11">
                  <c:v>28.6</c:v>
                </c:pt>
                <c:pt idx="12">
                  <c:v>34</c:v>
                </c:pt>
                <c:pt idx="13">
                  <c:v>38.299999999999997</c:v>
                </c:pt>
                <c:pt idx="14">
                  <c:v>41.4</c:v>
                </c:pt>
                <c:pt idx="15">
                  <c:v>44.3</c:v>
                </c:pt>
                <c:pt idx="16">
                  <c:v>46.8</c:v>
                </c:pt>
                <c:pt idx="17">
                  <c:v>48.2</c:v>
                </c:pt>
                <c:pt idx="18">
                  <c:v>48.6</c:v>
                </c:pt>
                <c:pt idx="19">
                  <c:v>49.7</c:v>
                </c:pt>
                <c:pt idx="20">
                  <c:v>50.6</c:v>
                </c:pt>
                <c:pt idx="21">
                  <c:v>52.1</c:v>
                </c:pt>
                <c:pt idx="22">
                  <c:v>52.7</c:v>
                </c:pt>
                <c:pt idx="23">
                  <c:v>53.9</c:v>
                </c:pt>
                <c:pt idx="24">
                  <c:v>54.5</c:v>
                </c:pt>
                <c:pt idx="25">
                  <c:v>55.1</c:v>
                </c:pt>
                <c:pt idx="26">
                  <c:v>55.9</c:v>
                </c:pt>
                <c:pt idx="27">
                  <c:v>56.8</c:v>
                </c:pt>
                <c:pt idx="28">
                  <c:v>57.3</c:v>
                </c:pt>
                <c:pt idx="29">
                  <c:v>58.3</c:v>
                </c:pt>
                <c:pt idx="30">
                  <c:v>58.7</c:v>
                </c:pt>
                <c:pt idx="31">
                  <c:v>59.6</c:v>
                </c:pt>
                <c:pt idx="32">
                  <c:v>60</c:v>
                </c:pt>
                <c:pt idx="33">
                  <c:v>60.6</c:v>
                </c:pt>
                <c:pt idx="34">
                  <c:v>61</c:v>
                </c:pt>
                <c:pt idx="35">
                  <c:v>61.7</c:v>
                </c:pt>
                <c:pt idx="36">
                  <c:v>62.4</c:v>
                </c:pt>
                <c:pt idx="37">
                  <c:v>62.8</c:v>
                </c:pt>
                <c:pt idx="38">
                  <c:v>63.4</c:v>
                </c:pt>
                <c:pt idx="39">
                  <c:v>64</c:v>
                </c:pt>
                <c:pt idx="40">
                  <c:v>64.400000000000006</c:v>
                </c:pt>
                <c:pt idx="41">
                  <c:v>65.099999999999994</c:v>
                </c:pt>
                <c:pt idx="42">
                  <c:v>65.400000000000006</c:v>
                </c:pt>
                <c:pt idx="43">
                  <c:v>65.8</c:v>
                </c:pt>
                <c:pt idx="44">
                  <c:v>66.599999999999994</c:v>
                </c:pt>
                <c:pt idx="45">
                  <c:v>66.900000000000006</c:v>
                </c:pt>
                <c:pt idx="46">
                  <c:v>67.099999999999994</c:v>
                </c:pt>
                <c:pt idx="47">
                  <c:v>67.7</c:v>
                </c:pt>
                <c:pt idx="48">
                  <c:v>68.2</c:v>
                </c:pt>
                <c:pt idx="49">
                  <c:v>68.599999999999994</c:v>
                </c:pt>
                <c:pt idx="50">
                  <c:v>69.099999999999994</c:v>
                </c:pt>
                <c:pt idx="51">
                  <c:v>69.5</c:v>
                </c:pt>
                <c:pt idx="52">
                  <c:v>70.099999999999994</c:v>
                </c:pt>
                <c:pt idx="53">
                  <c:v>70.400000000000006</c:v>
                </c:pt>
                <c:pt idx="54">
                  <c:v>71.099999999999994</c:v>
                </c:pt>
                <c:pt idx="55">
                  <c:v>71.3</c:v>
                </c:pt>
                <c:pt idx="56">
                  <c:v>71.599999999999994</c:v>
                </c:pt>
                <c:pt idx="57">
                  <c:v>72.3</c:v>
                </c:pt>
                <c:pt idx="58">
                  <c:v>72.400000000000006</c:v>
                </c:pt>
                <c:pt idx="59">
                  <c:v>73</c:v>
                </c:pt>
                <c:pt idx="60">
                  <c:v>73.3</c:v>
                </c:pt>
                <c:pt idx="61">
                  <c:v>73.900000000000006</c:v>
                </c:pt>
                <c:pt idx="62">
                  <c:v>74.099999999999994</c:v>
                </c:pt>
                <c:pt idx="63">
                  <c:v>74.7</c:v>
                </c:pt>
                <c:pt idx="64">
                  <c:v>74.900000000000006</c:v>
                </c:pt>
                <c:pt idx="65">
                  <c:v>75.400000000000006</c:v>
                </c:pt>
                <c:pt idx="66">
                  <c:v>75.400000000000006</c:v>
                </c:pt>
                <c:pt idx="67">
                  <c:v>76</c:v>
                </c:pt>
                <c:pt idx="68">
                  <c:v>76.2</c:v>
                </c:pt>
                <c:pt idx="69">
                  <c:v>76.7</c:v>
                </c:pt>
                <c:pt idx="70">
                  <c:v>76.900000000000006</c:v>
                </c:pt>
                <c:pt idx="71">
                  <c:v>77</c:v>
                </c:pt>
                <c:pt idx="72">
                  <c:v>77</c:v>
                </c:pt>
                <c:pt idx="73">
                  <c:v>77.3</c:v>
                </c:pt>
                <c:pt idx="74">
                  <c:v>77.400000000000006</c:v>
                </c:pt>
                <c:pt idx="75">
                  <c:v>77.8</c:v>
                </c:pt>
                <c:pt idx="76">
                  <c:v>77.900000000000006</c:v>
                </c:pt>
                <c:pt idx="77">
                  <c:v>78</c:v>
                </c:pt>
                <c:pt idx="78">
                  <c:v>78.599999999999994</c:v>
                </c:pt>
                <c:pt idx="79">
                  <c:v>78.599999999999994</c:v>
                </c:pt>
                <c:pt idx="80">
                  <c:v>79</c:v>
                </c:pt>
                <c:pt idx="81">
                  <c:v>79.3</c:v>
                </c:pt>
                <c:pt idx="82">
                  <c:v>79.5</c:v>
                </c:pt>
                <c:pt idx="83">
                  <c:v>79.599999999999994</c:v>
                </c:pt>
                <c:pt idx="84">
                  <c:v>79.8</c:v>
                </c:pt>
                <c:pt idx="85">
                  <c:v>80.400000000000006</c:v>
                </c:pt>
                <c:pt idx="86">
                  <c:v>80.8</c:v>
                </c:pt>
                <c:pt idx="87">
                  <c:v>80.900000000000006</c:v>
                </c:pt>
                <c:pt idx="88">
                  <c:v>81.2</c:v>
                </c:pt>
                <c:pt idx="89">
                  <c:v>81.3</c:v>
                </c:pt>
                <c:pt idx="90">
                  <c:v>81.7</c:v>
                </c:pt>
                <c:pt idx="91">
                  <c:v>81.900000000000006</c:v>
                </c:pt>
                <c:pt idx="92">
                  <c:v>82.3</c:v>
                </c:pt>
                <c:pt idx="93">
                  <c:v>82.6</c:v>
                </c:pt>
                <c:pt idx="94">
                  <c:v>83</c:v>
                </c:pt>
                <c:pt idx="95">
                  <c:v>83.3</c:v>
                </c:pt>
                <c:pt idx="96">
                  <c:v>83.8</c:v>
                </c:pt>
                <c:pt idx="97">
                  <c:v>83.9</c:v>
                </c:pt>
                <c:pt idx="98">
                  <c:v>83.8</c:v>
                </c:pt>
                <c:pt idx="99">
                  <c:v>84.2</c:v>
                </c:pt>
                <c:pt idx="100">
                  <c:v>84.2</c:v>
                </c:pt>
                <c:pt idx="101">
                  <c:v>84.7</c:v>
                </c:pt>
                <c:pt idx="102">
                  <c:v>84.8</c:v>
                </c:pt>
                <c:pt idx="103">
                  <c:v>85.3</c:v>
                </c:pt>
                <c:pt idx="104">
                  <c:v>85.5</c:v>
                </c:pt>
                <c:pt idx="105">
                  <c:v>85.7</c:v>
                </c:pt>
                <c:pt idx="106">
                  <c:v>85.8</c:v>
                </c:pt>
                <c:pt idx="107">
                  <c:v>86.1</c:v>
                </c:pt>
                <c:pt idx="108">
                  <c:v>86.5</c:v>
                </c:pt>
                <c:pt idx="109">
                  <c:v>86.7</c:v>
                </c:pt>
                <c:pt idx="110">
                  <c:v>86.9</c:v>
                </c:pt>
                <c:pt idx="111">
                  <c:v>87.3</c:v>
                </c:pt>
                <c:pt idx="112">
                  <c:v>87.5</c:v>
                </c:pt>
                <c:pt idx="113">
                  <c:v>87.6</c:v>
                </c:pt>
                <c:pt idx="114">
                  <c:v>87.7</c:v>
                </c:pt>
                <c:pt idx="115">
                  <c:v>88.1</c:v>
                </c:pt>
                <c:pt idx="116">
                  <c:v>88.1</c:v>
                </c:pt>
                <c:pt idx="117">
                  <c:v>88.5</c:v>
                </c:pt>
                <c:pt idx="118">
                  <c:v>88.8</c:v>
                </c:pt>
                <c:pt idx="119">
                  <c:v>89.2</c:v>
                </c:pt>
                <c:pt idx="120">
                  <c:v>89.1</c:v>
                </c:pt>
                <c:pt idx="121">
                  <c:v>89.5</c:v>
                </c:pt>
                <c:pt idx="122">
                  <c:v>90</c:v>
                </c:pt>
                <c:pt idx="123">
                  <c:v>89.7</c:v>
                </c:pt>
                <c:pt idx="124">
                  <c:v>89.7</c:v>
                </c:pt>
                <c:pt idx="125">
                  <c:v>89.8</c:v>
                </c:pt>
                <c:pt idx="126">
                  <c:v>90</c:v>
                </c:pt>
                <c:pt idx="127">
                  <c:v>88.7</c:v>
                </c:pt>
                <c:pt idx="128">
                  <c:v>89</c:v>
                </c:pt>
                <c:pt idx="129">
                  <c:v>89.9</c:v>
                </c:pt>
                <c:pt idx="130">
                  <c:v>90.3</c:v>
                </c:pt>
                <c:pt idx="131">
                  <c:v>88.8</c:v>
                </c:pt>
                <c:pt idx="132">
                  <c:v>88.8</c:v>
                </c:pt>
                <c:pt idx="133">
                  <c:v>90</c:v>
                </c:pt>
                <c:pt idx="134">
                  <c:v>90.3</c:v>
                </c:pt>
                <c:pt idx="135">
                  <c:v>88.6</c:v>
                </c:pt>
                <c:pt idx="136">
                  <c:v>88.8</c:v>
                </c:pt>
                <c:pt idx="137">
                  <c:v>89.9</c:v>
                </c:pt>
                <c:pt idx="138">
                  <c:v>90.6</c:v>
                </c:pt>
                <c:pt idx="139">
                  <c:v>89.1</c:v>
                </c:pt>
                <c:pt idx="140">
                  <c:v>88.1</c:v>
                </c:pt>
                <c:pt idx="141">
                  <c:v>89.3</c:v>
                </c:pt>
                <c:pt idx="142">
                  <c:v>90.6</c:v>
                </c:pt>
                <c:pt idx="143">
                  <c:v>90.1</c:v>
                </c:pt>
                <c:pt idx="144">
                  <c:v>88.2</c:v>
                </c:pt>
                <c:pt idx="145">
                  <c:v>89</c:v>
                </c:pt>
                <c:pt idx="146">
                  <c:v>90.4</c:v>
                </c:pt>
                <c:pt idx="147">
                  <c:v>90.3</c:v>
                </c:pt>
                <c:pt idx="148">
                  <c:v>88.6</c:v>
                </c:pt>
                <c:pt idx="149">
                  <c:v>89.3</c:v>
                </c:pt>
                <c:pt idx="150">
                  <c:v>90.6</c:v>
                </c:pt>
                <c:pt idx="151">
                  <c:v>90.8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C8-4D13-A447-CA37F14F8DCA}"/>
            </c:ext>
          </c:extLst>
        </c:ser>
        <c:ser>
          <c:idx val="1"/>
          <c:order val="1"/>
          <c:tx>
            <c:strRef>
              <c:f>'0720-bb'!$C$1</c:f>
              <c:strCache>
                <c:ptCount val="1"/>
                <c:pt idx="0">
                  <c:v>PWM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'0720-bb'!$A:$A</c:f>
              <c:strCache>
                <c:ptCount val="153"/>
                <c:pt idx="0">
                  <c:v>time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6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8</c:v>
                </c:pt>
                <c:pt idx="52">
                  <c:v>8</c:v>
                </c:pt>
                <c:pt idx="53">
                  <c:v>8</c:v>
                </c:pt>
                <c:pt idx="54">
                  <c:v>9</c:v>
                </c:pt>
                <c:pt idx="55">
                  <c:v>9</c:v>
                </c:pt>
                <c:pt idx="56">
                  <c:v>9</c:v>
                </c:pt>
                <c:pt idx="57">
                  <c:v>9</c:v>
                </c:pt>
                <c:pt idx="58">
                  <c:v>9</c:v>
                </c:pt>
                <c:pt idx="59">
                  <c:v>9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11</c:v>
                </c:pt>
                <c:pt idx="67">
                  <c:v>11</c:v>
                </c:pt>
                <c:pt idx="68">
                  <c:v>11</c:v>
                </c:pt>
                <c:pt idx="69">
                  <c:v>11</c:v>
                </c:pt>
                <c:pt idx="70">
                  <c:v>11</c:v>
                </c:pt>
                <c:pt idx="71">
                  <c:v>11</c:v>
                </c:pt>
                <c:pt idx="72">
                  <c:v>12</c:v>
                </c:pt>
                <c:pt idx="73">
                  <c:v>12</c:v>
                </c:pt>
                <c:pt idx="74">
                  <c:v>12</c:v>
                </c:pt>
                <c:pt idx="75">
                  <c:v>12</c:v>
                </c:pt>
                <c:pt idx="76">
                  <c:v>12</c:v>
                </c:pt>
                <c:pt idx="77">
                  <c:v>12</c:v>
                </c:pt>
                <c:pt idx="78">
                  <c:v>13</c:v>
                </c:pt>
                <c:pt idx="79">
                  <c:v>13</c:v>
                </c:pt>
                <c:pt idx="80">
                  <c:v>13</c:v>
                </c:pt>
                <c:pt idx="81">
                  <c:v>13</c:v>
                </c:pt>
                <c:pt idx="82">
                  <c:v>13</c:v>
                </c:pt>
                <c:pt idx="83">
                  <c:v>13</c:v>
                </c:pt>
                <c:pt idx="84">
                  <c:v>14</c:v>
                </c:pt>
                <c:pt idx="85">
                  <c:v>14</c:v>
                </c:pt>
                <c:pt idx="86">
                  <c:v>14</c:v>
                </c:pt>
                <c:pt idx="87">
                  <c:v>14</c:v>
                </c:pt>
                <c:pt idx="88">
                  <c:v>14</c:v>
                </c:pt>
                <c:pt idx="89">
                  <c:v>14</c:v>
                </c:pt>
                <c:pt idx="90">
                  <c:v>15</c:v>
                </c:pt>
                <c:pt idx="91">
                  <c:v>15</c:v>
                </c:pt>
                <c:pt idx="92">
                  <c:v>15</c:v>
                </c:pt>
                <c:pt idx="93">
                  <c:v>15</c:v>
                </c:pt>
                <c:pt idx="94">
                  <c:v>15</c:v>
                </c:pt>
                <c:pt idx="95">
                  <c:v>15</c:v>
                </c:pt>
                <c:pt idx="96">
                  <c:v>16</c:v>
                </c:pt>
                <c:pt idx="97">
                  <c:v>16</c:v>
                </c:pt>
                <c:pt idx="98">
                  <c:v>16</c:v>
                </c:pt>
                <c:pt idx="99">
                  <c:v>16</c:v>
                </c:pt>
                <c:pt idx="100">
                  <c:v>16</c:v>
                </c:pt>
                <c:pt idx="101">
                  <c:v>16</c:v>
                </c:pt>
                <c:pt idx="102">
                  <c:v>17</c:v>
                </c:pt>
                <c:pt idx="103">
                  <c:v>17</c:v>
                </c:pt>
                <c:pt idx="104">
                  <c:v>17</c:v>
                </c:pt>
                <c:pt idx="105">
                  <c:v>17</c:v>
                </c:pt>
                <c:pt idx="106">
                  <c:v>17</c:v>
                </c:pt>
                <c:pt idx="107">
                  <c:v>17</c:v>
                </c:pt>
                <c:pt idx="108">
                  <c:v>18</c:v>
                </c:pt>
                <c:pt idx="109">
                  <c:v>18</c:v>
                </c:pt>
                <c:pt idx="110">
                  <c:v>18</c:v>
                </c:pt>
                <c:pt idx="111">
                  <c:v>18</c:v>
                </c:pt>
                <c:pt idx="112">
                  <c:v>18</c:v>
                </c:pt>
                <c:pt idx="113">
                  <c:v>18</c:v>
                </c:pt>
                <c:pt idx="114">
                  <c:v>19</c:v>
                </c:pt>
                <c:pt idx="115">
                  <c:v>19</c:v>
                </c:pt>
                <c:pt idx="116">
                  <c:v>19</c:v>
                </c:pt>
                <c:pt idx="117">
                  <c:v>19</c:v>
                </c:pt>
                <c:pt idx="118">
                  <c:v>19</c:v>
                </c:pt>
                <c:pt idx="119">
                  <c:v>19</c:v>
                </c:pt>
                <c:pt idx="120">
                  <c:v>20</c:v>
                </c:pt>
                <c:pt idx="121">
                  <c:v>20</c:v>
                </c:pt>
                <c:pt idx="122">
                  <c:v>20</c:v>
                </c:pt>
                <c:pt idx="123">
                  <c:v>20</c:v>
                </c:pt>
                <c:pt idx="124">
                  <c:v>20</c:v>
                </c:pt>
                <c:pt idx="125">
                  <c:v>20</c:v>
                </c:pt>
                <c:pt idx="126">
                  <c:v>21</c:v>
                </c:pt>
                <c:pt idx="127">
                  <c:v>21</c:v>
                </c:pt>
                <c:pt idx="128">
                  <c:v>21</c:v>
                </c:pt>
                <c:pt idx="129">
                  <c:v>21</c:v>
                </c:pt>
                <c:pt idx="130">
                  <c:v>21</c:v>
                </c:pt>
                <c:pt idx="131">
                  <c:v>21</c:v>
                </c:pt>
                <c:pt idx="132">
                  <c:v>22</c:v>
                </c:pt>
                <c:pt idx="133">
                  <c:v>22</c:v>
                </c:pt>
                <c:pt idx="134">
                  <c:v>22</c:v>
                </c:pt>
                <c:pt idx="135">
                  <c:v>22</c:v>
                </c:pt>
                <c:pt idx="136">
                  <c:v>22</c:v>
                </c:pt>
                <c:pt idx="137">
                  <c:v>22</c:v>
                </c:pt>
                <c:pt idx="138">
                  <c:v>23</c:v>
                </c:pt>
                <c:pt idx="139">
                  <c:v>23</c:v>
                </c:pt>
                <c:pt idx="140">
                  <c:v>23</c:v>
                </c:pt>
                <c:pt idx="141">
                  <c:v>23</c:v>
                </c:pt>
                <c:pt idx="142">
                  <c:v>23</c:v>
                </c:pt>
                <c:pt idx="143">
                  <c:v>23</c:v>
                </c:pt>
                <c:pt idx="144">
                  <c:v>24</c:v>
                </c:pt>
                <c:pt idx="145">
                  <c:v>24</c:v>
                </c:pt>
                <c:pt idx="146">
                  <c:v>24</c:v>
                </c:pt>
                <c:pt idx="147">
                  <c:v>24</c:v>
                </c:pt>
                <c:pt idx="148">
                  <c:v>24</c:v>
                </c:pt>
                <c:pt idx="149">
                  <c:v>24</c:v>
                </c:pt>
                <c:pt idx="150">
                  <c:v>25</c:v>
                </c:pt>
                <c:pt idx="151">
                  <c:v>25</c:v>
                </c:pt>
                <c:pt idx="152">
                  <c:v>25</c:v>
                </c:pt>
              </c:strCache>
            </c:strRef>
          </c:cat>
          <c:val>
            <c:numRef>
              <c:f>'0720-bb'!$C$2:$C$153</c:f>
              <c:numCache>
                <c:formatCode>General</c:formatCode>
                <c:ptCount val="1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87.1</c:v>
                </c:pt>
                <c:pt idx="11">
                  <c:v>98.3</c:v>
                </c:pt>
                <c:pt idx="12">
                  <c:v>81.2</c:v>
                </c:pt>
                <c:pt idx="13">
                  <c:v>97.5</c:v>
                </c:pt>
                <c:pt idx="14">
                  <c:v>99.6</c:v>
                </c:pt>
                <c:pt idx="15">
                  <c:v>99.9</c:v>
                </c:pt>
                <c:pt idx="16">
                  <c:v>99.9</c:v>
                </c:pt>
                <c:pt idx="17">
                  <c:v>99.9</c:v>
                </c:pt>
                <c:pt idx="18">
                  <c:v>99.9</c:v>
                </c:pt>
                <c:pt idx="19">
                  <c:v>99.9</c:v>
                </c:pt>
                <c:pt idx="20">
                  <c:v>99.9</c:v>
                </c:pt>
                <c:pt idx="21">
                  <c:v>99.9</c:v>
                </c:pt>
                <c:pt idx="22">
                  <c:v>99.9</c:v>
                </c:pt>
                <c:pt idx="23">
                  <c:v>99.9</c:v>
                </c:pt>
                <c:pt idx="24">
                  <c:v>99.9</c:v>
                </c:pt>
                <c:pt idx="25">
                  <c:v>99.9</c:v>
                </c:pt>
                <c:pt idx="26">
                  <c:v>99.9</c:v>
                </c:pt>
                <c:pt idx="27">
                  <c:v>99.9</c:v>
                </c:pt>
                <c:pt idx="28">
                  <c:v>99.9</c:v>
                </c:pt>
                <c:pt idx="29">
                  <c:v>99.9</c:v>
                </c:pt>
                <c:pt idx="30">
                  <c:v>99.9</c:v>
                </c:pt>
                <c:pt idx="31">
                  <c:v>99.9</c:v>
                </c:pt>
                <c:pt idx="32">
                  <c:v>99.9</c:v>
                </c:pt>
                <c:pt idx="33">
                  <c:v>99.9</c:v>
                </c:pt>
                <c:pt idx="34">
                  <c:v>99.9</c:v>
                </c:pt>
                <c:pt idx="35">
                  <c:v>99.9</c:v>
                </c:pt>
                <c:pt idx="36">
                  <c:v>99.9</c:v>
                </c:pt>
                <c:pt idx="37">
                  <c:v>99.9</c:v>
                </c:pt>
                <c:pt idx="38">
                  <c:v>99.9</c:v>
                </c:pt>
                <c:pt idx="39">
                  <c:v>99.9</c:v>
                </c:pt>
                <c:pt idx="40">
                  <c:v>99.9</c:v>
                </c:pt>
                <c:pt idx="41">
                  <c:v>99.9</c:v>
                </c:pt>
                <c:pt idx="42">
                  <c:v>99.9</c:v>
                </c:pt>
                <c:pt idx="43">
                  <c:v>99.9</c:v>
                </c:pt>
                <c:pt idx="44">
                  <c:v>99.9</c:v>
                </c:pt>
                <c:pt idx="45">
                  <c:v>99.9</c:v>
                </c:pt>
                <c:pt idx="46">
                  <c:v>99.9</c:v>
                </c:pt>
                <c:pt idx="47">
                  <c:v>99.9</c:v>
                </c:pt>
                <c:pt idx="48">
                  <c:v>99.9</c:v>
                </c:pt>
                <c:pt idx="49">
                  <c:v>99.9</c:v>
                </c:pt>
                <c:pt idx="50">
                  <c:v>99.9</c:v>
                </c:pt>
                <c:pt idx="51">
                  <c:v>99.9</c:v>
                </c:pt>
                <c:pt idx="52">
                  <c:v>99.9</c:v>
                </c:pt>
                <c:pt idx="53">
                  <c:v>99.9</c:v>
                </c:pt>
                <c:pt idx="54">
                  <c:v>99.9</c:v>
                </c:pt>
                <c:pt idx="55">
                  <c:v>99.9</c:v>
                </c:pt>
                <c:pt idx="56">
                  <c:v>99.9</c:v>
                </c:pt>
                <c:pt idx="57">
                  <c:v>99.9</c:v>
                </c:pt>
                <c:pt idx="58">
                  <c:v>99.9</c:v>
                </c:pt>
                <c:pt idx="59">
                  <c:v>99.9</c:v>
                </c:pt>
                <c:pt idx="60">
                  <c:v>99.9</c:v>
                </c:pt>
                <c:pt idx="61">
                  <c:v>99.9</c:v>
                </c:pt>
                <c:pt idx="62">
                  <c:v>99.9</c:v>
                </c:pt>
                <c:pt idx="63">
                  <c:v>99.9</c:v>
                </c:pt>
                <c:pt idx="64">
                  <c:v>99.9</c:v>
                </c:pt>
                <c:pt idx="65">
                  <c:v>99.9</c:v>
                </c:pt>
                <c:pt idx="66">
                  <c:v>99.9</c:v>
                </c:pt>
                <c:pt idx="67">
                  <c:v>99.9</c:v>
                </c:pt>
                <c:pt idx="68">
                  <c:v>99.9</c:v>
                </c:pt>
                <c:pt idx="69">
                  <c:v>99.9</c:v>
                </c:pt>
                <c:pt idx="70">
                  <c:v>99.9</c:v>
                </c:pt>
                <c:pt idx="71">
                  <c:v>99.9</c:v>
                </c:pt>
                <c:pt idx="72">
                  <c:v>99.9</c:v>
                </c:pt>
                <c:pt idx="73">
                  <c:v>99.9</c:v>
                </c:pt>
                <c:pt idx="74">
                  <c:v>99.9</c:v>
                </c:pt>
                <c:pt idx="75">
                  <c:v>99.9</c:v>
                </c:pt>
                <c:pt idx="76">
                  <c:v>99.9</c:v>
                </c:pt>
                <c:pt idx="77">
                  <c:v>99.9</c:v>
                </c:pt>
                <c:pt idx="78">
                  <c:v>99.9</c:v>
                </c:pt>
                <c:pt idx="79">
                  <c:v>99.9</c:v>
                </c:pt>
                <c:pt idx="80">
                  <c:v>99.9</c:v>
                </c:pt>
                <c:pt idx="81">
                  <c:v>99.9</c:v>
                </c:pt>
                <c:pt idx="82">
                  <c:v>99.9</c:v>
                </c:pt>
                <c:pt idx="83">
                  <c:v>99.9</c:v>
                </c:pt>
                <c:pt idx="84">
                  <c:v>99.9</c:v>
                </c:pt>
                <c:pt idx="85">
                  <c:v>99.9</c:v>
                </c:pt>
                <c:pt idx="86">
                  <c:v>99.9</c:v>
                </c:pt>
                <c:pt idx="87">
                  <c:v>99.9</c:v>
                </c:pt>
                <c:pt idx="88">
                  <c:v>99.9</c:v>
                </c:pt>
                <c:pt idx="89">
                  <c:v>99.9</c:v>
                </c:pt>
                <c:pt idx="90">
                  <c:v>99.9</c:v>
                </c:pt>
                <c:pt idx="91">
                  <c:v>99.9</c:v>
                </c:pt>
                <c:pt idx="92">
                  <c:v>99.9</c:v>
                </c:pt>
                <c:pt idx="93">
                  <c:v>99.9</c:v>
                </c:pt>
                <c:pt idx="94">
                  <c:v>99.9</c:v>
                </c:pt>
                <c:pt idx="95">
                  <c:v>99.9</c:v>
                </c:pt>
                <c:pt idx="96">
                  <c:v>99.9</c:v>
                </c:pt>
                <c:pt idx="97">
                  <c:v>99.9</c:v>
                </c:pt>
                <c:pt idx="98">
                  <c:v>99.9</c:v>
                </c:pt>
                <c:pt idx="99">
                  <c:v>99.9</c:v>
                </c:pt>
                <c:pt idx="100">
                  <c:v>99.9</c:v>
                </c:pt>
                <c:pt idx="101">
                  <c:v>99.9</c:v>
                </c:pt>
                <c:pt idx="102">
                  <c:v>99.9</c:v>
                </c:pt>
                <c:pt idx="103">
                  <c:v>99.9</c:v>
                </c:pt>
                <c:pt idx="104">
                  <c:v>99.9</c:v>
                </c:pt>
                <c:pt idx="105">
                  <c:v>99.9</c:v>
                </c:pt>
                <c:pt idx="106">
                  <c:v>99.9</c:v>
                </c:pt>
                <c:pt idx="107">
                  <c:v>99.9</c:v>
                </c:pt>
                <c:pt idx="108">
                  <c:v>99.9</c:v>
                </c:pt>
                <c:pt idx="109">
                  <c:v>99.9</c:v>
                </c:pt>
                <c:pt idx="110">
                  <c:v>99.9</c:v>
                </c:pt>
                <c:pt idx="111">
                  <c:v>99.9</c:v>
                </c:pt>
                <c:pt idx="112">
                  <c:v>99.9</c:v>
                </c:pt>
                <c:pt idx="113">
                  <c:v>99.9</c:v>
                </c:pt>
                <c:pt idx="114">
                  <c:v>99.9</c:v>
                </c:pt>
                <c:pt idx="115">
                  <c:v>99.9</c:v>
                </c:pt>
                <c:pt idx="116">
                  <c:v>99.9</c:v>
                </c:pt>
                <c:pt idx="117">
                  <c:v>99.9</c:v>
                </c:pt>
                <c:pt idx="118">
                  <c:v>99.9</c:v>
                </c:pt>
                <c:pt idx="119">
                  <c:v>99.9</c:v>
                </c:pt>
                <c:pt idx="120">
                  <c:v>99.9</c:v>
                </c:pt>
                <c:pt idx="121">
                  <c:v>99.9</c:v>
                </c:pt>
                <c:pt idx="122">
                  <c:v>99.9</c:v>
                </c:pt>
                <c:pt idx="123">
                  <c:v>73.400000000000006</c:v>
                </c:pt>
                <c:pt idx="124">
                  <c:v>96.5</c:v>
                </c:pt>
                <c:pt idx="125">
                  <c:v>99.5</c:v>
                </c:pt>
                <c:pt idx="126">
                  <c:v>16.5</c:v>
                </c:pt>
                <c:pt idx="127">
                  <c:v>86.3</c:v>
                </c:pt>
                <c:pt idx="128">
                  <c:v>98.2</c:v>
                </c:pt>
                <c:pt idx="129">
                  <c:v>99.7</c:v>
                </c:pt>
                <c:pt idx="130">
                  <c:v>15.7</c:v>
                </c:pt>
                <c:pt idx="131">
                  <c:v>79.400000000000006</c:v>
                </c:pt>
                <c:pt idx="132">
                  <c:v>97.3</c:v>
                </c:pt>
                <c:pt idx="133">
                  <c:v>85.3</c:v>
                </c:pt>
                <c:pt idx="134">
                  <c:v>11.6</c:v>
                </c:pt>
                <c:pt idx="135">
                  <c:v>78.900000000000006</c:v>
                </c:pt>
                <c:pt idx="136">
                  <c:v>97.2</c:v>
                </c:pt>
                <c:pt idx="137">
                  <c:v>99.6</c:v>
                </c:pt>
                <c:pt idx="138">
                  <c:v>16.5</c:v>
                </c:pt>
                <c:pt idx="139">
                  <c:v>53.3</c:v>
                </c:pt>
                <c:pt idx="140">
                  <c:v>94</c:v>
                </c:pt>
                <c:pt idx="141">
                  <c:v>99.2</c:v>
                </c:pt>
                <c:pt idx="142">
                  <c:v>32.200000000000003</c:v>
                </c:pt>
                <c:pt idx="143">
                  <c:v>4.0999999999999996</c:v>
                </c:pt>
                <c:pt idx="144">
                  <c:v>86.2</c:v>
                </c:pt>
                <c:pt idx="145">
                  <c:v>98.2</c:v>
                </c:pt>
                <c:pt idx="146">
                  <c:v>39.4</c:v>
                </c:pt>
                <c:pt idx="147">
                  <c:v>5</c:v>
                </c:pt>
                <c:pt idx="148">
                  <c:v>81.2</c:v>
                </c:pt>
                <c:pt idx="149">
                  <c:v>97.5</c:v>
                </c:pt>
                <c:pt idx="150">
                  <c:v>43.7</c:v>
                </c:pt>
                <c:pt idx="151">
                  <c:v>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C8-4D13-A447-CA37F14F8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8342287"/>
        <c:axId val="738338447"/>
      </c:lineChart>
      <c:catAx>
        <c:axId val="738342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38338447"/>
        <c:crosses val="autoZero"/>
        <c:auto val="1"/>
        <c:lblAlgn val="ctr"/>
        <c:lblOffset val="100"/>
        <c:noMultiLvlLbl val="0"/>
      </c:catAx>
      <c:valAx>
        <c:axId val="73833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38342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247649</xdr:colOff>
      <xdr:row>117</xdr:row>
      <xdr:rowOff>171450</xdr:rowOff>
    </xdr:from>
    <xdr:to>
      <xdr:col>22</xdr:col>
      <xdr:colOff>85724</xdr:colOff>
      <xdr:row>156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BD6447-4EBF-C451-3AED-1BD8559EC2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133350</xdr:colOff>
      <xdr:row>1</xdr:row>
      <xdr:rowOff>114300</xdr:rowOff>
    </xdr:from>
    <xdr:to>
      <xdr:col>16</xdr:col>
      <xdr:colOff>161925</xdr:colOff>
      <xdr:row>27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03AF25-F462-4AC9-A602-1A98101512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142874</xdr:colOff>
      <xdr:row>0</xdr:row>
      <xdr:rowOff>0</xdr:rowOff>
    </xdr:from>
    <xdr:to>
      <xdr:col>20</xdr:col>
      <xdr:colOff>342900</xdr:colOff>
      <xdr:row>37</xdr:row>
      <xdr:rowOff>180976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2D785B-FD2A-D944-24C9-F1E4E16193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0</xdr:row>
      <xdr:rowOff>0</xdr:rowOff>
    </xdr:from>
    <xdr:to>
      <xdr:col>19</xdr:col>
      <xdr:colOff>571500</xdr:colOff>
      <xdr:row>36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C41937-6765-C2D0-F21F-E0141D615E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0</xdr:rowOff>
    </xdr:from>
    <xdr:to>
      <xdr:col>22</xdr:col>
      <xdr:colOff>485775</xdr:colOff>
      <xdr:row>36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41C14F-BC63-9839-E3BA-493ACCC9EC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</xdr:colOff>
      <xdr:row>0</xdr:row>
      <xdr:rowOff>0</xdr:rowOff>
    </xdr:from>
    <xdr:to>
      <xdr:col>20</xdr:col>
      <xdr:colOff>600075</xdr:colOff>
      <xdr:row>36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27E419-6D47-CDAE-09CD-D27F5AB2A5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</xdr:colOff>
      <xdr:row>0</xdr:row>
      <xdr:rowOff>19050</xdr:rowOff>
    </xdr:from>
    <xdr:to>
      <xdr:col>20</xdr:col>
      <xdr:colOff>581025</xdr:colOff>
      <xdr:row>36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6DA8F4-157D-DAA7-4987-6356E7F0C3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0</xdr:row>
      <xdr:rowOff>0</xdr:rowOff>
    </xdr:from>
    <xdr:to>
      <xdr:col>18</xdr:col>
      <xdr:colOff>447675</xdr:colOff>
      <xdr:row>33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529E989-4860-4610-51F1-B2CAC87558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209550</xdr:colOff>
      <xdr:row>52</xdr:row>
      <xdr:rowOff>171450</xdr:rowOff>
    </xdr:from>
    <xdr:to>
      <xdr:col>23</xdr:col>
      <xdr:colOff>28575</xdr:colOff>
      <xdr:row>92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ED625A-2807-DC4B-C4E3-E3496D1A90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42</xdr:row>
      <xdr:rowOff>85725</xdr:rowOff>
    </xdr:from>
    <xdr:to>
      <xdr:col>25</xdr:col>
      <xdr:colOff>438150</xdr:colOff>
      <xdr:row>82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0B2D36-CE51-FCD1-B8CD-C3FEE22C2B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371475</xdr:colOff>
      <xdr:row>0</xdr:row>
      <xdr:rowOff>0</xdr:rowOff>
    </xdr:from>
    <xdr:to>
      <xdr:col>23</xdr:col>
      <xdr:colOff>19050</xdr:colOff>
      <xdr:row>38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5FF095-EE25-5A87-AD61-AECA7BE095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19050</xdr:rowOff>
    </xdr:from>
    <xdr:to>
      <xdr:col>20</xdr:col>
      <xdr:colOff>276225</xdr:colOff>
      <xdr:row>37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645C12-5BBF-E936-D962-D41F04CF93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276225</xdr:colOff>
      <xdr:row>0</xdr:row>
      <xdr:rowOff>0</xdr:rowOff>
    </xdr:from>
    <xdr:to>
      <xdr:col>16</xdr:col>
      <xdr:colOff>190500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089CE8-FBEB-4997-FD66-7017028B92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438150</xdr:colOff>
      <xdr:row>0</xdr:row>
      <xdr:rowOff>0</xdr:rowOff>
    </xdr:from>
    <xdr:to>
      <xdr:col>16</xdr:col>
      <xdr:colOff>257175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6AE6BB-E081-5050-DC02-8A4F6EC8A7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276EBD8E-980C-4B4C-AE32-5026613D7153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3" dataBound="0" tableColumnId="3"/>
      <queryTableField id="2" name="Column2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5A7B345-3E29-4C64-BAD4-42B6175DB996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3" dataBound="0" tableColumnId="3"/>
      <queryTableField id="2" name="Column2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3190FDC3-5A66-4F5E-9116-AE3E29E1E746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3" dataBound="0" tableColumnId="3"/>
      <queryTableField id="2" name="Column2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ED069AAE-2C65-4BFC-A5C6-B4DD874B9A5F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3" dataBound="0" tableColumnId="3"/>
      <queryTableField id="2" name="Column2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B98788E5-8A8F-4F87-B157-29CFCE14A30A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3" dataBound="0" tableColumnId="3"/>
      <queryTableField id="2" name="Column2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A6DCA1A3-0316-4793-81E8-7599E14A47D0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3" dataBound="0" tableColumnId="3"/>
      <queryTableField id="2" name="Column2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1C72004E-F8F9-4003-87C1-93060E8C6A78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3" dataBound="0" tableColumnId="3"/>
      <queryTableField id="2" name="Column2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7" xr16:uid="{FC8CB17C-0FE6-4314-9995-7FD572D953A2}" autoFormatId="16" applyNumberFormats="0" applyBorderFormats="0" applyFontFormats="0" applyPatternFormats="0" applyAlignmentFormats="0" applyWidthHeightFormats="0">
  <queryTableRefresh nextId="5">
    <queryTableFields count="4">
      <queryTableField id="1" name="time" tableColumnId="1"/>
      <queryTableField id="4" dataBound="0" tableColumnId="4"/>
      <queryTableField id="2" name="T" tableColumnId="2"/>
      <queryTableField id="3" name="PWM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38C53DD-88B3-48D2-BEAC-20940F81A71B}" autoFormatId="16" applyNumberFormats="0" applyBorderFormats="0" applyFontFormats="0" applyPatternFormats="0" applyAlignmentFormats="0" applyWidthHeightFormats="0">
  <queryTableRefresh nextId="5">
    <queryTableFields count="4">
      <queryTableField id="1" name="time" tableColumnId="1"/>
      <queryTableField id="4" dataBound="0" tableColumnId="4"/>
      <queryTableField id="2" name="T" tableColumnId="2"/>
      <queryTableField id="3" name="PWM" tableColumnId="3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29EB285-D42F-4404-9BF8-E37148867CDC}" autoFormatId="16" applyNumberFormats="0" applyBorderFormats="0" applyFontFormats="0" applyPatternFormats="0" applyAlignmentFormats="0" applyWidthHeightFormats="0">
  <queryTableRefresh nextId="4">
    <queryTableFields count="3">
      <queryTableField id="1" name="time" tableColumnId="1"/>
      <queryTableField id="2" name="T" tableColumnId="2"/>
      <queryTableField id="3" name="PWM" tableColumnId="3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E53098EF-F4F4-40EC-8DCB-866E7E85188D}" autoFormatId="16" applyNumberFormats="0" applyBorderFormats="0" applyFontFormats="0" applyPatternFormats="0" applyAlignmentFormats="0" applyWidthHeightFormats="0">
  <queryTableRefresh nextId="4">
    <queryTableFields count="3">
      <queryTableField id="1" name="time" tableColumnId="1"/>
      <queryTableField id="2" name="T" tableColumnId="2"/>
      <queryTableField id="3" name="PWM" tableColumnId="3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A76F5CCD-3FDE-4DC8-B0A7-2F818BA857FE}" autoFormatId="16" applyNumberFormats="0" applyBorderFormats="0" applyFontFormats="0" applyPatternFormats="0" applyAlignmentFormats="0" applyWidthHeightFormats="0">
  <queryTableRefresh nextId="4">
    <queryTableFields count="3">
      <queryTableField id="1" name="time" tableColumnId="1"/>
      <queryTableField id="2" name="T" tableColumnId="2"/>
      <queryTableField id="3" name="PWM" tableColumnId="3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BFDC9749-7EC7-4978-AADB-BB5C9DF8CB16}" autoFormatId="16" applyNumberFormats="0" applyBorderFormats="0" applyFontFormats="0" applyPatternFormats="0" applyAlignmentFormats="0" applyWidthHeightFormats="0">
  <queryTableRefresh nextId="4">
    <queryTableFields count="3">
      <queryTableField id="1" name="time" tableColumnId="1"/>
      <queryTableField id="2" name="T" tableColumnId="2"/>
      <queryTableField id="3" name="PWM" tableColumnId="3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9" xr16:uid="{2021C96F-53F1-4379-B870-4CCD757F2FA6}" autoFormatId="16" applyNumberFormats="0" applyBorderFormats="0" applyFontFormats="0" applyPatternFormats="0" applyAlignmentFormats="0" applyWidthHeightFormats="0">
  <queryTableRefresh nextId="4">
    <queryTableFields count="3">
      <queryTableField id="1" name="time" tableColumnId="1"/>
      <queryTableField id="2" name="T" tableColumnId="2"/>
      <queryTableField id="3" name="PWM" tableColumnId="3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8" xr16:uid="{AA484568-84B2-4C48-AA64-380570D11AAD}" autoFormatId="16" applyNumberFormats="0" applyBorderFormats="0" applyFontFormats="0" applyPatternFormats="0" applyAlignmentFormats="0" applyWidthHeightFormats="0">
  <queryTableRefresh nextId="4">
    <queryTableFields count="3">
      <queryTableField id="1" name="time" tableColumnId="1"/>
      <queryTableField id="2" name="T" tableColumnId="2"/>
      <queryTableField id="3" name="PWM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135C25-FBFE-4D99-AB5C-10FFABB22EB9}" name="logtemperature__2" displayName="logtemperature__2" ref="A1:C166" tableType="queryTable" totalsRowShown="0">
  <autoFilter ref="A1:C166" xr:uid="{DE135C25-FBFE-4D99-AB5C-10FFABB22EB9}"/>
  <tableColumns count="3">
    <tableColumn id="1" xr3:uid="{C31DFFC2-2891-4C4D-9C21-2A597412C554}" uniqueName="1" name="Seconds" queryTableFieldId="1"/>
    <tableColumn id="3" xr3:uid="{85E8088D-1E95-4D2F-BD51-E2FD11C30C5E}" uniqueName="3" name="Minutes" queryTableFieldId="3" dataDxfId="13">
      <calculatedColumnFormula>logtemperature__2[[#This Row],[Seconds]]/60-46</calculatedColumnFormula>
    </tableColumn>
    <tableColumn id="2" xr3:uid="{F46547DF-39FE-4D1D-9349-590151C9492B}" uniqueName="2" name="Temperature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E1D831-170F-4EA4-B3A9-B2B939B156CE}" name="logtemperature" displayName="logtemperature" ref="A1:C264" tableType="queryTable" totalsRowShown="0">
  <autoFilter ref="A1:C264" xr:uid="{C0E1D831-170F-4EA4-B3A9-B2B939B156CE}"/>
  <tableColumns count="3">
    <tableColumn id="1" xr3:uid="{7B85BDD4-194C-44BE-9BD2-A25C5676AADF}" uniqueName="1" name="Time" queryTableFieldId="1"/>
    <tableColumn id="3" xr3:uid="{2DB71D2C-A72D-4C09-A1B8-398F1A52013D}" uniqueName="3" name="Minutes" queryTableFieldId="3" dataDxfId="12">
      <calculatedColumnFormula>logtemperature[[#This Row],[Time]]/60-7</calculatedColumnFormula>
    </tableColumn>
    <tableColumn id="2" xr3:uid="{0068F583-25DA-4DB9-90D4-D0183DB11A34}" uniqueName="2" name="Temperature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5B84DD0-C188-4FA2-95D5-39107FD6B72E}" name="logtemperature__4" displayName="logtemperature__4" ref="A1:C157" tableType="queryTable" totalsRowShown="0">
  <autoFilter ref="A1:C157" xr:uid="{45B84DD0-C188-4FA2-95D5-39107FD6B72E}"/>
  <tableColumns count="3">
    <tableColumn id="1" xr3:uid="{9FD3F7F5-F267-4E7B-8AD8-F40DB764EE6F}" uniqueName="1" name="time" queryTableFieldId="1"/>
    <tableColumn id="3" xr3:uid="{0A872E5E-8D4D-4C65-8A79-5977C88E7F09}" uniqueName="3" name="Column1" queryTableFieldId="3" dataDxfId="11">
      <calculatedColumnFormula>logtemperature__4[[#This Row],[time]]/60-43</calculatedColumnFormula>
    </tableColumn>
    <tableColumn id="2" xr3:uid="{81D89BFF-2D8F-414F-B2FA-35D1E1E0D180}" uniqueName="2" name="temp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CBAEBF-C768-493F-B997-B4123C5253A9}" name="logtemperature__5" displayName="logtemperature__5" ref="A1:C43" tableType="queryTable" totalsRowShown="0">
  <autoFilter ref="A1:C43" xr:uid="{75CBAEBF-C768-493F-B997-B4123C5253A9}"/>
  <tableColumns count="3">
    <tableColumn id="1" xr3:uid="{62A1149A-DC18-4CA0-8A27-E9D2E6239D25}" uniqueName="1" name="seconds" queryTableFieldId="1"/>
    <tableColumn id="3" xr3:uid="{DF7DC475-572B-4C90-B66B-4A116581B9AA}" uniqueName="3" name="minutes" queryTableFieldId="3" dataDxfId="10">
      <calculatedColumnFormula>logtemperature__5[[#This Row],[seconds]]/60-665</calculatedColumnFormula>
    </tableColumn>
    <tableColumn id="2" xr3:uid="{187F9144-EAAD-4B05-B241-67490C5FDC21}" uniqueName="2" name="temp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D16A63A-14F7-4CBF-82BB-C046DD49BC90}" name="logtemperature__6" displayName="logtemperature__6" ref="A1:C92" tableType="queryTable" totalsRowShown="0">
  <autoFilter ref="A1:C92" xr:uid="{1D16A63A-14F7-4CBF-82BB-C046DD49BC90}"/>
  <tableColumns count="3">
    <tableColumn id="1" xr3:uid="{8A32421D-19BE-42D4-8239-7AE1086EA99B}" uniqueName="1" name="seconds" queryTableFieldId="1"/>
    <tableColumn id="3" xr3:uid="{8FC4FC74-5F95-46D1-A45E-C339ADAAFEE3}" uniqueName="3" name="minutes" queryTableFieldId="3" dataDxfId="9">
      <calculatedColumnFormula>(logtemperature__6[[#This Row],[seconds]]-348)/60</calculatedColumnFormula>
    </tableColumn>
    <tableColumn id="2" xr3:uid="{EF7145E0-B373-49E0-A880-CE32821D989D}" uniqueName="2" name="temp" queryTableFieldId="2" dataDxfId="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83BD1F0-4048-499D-8CCC-90676BE0DA8E}" name="logtemperature__7" displayName="logtemperature__7" ref="A1:C140" tableType="queryTable" totalsRowShown="0">
  <autoFilter ref="A1:C140" xr:uid="{E83BD1F0-4048-499D-8CCC-90676BE0DA8E}"/>
  <tableColumns count="3">
    <tableColumn id="1" xr3:uid="{FE922F72-ED3D-4865-9059-6FF172D8D005}" uniqueName="1" name="seconds" queryTableFieldId="1"/>
    <tableColumn id="3" xr3:uid="{3E02E8C9-0F44-4A0B-A573-0C78D34894E4}" uniqueName="3" name="minutes" queryTableFieldId="3" dataDxfId="7">
      <calculatedColumnFormula>(logtemperature__7[[#This Row],[seconds]]-28264)/60</calculatedColumnFormula>
    </tableColumn>
    <tableColumn id="2" xr3:uid="{8AFCE4E4-6890-4093-8323-A5EECC3C2DF7}" uniqueName="2" name="temp/time" queryTableFieldId="2" dataDxfId="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E506F30-E667-4808-A88E-0F356512133B}" name="logtemperature__8" displayName="logtemperature__8" ref="A1:C200" tableType="queryTable" totalsRowShown="0" dataDxfId="5">
  <autoFilter ref="A1:C200" xr:uid="{BE506F30-E667-4808-A88E-0F356512133B}"/>
  <tableColumns count="3">
    <tableColumn id="1" xr3:uid="{4F7EA3D0-E02C-4952-A342-21186EBC5546}" uniqueName="1" name="seconds" queryTableFieldId="1" dataDxfId="4"/>
    <tableColumn id="3" xr3:uid="{7479BE1F-26D5-4F7C-AB69-FCED6185E099}" uniqueName="3" name="minutes" queryTableFieldId="3" dataDxfId="3">
      <calculatedColumnFormula>(logtemperature__8[[#This Row],[seconds]]-66)/60</calculatedColumnFormula>
    </tableColumn>
    <tableColumn id="2" xr3:uid="{47933E36-1CA1-4AC8-A915-07F27609C19E}" uniqueName="2" name="temp" queryTableFieldId="2" dataDxfId="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74E9EF4-D8BE-4C63-8716-075DC2214CEE}" name="logtemperature__9" displayName="logtemperature__9" ref="A1:D114" tableType="queryTable" totalsRowShown="0">
  <autoFilter ref="A1:D114" xr:uid="{F74E9EF4-D8BE-4C63-8716-075DC2214CEE}"/>
  <tableColumns count="4">
    <tableColumn id="1" xr3:uid="{BCB7A720-F895-4EB5-A6CD-062D498ECADA}" uniqueName="1" name="time" queryTableFieldId="1"/>
    <tableColumn id="4" xr3:uid="{F05D7A80-67F6-4769-805B-034841DD8946}" uniqueName="4" name="minutes" queryTableFieldId="4" dataDxfId="1">
      <calculatedColumnFormula>logtemperature__9[[#This Row],[time]]-13</calculatedColumnFormula>
    </tableColumn>
    <tableColumn id="2" xr3:uid="{C6704A63-09F2-4CAB-9AD6-980098BFC120}" uniqueName="2" name="T" queryTableFieldId="2"/>
    <tableColumn id="3" xr3:uid="{198BD953-7E42-4088-8361-9906D0513F0C}" uniqueName="3" name="PWM" queryTableFieldId="3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39C6FE9-B519-4657-BDEA-EAB1E1C05AF6}" name="logtemperature__10" displayName="logtemperature__10" ref="A1:D101" tableType="queryTable" totalsRowShown="0">
  <autoFilter ref="A1:D101" xr:uid="{C39C6FE9-B519-4657-BDEA-EAB1E1C05AF6}"/>
  <tableColumns count="4">
    <tableColumn id="1" xr3:uid="{22D2C13A-7DC6-4B5F-A4A1-1BE324720882}" uniqueName="1" name="time" queryTableFieldId="1"/>
    <tableColumn id="4" xr3:uid="{B8D860D2-D258-4FA4-8513-70F29CB77FB4}" uniqueName="4" name="minutes" queryTableFieldId="4" dataDxfId="0">
      <calculatedColumnFormula>logtemperature__10[[#This Row],[time]]-17</calculatedColumnFormula>
    </tableColumn>
    <tableColumn id="2" xr3:uid="{2329B8A9-1F99-4ECE-8C28-C6404469CA22}" uniqueName="2" name="Temp" queryTableFieldId="2"/>
    <tableColumn id="3" xr3:uid="{2905696F-7591-4F06-B508-0400C02F750E}" uniqueName="3" name="PWM" queryTableFieldId="3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69592A9-6221-468B-8819-BFBC32965420}" name="logtemperature__11" displayName="logtemperature__11" ref="A1:C100" tableType="queryTable" totalsRowShown="0">
  <autoFilter ref="A1:C100" xr:uid="{869592A9-6221-468B-8819-BFBC32965420}"/>
  <tableColumns count="3">
    <tableColumn id="1" xr3:uid="{97808C7E-8EEA-42E3-B0D0-704A5A4235BE}" uniqueName="1" name="time" queryTableFieldId="1"/>
    <tableColumn id="2" xr3:uid="{AE0274CD-B5BB-4190-B850-9E0D8B889E8C}" uniqueName="2" name="T" queryTableFieldId="2"/>
    <tableColumn id="3" xr3:uid="{107A8D62-5907-4DBB-9A62-874C2F31517F}" uniqueName="3" name="PWM" queryTableFieldId="3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A69A8DC-155A-40BE-964B-330C4AE7FB65}" name="logtemperature__12" displayName="logtemperature__12" ref="A1:C91" tableType="queryTable" totalsRowShown="0">
  <autoFilter ref="A1:C91" xr:uid="{1A69A8DC-155A-40BE-964B-330C4AE7FB65}"/>
  <tableColumns count="3">
    <tableColumn id="1" xr3:uid="{B723E089-BFA3-414F-9330-C9F2243CF283}" uniqueName="1" name="time" queryTableFieldId="1"/>
    <tableColumn id="2" xr3:uid="{B3D192BF-6E1E-4512-A8F2-8333508A1DF5}" uniqueName="2" name="T" queryTableFieldId="2"/>
    <tableColumn id="3" xr3:uid="{142CC8AD-9B8D-4983-B3A2-3BE19A86C1D2}" uniqueName="3" name="PWM" queryTableFieldId="3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ACF004B-3DDE-4030-A93E-2AD6A8AA9968}" name="logtemperature__14" displayName="logtemperature__14" ref="A1:C402" tableType="queryTable" totalsRowShown="0">
  <autoFilter ref="A1:C402" xr:uid="{7ACF004B-3DDE-4030-A93E-2AD6A8AA9968}"/>
  <tableColumns count="3">
    <tableColumn id="1" xr3:uid="{53320A59-5C7C-4756-A483-B7C82DFDD16B}" uniqueName="1" name="time" queryTableFieldId="1"/>
    <tableColumn id="2" xr3:uid="{20506A32-9F0A-4AB6-907A-BBEA7737B83A}" uniqueName="2" name="T" queryTableFieldId="2"/>
    <tableColumn id="3" xr3:uid="{3E8CBE7B-80F7-4C29-B500-294A859CA7F3}" uniqueName="3" name="PWM" queryTableFieldId="3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4E282B9-F05B-4706-BE33-D66A0A4EAA5A}" name="logtemperature__15" displayName="logtemperature__15" ref="A1:C139" tableType="queryTable" totalsRowShown="0">
  <autoFilter ref="A1:C139" xr:uid="{54E282B9-F05B-4706-BE33-D66A0A4EAA5A}"/>
  <tableColumns count="3">
    <tableColumn id="1" xr3:uid="{A50E8EF0-C6E6-4271-A0AD-565ACFD176F4}" uniqueName="1" name="time" queryTableFieldId="1"/>
    <tableColumn id="2" xr3:uid="{CB5A3CAD-8CD5-40B4-BCF6-CA181DF65B29}" uniqueName="2" name="T" queryTableFieldId="2"/>
    <tableColumn id="3" xr3:uid="{D3824A65-8C2E-40F0-BD01-BE6FEF8F57E9}" uniqueName="3" name="PWM" queryTableFieldId="3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1C168A2-A958-4E3B-828F-A88546200AA6}" name="logtemperature__17" displayName="logtemperature__17" ref="A1:C178" tableType="queryTable" totalsRowShown="0">
  <autoFilter ref="A1:C178" xr:uid="{31C168A2-A958-4E3B-828F-A88546200AA6}"/>
  <tableColumns count="3">
    <tableColumn id="1" xr3:uid="{97AFB830-F0DB-4981-9BB4-E7D7CDACBEFB}" uniqueName="1" name="time" queryTableFieldId="1"/>
    <tableColumn id="2" xr3:uid="{5A9C7857-BE88-46BC-8B1E-B366C6DA758D}" uniqueName="2" name="T" queryTableFieldId="2"/>
    <tableColumn id="3" xr3:uid="{6237FA66-9331-4136-B7DB-CFAD93A120AB}" uniqueName="3" name="PWM" queryTableFieldId="3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8F29FF3-D8DA-49F7-9C55-DBB69D54A224}" name="logtemperature__16" displayName="logtemperature__16" ref="A1:C153" tableType="queryTable" totalsRowShown="0">
  <autoFilter ref="A1:C153" xr:uid="{98F29FF3-D8DA-49F7-9C55-DBB69D54A224}"/>
  <tableColumns count="3">
    <tableColumn id="1" xr3:uid="{632E23F6-E33B-445C-9928-DEA0DF660E41}" uniqueName="1" name="time" queryTableFieldId="1"/>
    <tableColumn id="2" xr3:uid="{89389AEB-05AA-4A70-9761-91BAE0FEC041}" uniqueName="2" name="T" queryTableFieldId="2"/>
    <tableColumn id="3" xr3:uid="{66F1F77C-87CC-4FEB-A33D-28D51297F5E8}" uniqueName="3" name="PWM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F491A-F20D-484F-9452-2ABD006CE5CF}">
  <dimension ref="A1:C166"/>
  <sheetViews>
    <sheetView topLeftCell="A118" workbookViewId="0">
      <selection activeCell="W128" sqref="W128"/>
    </sheetView>
  </sheetViews>
  <sheetFormatPr defaultRowHeight="15" x14ac:dyDescent="0.25"/>
  <cols>
    <col min="1" max="1" width="11" bestFit="1" customWidth="1"/>
    <col min="2" max="2" width="11" customWidth="1"/>
    <col min="3" max="3" width="14.85546875" bestFit="1" customWidth="1"/>
  </cols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>
        <v>2786</v>
      </c>
      <c r="B2" s="1">
        <f>logtemperature__2[[#This Row],[Seconds]]/60-46</f>
        <v>0.43333333333333002</v>
      </c>
      <c r="C2">
        <v>27.37</v>
      </c>
    </row>
    <row r="3" spans="1:3" x14ac:dyDescent="0.25">
      <c r="A3">
        <v>2846</v>
      </c>
      <c r="B3" s="1">
        <f>logtemperature__2[[#This Row],[Seconds]]/60-46</f>
        <v>1.43333333333333</v>
      </c>
      <c r="C3">
        <v>27.78</v>
      </c>
    </row>
    <row r="4" spans="1:3" x14ac:dyDescent="0.25">
      <c r="A4">
        <v>2856</v>
      </c>
      <c r="B4" s="1">
        <f>logtemperature__2[[#This Row],[Seconds]]/60-46</f>
        <v>1.6000000000000014</v>
      </c>
      <c r="C4">
        <v>28.62</v>
      </c>
    </row>
    <row r="5" spans="1:3" x14ac:dyDescent="0.25">
      <c r="A5">
        <v>2866</v>
      </c>
      <c r="B5" s="1">
        <f>logtemperature__2[[#This Row],[Seconds]]/60-46</f>
        <v>1.7666666666666657</v>
      </c>
      <c r="C5">
        <v>30.26</v>
      </c>
    </row>
    <row r="6" spans="1:3" x14ac:dyDescent="0.25">
      <c r="A6">
        <v>2876</v>
      </c>
      <c r="B6" s="1">
        <f>logtemperature__2[[#This Row],[Seconds]]/60-46</f>
        <v>1.93333333333333</v>
      </c>
      <c r="C6">
        <v>33.909999999999997</v>
      </c>
    </row>
    <row r="7" spans="1:3" x14ac:dyDescent="0.25">
      <c r="A7">
        <v>2886</v>
      </c>
      <c r="B7" s="1">
        <f>logtemperature__2[[#This Row],[Seconds]]/60-46</f>
        <v>2.1000000000000014</v>
      </c>
      <c r="C7">
        <v>37.54</v>
      </c>
    </row>
    <row r="8" spans="1:3" x14ac:dyDescent="0.25">
      <c r="A8">
        <v>2896</v>
      </c>
      <c r="B8" s="1">
        <f>logtemperature__2[[#This Row],[Seconds]]/60-46</f>
        <v>2.2666666666666657</v>
      </c>
      <c r="C8">
        <v>40.53</v>
      </c>
    </row>
    <row r="9" spans="1:3" x14ac:dyDescent="0.25">
      <c r="A9">
        <v>2906</v>
      </c>
      <c r="B9" s="1">
        <f>logtemperature__2[[#This Row],[Seconds]]/60-46</f>
        <v>2.43333333333333</v>
      </c>
      <c r="C9">
        <v>42.03</v>
      </c>
    </row>
    <row r="10" spans="1:3" x14ac:dyDescent="0.25">
      <c r="A10">
        <v>2916</v>
      </c>
      <c r="B10" s="1">
        <f>logtemperature__2[[#This Row],[Seconds]]/60-46</f>
        <v>2.6000000000000014</v>
      </c>
      <c r="C10">
        <v>46.31</v>
      </c>
    </row>
    <row r="11" spans="1:3" x14ac:dyDescent="0.25">
      <c r="A11">
        <v>2926</v>
      </c>
      <c r="B11" s="1">
        <f>logtemperature__2[[#This Row],[Seconds]]/60-46</f>
        <v>2.7666666666666657</v>
      </c>
      <c r="C11">
        <v>47.13</v>
      </c>
    </row>
    <row r="12" spans="1:3" x14ac:dyDescent="0.25">
      <c r="A12">
        <v>2936</v>
      </c>
      <c r="B12" s="1">
        <f>logtemperature__2[[#This Row],[Seconds]]/60-46</f>
        <v>2.93333333333333</v>
      </c>
      <c r="C12">
        <v>48.37</v>
      </c>
    </row>
    <row r="13" spans="1:3" x14ac:dyDescent="0.25">
      <c r="A13">
        <v>2946</v>
      </c>
      <c r="B13" s="1">
        <f>logtemperature__2[[#This Row],[Seconds]]/60-46</f>
        <v>3.1000000000000014</v>
      </c>
      <c r="C13">
        <v>49.55</v>
      </c>
    </row>
    <row r="14" spans="1:3" x14ac:dyDescent="0.25">
      <c r="A14">
        <v>2956</v>
      </c>
      <c r="B14" s="1">
        <f>logtemperature__2[[#This Row],[Seconds]]/60-46</f>
        <v>3.2666666666666657</v>
      </c>
      <c r="C14">
        <v>50.08</v>
      </c>
    </row>
    <row r="15" spans="1:3" x14ac:dyDescent="0.25">
      <c r="A15">
        <v>2966</v>
      </c>
      <c r="B15" s="1">
        <f>logtemperature__2[[#This Row],[Seconds]]/60-46</f>
        <v>3.43333333333333</v>
      </c>
      <c r="C15">
        <v>51.32</v>
      </c>
    </row>
    <row r="16" spans="1:3" x14ac:dyDescent="0.25">
      <c r="A16">
        <v>2976</v>
      </c>
      <c r="B16" s="1">
        <f>logtemperature__2[[#This Row],[Seconds]]/60-46</f>
        <v>3.6000000000000014</v>
      </c>
      <c r="C16">
        <v>54.1</v>
      </c>
    </row>
    <row r="17" spans="1:3" x14ac:dyDescent="0.25">
      <c r="A17">
        <v>2986</v>
      </c>
      <c r="B17" s="1">
        <f>logtemperature__2[[#This Row],[Seconds]]/60-46</f>
        <v>3.7666666666666657</v>
      </c>
      <c r="C17">
        <v>54.11</v>
      </c>
    </row>
    <row r="18" spans="1:3" x14ac:dyDescent="0.25">
      <c r="A18">
        <v>2996</v>
      </c>
      <c r="B18" s="1">
        <f>logtemperature__2[[#This Row],[Seconds]]/60-46</f>
        <v>3.93333333333333</v>
      </c>
      <c r="C18">
        <v>56.02</v>
      </c>
    </row>
    <row r="19" spans="1:3" x14ac:dyDescent="0.25">
      <c r="A19">
        <v>3006</v>
      </c>
      <c r="B19" s="1">
        <f>logtemperature__2[[#This Row],[Seconds]]/60-46</f>
        <v>4.1000000000000014</v>
      </c>
      <c r="C19">
        <v>56.42</v>
      </c>
    </row>
    <row r="20" spans="1:3" x14ac:dyDescent="0.25">
      <c r="A20">
        <v>3016</v>
      </c>
      <c r="B20" s="1">
        <f>logtemperature__2[[#This Row],[Seconds]]/60-46</f>
        <v>4.2666666666666657</v>
      </c>
      <c r="C20">
        <v>55.23</v>
      </c>
    </row>
    <row r="21" spans="1:3" x14ac:dyDescent="0.25">
      <c r="A21">
        <v>3026</v>
      </c>
      <c r="B21" s="1">
        <f>logtemperature__2[[#This Row],[Seconds]]/60-46</f>
        <v>4.43333333333333</v>
      </c>
      <c r="C21">
        <v>56.19</v>
      </c>
    </row>
    <row r="22" spans="1:3" x14ac:dyDescent="0.25">
      <c r="A22">
        <v>3036</v>
      </c>
      <c r="B22" s="1">
        <f>logtemperature__2[[#This Row],[Seconds]]/60-46</f>
        <v>4.6000000000000014</v>
      </c>
      <c r="C22">
        <v>57.45</v>
      </c>
    </row>
    <row r="23" spans="1:3" x14ac:dyDescent="0.25">
      <c r="A23">
        <v>3046</v>
      </c>
      <c r="B23" s="1">
        <f>logtemperature__2[[#This Row],[Seconds]]/60-46</f>
        <v>4.7666666666666657</v>
      </c>
      <c r="C23">
        <v>57.88</v>
      </c>
    </row>
    <row r="24" spans="1:3" x14ac:dyDescent="0.25">
      <c r="A24">
        <v>3056</v>
      </c>
      <c r="B24" s="1">
        <f>logtemperature__2[[#This Row],[Seconds]]/60-46</f>
        <v>4.93333333333333</v>
      </c>
      <c r="C24">
        <v>55.95</v>
      </c>
    </row>
    <row r="25" spans="1:3" x14ac:dyDescent="0.25">
      <c r="A25">
        <v>3066</v>
      </c>
      <c r="B25" s="1">
        <f>logtemperature__2[[#This Row],[Seconds]]/60-46</f>
        <v>5.1000000000000014</v>
      </c>
      <c r="C25">
        <v>58.55</v>
      </c>
    </row>
    <row r="26" spans="1:3" x14ac:dyDescent="0.25">
      <c r="A26">
        <v>3076</v>
      </c>
      <c r="B26" s="1">
        <f>logtemperature__2[[#This Row],[Seconds]]/60-46</f>
        <v>5.2666666666666657</v>
      </c>
      <c r="C26">
        <v>60.32</v>
      </c>
    </row>
    <row r="27" spans="1:3" x14ac:dyDescent="0.25">
      <c r="A27">
        <v>3086</v>
      </c>
      <c r="B27" s="1">
        <f>logtemperature__2[[#This Row],[Seconds]]/60-46</f>
        <v>5.43333333333333</v>
      </c>
      <c r="C27">
        <v>60.92</v>
      </c>
    </row>
    <row r="28" spans="1:3" x14ac:dyDescent="0.25">
      <c r="A28">
        <v>3096</v>
      </c>
      <c r="B28" s="1">
        <f>logtemperature__2[[#This Row],[Seconds]]/60-46</f>
        <v>5.6000000000000014</v>
      </c>
      <c r="C28">
        <v>59.23</v>
      </c>
    </row>
    <row r="29" spans="1:3" x14ac:dyDescent="0.25">
      <c r="A29">
        <v>3106</v>
      </c>
      <c r="B29" s="1">
        <f>logtemperature__2[[#This Row],[Seconds]]/60-46</f>
        <v>5.7666666666666657</v>
      </c>
      <c r="C29">
        <v>60.29</v>
      </c>
    </row>
    <row r="30" spans="1:3" x14ac:dyDescent="0.25">
      <c r="A30">
        <v>3116</v>
      </c>
      <c r="B30" s="1">
        <f>logtemperature__2[[#This Row],[Seconds]]/60-46</f>
        <v>5.93333333333333</v>
      </c>
      <c r="C30">
        <v>60.88</v>
      </c>
    </row>
    <row r="31" spans="1:3" x14ac:dyDescent="0.25">
      <c r="A31">
        <v>3126</v>
      </c>
      <c r="B31" s="1">
        <f>logtemperature__2[[#This Row],[Seconds]]/60-46</f>
        <v>6.1000000000000014</v>
      </c>
      <c r="C31">
        <v>60.44</v>
      </c>
    </row>
    <row r="32" spans="1:3" x14ac:dyDescent="0.25">
      <c r="A32">
        <v>3136</v>
      </c>
      <c r="B32" s="1">
        <f>logtemperature__2[[#This Row],[Seconds]]/60-46</f>
        <v>6.2666666666666657</v>
      </c>
      <c r="C32">
        <v>62.38</v>
      </c>
    </row>
    <row r="33" spans="1:3" x14ac:dyDescent="0.25">
      <c r="A33">
        <v>3146</v>
      </c>
      <c r="B33" s="1">
        <f>logtemperature__2[[#This Row],[Seconds]]/60-46</f>
        <v>6.43333333333333</v>
      </c>
      <c r="C33">
        <v>64.45</v>
      </c>
    </row>
    <row r="34" spans="1:3" x14ac:dyDescent="0.25">
      <c r="A34">
        <v>3156</v>
      </c>
      <c r="B34" s="1">
        <f>logtemperature__2[[#This Row],[Seconds]]/60-46</f>
        <v>6.6000000000000014</v>
      </c>
      <c r="C34">
        <v>63.84</v>
      </c>
    </row>
    <row r="35" spans="1:3" x14ac:dyDescent="0.25">
      <c r="A35">
        <v>3166</v>
      </c>
      <c r="B35" s="1">
        <f>logtemperature__2[[#This Row],[Seconds]]/60-46</f>
        <v>6.7666666666666657</v>
      </c>
      <c r="C35">
        <v>65.28</v>
      </c>
    </row>
    <row r="36" spans="1:3" x14ac:dyDescent="0.25">
      <c r="A36">
        <v>3177</v>
      </c>
      <c r="B36" s="1">
        <f>logtemperature__2[[#This Row],[Seconds]]/60-46</f>
        <v>6.9500000000000028</v>
      </c>
      <c r="C36">
        <v>64.94</v>
      </c>
    </row>
    <row r="37" spans="1:3" x14ac:dyDescent="0.25">
      <c r="A37">
        <v>3187</v>
      </c>
      <c r="B37" s="1">
        <f>logtemperature__2[[#This Row],[Seconds]]/60-46</f>
        <v>7.1166666666666671</v>
      </c>
      <c r="C37">
        <v>66.47</v>
      </c>
    </row>
    <row r="38" spans="1:3" x14ac:dyDescent="0.25">
      <c r="A38">
        <v>3197</v>
      </c>
      <c r="B38" s="1">
        <f>logtemperature__2[[#This Row],[Seconds]]/60-46</f>
        <v>7.2833333333333314</v>
      </c>
      <c r="C38">
        <v>66.959999999999994</v>
      </c>
    </row>
    <row r="39" spans="1:3" x14ac:dyDescent="0.25">
      <c r="A39">
        <v>3207</v>
      </c>
      <c r="B39" s="1">
        <f>logtemperature__2[[#This Row],[Seconds]]/60-46</f>
        <v>7.4500000000000028</v>
      </c>
      <c r="C39">
        <v>67.319999999999993</v>
      </c>
    </row>
    <row r="40" spans="1:3" x14ac:dyDescent="0.25">
      <c r="A40">
        <v>3217</v>
      </c>
      <c r="B40" s="1">
        <f>logtemperature__2[[#This Row],[Seconds]]/60-46</f>
        <v>7.6166666666666671</v>
      </c>
      <c r="C40">
        <v>65.069999999999993</v>
      </c>
    </row>
    <row r="41" spans="1:3" x14ac:dyDescent="0.25">
      <c r="A41">
        <v>3227</v>
      </c>
      <c r="B41" s="1">
        <f>logtemperature__2[[#This Row],[Seconds]]/60-46</f>
        <v>7.7833333333333314</v>
      </c>
      <c r="C41">
        <v>65.2</v>
      </c>
    </row>
    <row r="42" spans="1:3" x14ac:dyDescent="0.25">
      <c r="A42">
        <v>3237</v>
      </c>
      <c r="B42" s="1">
        <f>logtemperature__2[[#This Row],[Seconds]]/60-46</f>
        <v>7.9500000000000028</v>
      </c>
      <c r="C42">
        <v>66.2</v>
      </c>
    </row>
    <row r="43" spans="1:3" x14ac:dyDescent="0.25">
      <c r="A43">
        <v>3247</v>
      </c>
      <c r="B43" s="1">
        <f>logtemperature__2[[#This Row],[Seconds]]/60-46</f>
        <v>8.1166666666666671</v>
      </c>
      <c r="C43">
        <v>65.37</v>
      </c>
    </row>
    <row r="44" spans="1:3" x14ac:dyDescent="0.25">
      <c r="A44">
        <v>3257</v>
      </c>
      <c r="B44" s="1">
        <f>logtemperature__2[[#This Row],[Seconds]]/60-46</f>
        <v>8.2833333333333314</v>
      </c>
      <c r="C44">
        <v>67.36</v>
      </c>
    </row>
    <row r="45" spans="1:3" x14ac:dyDescent="0.25">
      <c r="A45">
        <v>3267</v>
      </c>
      <c r="B45" s="1">
        <f>logtemperature__2[[#This Row],[Seconds]]/60-46</f>
        <v>8.4500000000000028</v>
      </c>
      <c r="C45">
        <v>68</v>
      </c>
    </row>
    <row r="46" spans="1:3" x14ac:dyDescent="0.25">
      <c r="A46">
        <v>3277</v>
      </c>
      <c r="B46" s="1">
        <f>logtemperature__2[[#This Row],[Seconds]]/60-46</f>
        <v>8.6166666666666671</v>
      </c>
      <c r="C46">
        <v>67.489999999999995</v>
      </c>
    </row>
    <row r="47" spans="1:3" x14ac:dyDescent="0.25">
      <c r="A47">
        <v>3287</v>
      </c>
      <c r="B47" s="1">
        <f>logtemperature__2[[#This Row],[Seconds]]/60-46</f>
        <v>8.7833333333333314</v>
      </c>
      <c r="C47">
        <v>69.400000000000006</v>
      </c>
    </row>
    <row r="48" spans="1:3" x14ac:dyDescent="0.25">
      <c r="A48">
        <v>3297</v>
      </c>
      <c r="B48" s="1">
        <f>logtemperature__2[[#This Row],[Seconds]]/60-46</f>
        <v>8.9500000000000028</v>
      </c>
      <c r="C48">
        <v>71.45</v>
      </c>
    </row>
    <row r="49" spans="1:3" x14ac:dyDescent="0.25">
      <c r="A49">
        <v>3307</v>
      </c>
      <c r="B49" s="1">
        <f>logtemperature__2[[#This Row],[Seconds]]/60-46</f>
        <v>9.1166666666666671</v>
      </c>
      <c r="C49">
        <v>70.88</v>
      </c>
    </row>
    <row r="50" spans="1:3" x14ac:dyDescent="0.25">
      <c r="A50">
        <v>3317</v>
      </c>
      <c r="B50" s="1">
        <f>logtemperature__2[[#This Row],[Seconds]]/60-46</f>
        <v>9.2833333333333314</v>
      </c>
      <c r="C50">
        <v>71.83</v>
      </c>
    </row>
    <row r="51" spans="1:3" x14ac:dyDescent="0.25">
      <c r="A51">
        <v>3327</v>
      </c>
      <c r="B51" s="1">
        <f>logtemperature__2[[#This Row],[Seconds]]/60-46</f>
        <v>9.4500000000000028</v>
      </c>
      <c r="C51">
        <v>71.150000000000006</v>
      </c>
    </row>
    <row r="52" spans="1:3" x14ac:dyDescent="0.25">
      <c r="A52">
        <v>3337</v>
      </c>
      <c r="B52" s="1">
        <f>logtemperature__2[[#This Row],[Seconds]]/60-46</f>
        <v>9.6166666666666671</v>
      </c>
      <c r="C52">
        <v>69.709999999999994</v>
      </c>
    </row>
    <row r="53" spans="1:3" x14ac:dyDescent="0.25">
      <c r="A53">
        <v>3347</v>
      </c>
      <c r="B53" s="1">
        <f>logtemperature__2[[#This Row],[Seconds]]/60-46</f>
        <v>9.7833333333333314</v>
      </c>
      <c r="C53">
        <v>69.98</v>
      </c>
    </row>
    <row r="54" spans="1:3" x14ac:dyDescent="0.25">
      <c r="A54">
        <v>3357</v>
      </c>
      <c r="B54" s="1">
        <f>logtemperature__2[[#This Row],[Seconds]]/60-46</f>
        <v>9.9500000000000028</v>
      </c>
      <c r="C54">
        <v>70.59</v>
      </c>
    </row>
    <row r="55" spans="1:3" x14ac:dyDescent="0.25">
      <c r="A55">
        <v>3367</v>
      </c>
      <c r="B55" s="1">
        <f>logtemperature__2[[#This Row],[Seconds]]/60-46</f>
        <v>10.116666666666667</v>
      </c>
      <c r="C55">
        <v>71.39</v>
      </c>
    </row>
    <row r="56" spans="1:3" x14ac:dyDescent="0.25">
      <c r="A56">
        <v>3377</v>
      </c>
      <c r="B56" s="1">
        <f>logtemperature__2[[#This Row],[Seconds]]/60-46</f>
        <v>10.283333333333331</v>
      </c>
      <c r="C56">
        <v>71.760000000000005</v>
      </c>
    </row>
    <row r="57" spans="1:3" x14ac:dyDescent="0.25">
      <c r="A57">
        <v>3387</v>
      </c>
      <c r="B57" s="1">
        <f>logtemperature__2[[#This Row],[Seconds]]/60-46</f>
        <v>10.450000000000003</v>
      </c>
      <c r="C57">
        <v>72.27</v>
      </c>
    </row>
    <row r="58" spans="1:3" x14ac:dyDescent="0.25">
      <c r="A58">
        <v>3397</v>
      </c>
      <c r="B58" s="1">
        <f>logtemperature__2[[#This Row],[Seconds]]/60-46</f>
        <v>10.616666666666667</v>
      </c>
      <c r="C58">
        <v>71.5</v>
      </c>
    </row>
    <row r="59" spans="1:3" x14ac:dyDescent="0.25">
      <c r="A59">
        <v>3407</v>
      </c>
      <c r="B59" s="1">
        <f>logtemperature__2[[#This Row],[Seconds]]/60-46</f>
        <v>10.783333333333331</v>
      </c>
      <c r="C59">
        <v>69.94</v>
      </c>
    </row>
    <row r="60" spans="1:3" x14ac:dyDescent="0.25">
      <c r="A60">
        <v>3417</v>
      </c>
      <c r="B60" s="1">
        <f>logtemperature__2[[#This Row],[Seconds]]/60-46</f>
        <v>10.950000000000003</v>
      </c>
      <c r="C60">
        <v>70.38</v>
      </c>
    </row>
    <row r="61" spans="1:3" x14ac:dyDescent="0.25">
      <c r="A61">
        <v>3427</v>
      </c>
      <c r="B61" s="1">
        <f>logtemperature__2[[#This Row],[Seconds]]/60-46</f>
        <v>11.116666666666667</v>
      </c>
      <c r="C61">
        <v>71.59</v>
      </c>
    </row>
    <row r="62" spans="1:3" x14ac:dyDescent="0.25">
      <c r="A62">
        <v>3437</v>
      </c>
      <c r="B62" s="1">
        <f>logtemperature__2[[#This Row],[Seconds]]/60-46</f>
        <v>11.283333333333331</v>
      </c>
      <c r="C62">
        <v>70.22</v>
      </c>
    </row>
    <row r="63" spans="1:3" x14ac:dyDescent="0.25">
      <c r="A63">
        <v>3447</v>
      </c>
      <c r="B63" s="1">
        <f>logtemperature__2[[#This Row],[Seconds]]/60-46</f>
        <v>11.450000000000003</v>
      </c>
      <c r="C63">
        <v>72.510000000000005</v>
      </c>
    </row>
    <row r="64" spans="1:3" x14ac:dyDescent="0.25">
      <c r="A64">
        <v>3457</v>
      </c>
      <c r="B64" s="1">
        <f>logtemperature__2[[#This Row],[Seconds]]/60-46</f>
        <v>11.616666666666667</v>
      </c>
      <c r="C64">
        <v>74.33</v>
      </c>
    </row>
    <row r="65" spans="1:3" x14ac:dyDescent="0.25">
      <c r="A65">
        <v>3467</v>
      </c>
      <c r="B65" s="1">
        <f>logtemperature__2[[#This Row],[Seconds]]/60-46</f>
        <v>11.783333333333331</v>
      </c>
      <c r="C65">
        <v>74.73</v>
      </c>
    </row>
    <row r="66" spans="1:3" x14ac:dyDescent="0.25">
      <c r="A66">
        <v>3477</v>
      </c>
      <c r="B66" s="1">
        <f>logtemperature__2[[#This Row],[Seconds]]/60-46</f>
        <v>11.950000000000003</v>
      </c>
      <c r="C66">
        <v>74.23</v>
      </c>
    </row>
    <row r="67" spans="1:3" x14ac:dyDescent="0.25">
      <c r="A67">
        <v>3487</v>
      </c>
      <c r="B67" s="1">
        <f>logtemperature__2[[#This Row],[Seconds]]/60-46</f>
        <v>12.116666666666667</v>
      </c>
      <c r="C67">
        <v>74.56</v>
      </c>
    </row>
    <row r="68" spans="1:3" x14ac:dyDescent="0.25">
      <c r="A68">
        <v>3497</v>
      </c>
      <c r="B68" s="1">
        <f>logtemperature__2[[#This Row],[Seconds]]/60-46</f>
        <v>12.283333333333331</v>
      </c>
      <c r="C68">
        <v>73.489999999999995</v>
      </c>
    </row>
    <row r="69" spans="1:3" x14ac:dyDescent="0.25">
      <c r="A69">
        <v>3507</v>
      </c>
      <c r="B69" s="1">
        <f>logtemperature__2[[#This Row],[Seconds]]/60-46</f>
        <v>12.450000000000003</v>
      </c>
      <c r="C69">
        <v>75.38</v>
      </c>
    </row>
    <row r="70" spans="1:3" x14ac:dyDescent="0.25">
      <c r="A70">
        <v>3517</v>
      </c>
      <c r="B70" s="1">
        <f>logtemperature__2[[#This Row],[Seconds]]/60-46</f>
        <v>12.616666666666667</v>
      </c>
      <c r="C70">
        <v>77.5</v>
      </c>
    </row>
    <row r="71" spans="1:3" x14ac:dyDescent="0.25">
      <c r="A71">
        <v>3527</v>
      </c>
      <c r="B71" s="1">
        <f>logtemperature__2[[#This Row],[Seconds]]/60-46</f>
        <v>12.783333333333331</v>
      </c>
      <c r="C71">
        <v>77.28</v>
      </c>
    </row>
    <row r="72" spans="1:3" x14ac:dyDescent="0.25">
      <c r="A72">
        <v>3537</v>
      </c>
      <c r="B72" s="1">
        <f>logtemperature__2[[#This Row],[Seconds]]/60-46</f>
        <v>12.950000000000003</v>
      </c>
      <c r="C72">
        <v>77.430000000000007</v>
      </c>
    </row>
    <row r="73" spans="1:3" x14ac:dyDescent="0.25">
      <c r="A73">
        <v>3547</v>
      </c>
      <c r="B73" s="1">
        <f>logtemperature__2[[#This Row],[Seconds]]/60-46</f>
        <v>13.116666666666667</v>
      </c>
      <c r="C73">
        <v>76.62</v>
      </c>
    </row>
    <row r="74" spans="1:3" x14ac:dyDescent="0.25">
      <c r="A74">
        <v>3557</v>
      </c>
      <c r="B74" s="1">
        <f>logtemperature__2[[#This Row],[Seconds]]/60-46</f>
        <v>13.283333333333331</v>
      </c>
      <c r="C74">
        <v>77.63</v>
      </c>
    </row>
    <row r="75" spans="1:3" x14ac:dyDescent="0.25">
      <c r="A75">
        <v>3567</v>
      </c>
      <c r="B75" s="1">
        <f>logtemperature__2[[#This Row],[Seconds]]/60-46</f>
        <v>13.450000000000003</v>
      </c>
      <c r="C75">
        <v>76.81</v>
      </c>
    </row>
    <row r="76" spans="1:3" x14ac:dyDescent="0.25">
      <c r="A76">
        <v>3577</v>
      </c>
      <c r="B76" s="1">
        <f>logtemperature__2[[#This Row],[Seconds]]/60-46</f>
        <v>13.616666666666667</v>
      </c>
      <c r="C76">
        <v>77.66</v>
      </c>
    </row>
    <row r="77" spans="1:3" x14ac:dyDescent="0.25">
      <c r="A77">
        <v>3587</v>
      </c>
      <c r="B77" s="1">
        <f>logtemperature__2[[#This Row],[Seconds]]/60-46</f>
        <v>13.783333333333331</v>
      </c>
      <c r="C77">
        <v>78.099999999999994</v>
      </c>
    </row>
    <row r="78" spans="1:3" x14ac:dyDescent="0.25">
      <c r="A78">
        <v>3597</v>
      </c>
      <c r="B78" s="1">
        <f>logtemperature__2[[#This Row],[Seconds]]/60-46</f>
        <v>13.950000000000003</v>
      </c>
      <c r="C78">
        <v>77.319999999999993</v>
      </c>
    </row>
    <row r="79" spans="1:3" x14ac:dyDescent="0.25">
      <c r="A79">
        <v>3607</v>
      </c>
      <c r="B79" s="1">
        <f>logtemperature__2[[#This Row],[Seconds]]/60-46</f>
        <v>14.116666666666667</v>
      </c>
      <c r="C79">
        <v>77.45</v>
      </c>
    </row>
    <row r="80" spans="1:3" x14ac:dyDescent="0.25">
      <c r="A80">
        <v>3617</v>
      </c>
      <c r="B80" s="1">
        <f>logtemperature__2[[#This Row],[Seconds]]/60-46</f>
        <v>14.283333333333331</v>
      </c>
      <c r="C80">
        <v>78.06</v>
      </c>
    </row>
    <row r="81" spans="1:3" x14ac:dyDescent="0.25">
      <c r="A81">
        <v>3627</v>
      </c>
      <c r="B81" s="1">
        <f>logtemperature__2[[#This Row],[Seconds]]/60-46</f>
        <v>14.450000000000003</v>
      </c>
      <c r="C81">
        <v>77.069999999999993</v>
      </c>
    </row>
    <row r="82" spans="1:3" x14ac:dyDescent="0.25">
      <c r="A82">
        <v>3637</v>
      </c>
      <c r="B82" s="1">
        <f>logtemperature__2[[#This Row],[Seconds]]/60-46</f>
        <v>14.616666666666667</v>
      </c>
      <c r="C82">
        <v>78.459999999999994</v>
      </c>
    </row>
    <row r="83" spans="1:3" x14ac:dyDescent="0.25">
      <c r="A83">
        <v>3647</v>
      </c>
      <c r="B83" s="1">
        <f>logtemperature__2[[#This Row],[Seconds]]/60-46</f>
        <v>14.783333333333331</v>
      </c>
      <c r="C83">
        <v>76.63</v>
      </c>
    </row>
    <row r="84" spans="1:3" x14ac:dyDescent="0.25">
      <c r="A84">
        <v>3657</v>
      </c>
      <c r="B84" s="1">
        <f>logtemperature__2[[#This Row],[Seconds]]/60-46</f>
        <v>14.950000000000003</v>
      </c>
      <c r="C84">
        <v>75.33</v>
      </c>
    </row>
    <row r="85" spans="1:3" x14ac:dyDescent="0.25">
      <c r="A85">
        <v>3668</v>
      </c>
      <c r="B85" s="1">
        <f>logtemperature__2[[#This Row],[Seconds]]/60-46</f>
        <v>15.133333333333333</v>
      </c>
      <c r="C85">
        <v>77.349999999999994</v>
      </c>
    </row>
    <row r="86" spans="1:3" x14ac:dyDescent="0.25">
      <c r="A86">
        <v>3678</v>
      </c>
      <c r="B86" s="1">
        <f>logtemperature__2[[#This Row],[Seconds]]/60-46</f>
        <v>15.299999999999997</v>
      </c>
      <c r="C86">
        <v>78.14</v>
      </c>
    </row>
    <row r="87" spans="1:3" x14ac:dyDescent="0.25">
      <c r="A87">
        <v>3688</v>
      </c>
      <c r="B87" s="1">
        <f>logtemperature__2[[#This Row],[Seconds]]/60-46</f>
        <v>15.466666666666669</v>
      </c>
      <c r="C87">
        <v>77.569999999999993</v>
      </c>
    </row>
    <row r="88" spans="1:3" x14ac:dyDescent="0.25">
      <c r="A88">
        <v>3698</v>
      </c>
      <c r="B88" s="1">
        <f>logtemperature__2[[#This Row],[Seconds]]/60-46</f>
        <v>15.633333333333333</v>
      </c>
      <c r="C88">
        <v>77.92</v>
      </c>
    </row>
    <row r="89" spans="1:3" x14ac:dyDescent="0.25">
      <c r="A89">
        <v>3708</v>
      </c>
      <c r="B89" s="1">
        <f>logtemperature__2[[#This Row],[Seconds]]/60-46</f>
        <v>15.799999999999997</v>
      </c>
      <c r="C89">
        <v>79.069999999999993</v>
      </c>
    </row>
    <row r="90" spans="1:3" x14ac:dyDescent="0.25">
      <c r="A90">
        <v>3718</v>
      </c>
      <c r="B90" s="1">
        <f>logtemperature__2[[#This Row],[Seconds]]/60-46</f>
        <v>15.966666666666669</v>
      </c>
      <c r="C90">
        <v>80.8</v>
      </c>
    </row>
    <row r="91" spans="1:3" x14ac:dyDescent="0.25">
      <c r="A91">
        <v>3728</v>
      </c>
      <c r="B91" s="1">
        <f>logtemperature__2[[#This Row],[Seconds]]/60-46</f>
        <v>16.133333333333333</v>
      </c>
      <c r="C91">
        <v>81.08</v>
      </c>
    </row>
    <row r="92" spans="1:3" x14ac:dyDescent="0.25">
      <c r="A92">
        <v>3738</v>
      </c>
      <c r="B92" s="1">
        <f>logtemperature__2[[#This Row],[Seconds]]/60-46</f>
        <v>16.299999999999997</v>
      </c>
      <c r="C92">
        <v>78.62</v>
      </c>
    </row>
    <row r="93" spans="1:3" x14ac:dyDescent="0.25">
      <c r="A93">
        <v>3748</v>
      </c>
      <c r="B93" s="1">
        <f>logtemperature__2[[#This Row],[Seconds]]/60-46</f>
        <v>16.466666666666669</v>
      </c>
      <c r="C93">
        <v>80.86</v>
      </c>
    </row>
    <row r="94" spans="1:3" x14ac:dyDescent="0.25">
      <c r="A94">
        <v>3758</v>
      </c>
      <c r="B94" s="1">
        <f>logtemperature__2[[#This Row],[Seconds]]/60-46</f>
        <v>16.633333333333333</v>
      </c>
      <c r="C94">
        <v>80.98</v>
      </c>
    </row>
    <row r="95" spans="1:3" x14ac:dyDescent="0.25">
      <c r="A95">
        <v>3768</v>
      </c>
      <c r="B95" s="1">
        <f>logtemperature__2[[#This Row],[Seconds]]/60-46</f>
        <v>16.799999999999997</v>
      </c>
      <c r="C95">
        <v>81.13</v>
      </c>
    </row>
    <row r="96" spans="1:3" x14ac:dyDescent="0.25">
      <c r="A96">
        <v>3778</v>
      </c>
      <c r="B96" s="1">
        <f>logtemperature__2[[#This Row],[Seconds]]/60-46</f>
        <v>16.966666666666669</v>
      </c>
      <c r="C96">
        <v>81.349999999999994</v>
      </c>
    </row>
    <row r="97" spans="1:3" x14ac:dyDescent="0.25">
      <c r="A97">
        <v>3788</v>
      </c>
      <c r="B97" s="1">
        <f>logtemperature__2[[#This Row],[Seconds]]/60-46</f>
        <v>17.133333333333333</v>
      </c>
      <c r="C97">
        <v>80.58</v>
      </c>
    </row>
    <row r="98" spans="1:3" x14ac:dyDescent="0.25">
      <c r="A98">
        <v>3798</v>
      </c>
      <c r="B98" s="1">
        <f>logtemperature__2[[#This Row],[Seconds]]/60-46</f>
        <v>17.299999999999997</v>
      </c>
      <c r="C98">
        <v>80.5</v>
      </c>
    </row>
    <row r="99" spans="1:3" x14ac:dyDescent="0.25">
      <c r="A99">
        <v>3808</v>
      </c>
      <c r="B99" s="1">
        <f>logtemperature__2[[#This Row],[Seconds]]/60-46</f>
        <v>17.466666666666669</v>
      </c>
      <c r="C99">
        <v>80.099999999999994</v>
      </c>
    </row>
    <row r="100" spans="1:3" x14ac:dyDescent="0.25">
      <c r="A100">
        <v>3818</v>
      </c>
      <c r="B100" s="1">
        <f>logtemperature__2[[#This Row],[Seconds]]/60-46</f>
        <v>17.633333333333333</v>
      </c>
      <c r="C100">
        <v>81.19</v>
      </c>
    </row>
    <row r="101" spans="1:3" x14ac:dyDescent="0.25">
      <c r="A101">
        <v>3828</v>
      </c>
      <c r="B101" s="1">
        <f>logtemperature__2[[#This Row],[Seconds]]/60-46</f>
        <v>17.799999999999997</v>
      </c>
      <c r="C101">
        <v>80.06</v>
      </c>
    </row>
    <row r="102" spans="1:3" x14ac:dyDescent="0.25">
      <c r="A102">
        <v>3838</v>
      </c>
      <c r="B102" s="1">
        <f>logtemperature__2[[#This Row],[Seconds]]/60-46</f>
        <v>17.966666666666669</v>
      </c>
      <c r="C102">
        <v>81.42</v>
      </c>
    </row>
    <row r="103" spans="1:3" x14ac:dyDescent="0.25">
      <c r="A103">
        <v>3848</v>
      </c>
      <c r="B103" s="1">
        <f>logtemperature__2[[#This Row],[Seconds]]/60-46</f>
        <v>18.13333333333334</v>
      </c>
      <c r="C103">
        <v>81.489999999999995</v>
      </c>
    </row>
    <row r="104" spans="1:3" x14ac:dyDescent="0.25">
      <c r="A104">
        <v>3858</v>
      </c>
      <c r="B104" s="1">
        <f>logtemperature__2[[#This Row],[Seconds]]/60-46</f>
        <v>18.299999999999997</v>
      </c>
      <c r="C104">
        <v>80.73</v>
      </c>
    </row>
    <row r="105" spans="1:3" x14ac:dyDescent="0.25">
      <c r="A105">
        <v>3868</v>
      </c>
      <c r="B105" s="1">
        <f>logtemperature__2[[#This Row],[Seconds]]/60-46</f>
        <v>18.466666666666669</v>
      </c>
      <c r="C105">
        <v>81.27</v>
      </c>
    </row>
    <row r="106" spans="1:3" x14ac:dyDescent="0.25">
      <c r="A106">
        <v>3878</v>
      </c>
      <c r="B106" s="1">
        <f>logtemperature__2[[#This Row],[Seconds]]/60-46</f>
        <v>18.63333333333334</v>
      </c>
      <c r="C106">
        <v>82.98</v>
      </c>
    </row>
    <row r="107" spans="1:3" x14ac:dyDescent="0.25">
      <c r="A107">
        <v>3888</v>
      </c>
      <c r="B107" s="1">
        <f>logtemperature__2[[#This Row],[Seconds]]/60-46</f>
        <v>18.799999999999997</v>
      </c>
      <c r="C107">
        <v>83.12</v>
      </c>
    </row>
    <row r="108" spans="1:3" x14ac:dyDescent="0.25">
      <c r="A108">
        <v>3898</v>
      </c>
      <c r="B108" s="1">
        <f>logtemperature__2[[#This Row],[Seconds]]/60-46</f>
        <v>18.966666666666669</v>
      </c>
      <c r="C108">
        <v>84.55</v>
      </c>
    </row>
    <row r="109" spans="1:3" x14ac:dyDescent="0.25">
      <c r="A109">
        <v>3908</v>
      </c>
      <c r="B109" s="1">
        <f>logtemperature__2[[#This Row],[Seconds]]/60-46</f>
        <v>19.13333333333334</v>
      </c>
      <c r="C109">
        <v>81.400000000000006</v>
      </c>
    </row>
    <row r="110" spans="1:3" x14ac:dyDescent="0.25">
      <c r="A110">
        <v>3918</v>
      </c>
      <c r="B110" s="1">
        <f>logtemperature__2[[#This Row],[Seconds]]/60-46</f>
        <v>19.299999999999997</v>
      </c>
      <c r="C110">
        <v>82.3</v>
      </c>
    </row>
    <row r="111" spans="1:3" x14ac:dyDescent="0.25">
      <c r="A111">
        <v>3928</v>
      </c>
      <c r="B111" s="1">
        <f>logtemperature__2[[#This Row],[Seconds]]/60-46</f>
        <v>19.466666666666669</v>
      </c>
      <c r="C111">
        <v>82.9</v>
      </c>
    </row>
    <row r="112" spans="1:3" x14ac:dyDescent="0.25">
      <c r="A112">
        <v>3938</v>
      </c>
      <c r="B112" s="1">
        <f>logtemperature__2[[#This Row],[Seconds]]/60-46</f>
        <v>19.63333333333334</v>
      </c>
      <c r="C112">
        <v>84.65</v>
      </c>
    </row>
    <row r="113" spans="1:3" x14ac:dyDescent="0.25">
      <c r="A113">
        <v>3948</v>
      </c>
      <c r="B113" s="1">
        <f>logtemperature__2[[#This Row],[Seconds]]/60-46</f>
        <v>19.799999999999997</v>
      </c>
      <c r="C113">
        <v>84.54</v>
      </c>
    </row>
    <row r="114" spans="1:3" x14ac:dyDescent="0.25">
      <c r="A114">
        <v>3958</v>
      </c>
      <c r="B114" s="1">
        <f>logtemperature__2[[#This Row],[Seconds]]/60-46</f>
        <v>19.966666666666669</v>
      </c>
      <c r="C114">
        <v>84.61</v>
      </c>
    </row>
    <row r="115" spans="1:3" x14ac:dyDescent="0.25">
      <c r="A115">
        <v>3968</v>
      </c>
      <c r="B115" s="1">
        <f>logtemperature__2[[#This Row],[Seconds]]/60-46</f>
        <v>20.13333333333334</v>
      </c>
      <c r="C115">
        <v>81.790000000000006</v>
      </c>
    </row>
    <row r="116" spans="1:3" x14ac:dyDescent="0.25">
      <c r="A116">
        <v>3978</v>
      </c>
      <c r="B116" s="1">
        <f>logtemperature__2[[#This Row],[Seconds]]/60-46</f>
        <v>20.299999999999997</v>
      </c>
      <c r="C116">
        <v>85.53</v>
      </c>
    </row>
    <row r="117" spans="1:3" x14ac:dyDescent="0.25">
      <c r="A117">
        <v>3988</v>
      </c>
      <c r="B117" s="1">
        <f>logtemperature__2[[#This Row],[Seconds]]/60-46</f>
        <v>20.466666666666669</v>
      </c>
      <c r="C117">
        <v>85.48</v>
      </c>
    </row>
    <row r="118" spans="1:3" x14ac:dyDescent="0.25">
      <c r="A118">
        <v>3998</v>
      </c>
      <c r="B118" s="1">
        <f>logtemperature__2[[#This Row],[Seconds]]/60-46</f>
        <v>20.63333333333334</v>
      </c>
      <c r="C118">
        <v>85.53</v>
      </c>
    </row>
    <row r="119" spans="1:3" x14ac:dyDescent="0.25">
      <c r="A119">
        <v>4008</v>
      </c>
      <c r="B119" s="1">
        <f>logtemperature__2[[#This Row],[Seconds]]/60-46</f>
        <v>20.799999999999997</v>
      </c>
      <c r="C119">
        <v>84.91</v>
      </c>
    </row>
    <row r="120" spans="1:3" x14ac:dyDescent="0.25">
      <c r="A120">
        <v>4018</v>
      </c>
      <c r="B120" s="1">
        <f>logtemperature__2[[#This Row],[Seconds]]/60-46</f>
        <v>20.966666666666669</v>
      </c>
      <c r="C120">
        <v>85.81</v>
      </c>
    </row>
    <row r="121" spans="1:3" x14ac:dyDescent="0.25">
      <c r="A121">
        <v>4028</v>
      </c>
      <c r="B121" s="1">
        <f>logtemperature__2[[#This Row],[Seconds]]/60-46</f>
        <v>21.13333333333334</v>
      </c>
      <c r="C121">
        <v>86.12</v>
      </c>
    </row>
    <row r="122" spans="1:3" x14ac:dyDescent="0.25">
      <c r="A122">
        <v>4038</v>
      </c>
      <c r="B122" s="1">
        <f>logtemperature__2[[#This Row],[Seconds]]/60-46</f>
        <v>21.299999999999997</v>
      </c>
      <c r="C122">
        <v>85.1</v>
      </c>
    </row>
    <row r="123" spans="1:3" x14ac:dyDescent="0.25">
      <c r="A123">
        <v>4048</v>
      </c>
      <c r="B123" s="1">
        <f>logtemperature__2[[#This Row],[Seconds]]/60-46</f>
        <v>21.466666666666669</v>
      </c>
      <c r="C123">
        <v>86.05</v>
      </c>
    </row>
    <row r="124" spans="1:3" x14ac:dyDescent="0.25">
      <c r="A124">
        <v>4058</v>
      </c>
      <c r="B124" s="1">
        <f>logtemperature__2[[#This Row],[Seconds]]/60-46</f>
        <v>21.63333333333334</v>
      </c>
      <c r="C124">
        <v>85.91</v>
      </c>
    </row>
    <row r="125" spans="1:3" x14ac:dyDescent="0.25">
      <c r="A125">
        <v>4068</v>
      </c>
      <c r="B125" s="1">
        <f>logtemperature__2[[#This Row],[Seconds]]/60-46</f>
        <v>21.799999999999997</v>
      </c>
      <c r="C125">
        <v>86.67</v>
      </c>
    </row>
    <row r="126" spans="1:3" x14ac:dyDescent="0.25">
      <c r="A126">
        <v>4078</v>
      </c>
      <c r="B126" s="1">
        <f>logtemperature__2[[#This Row],[Seconds]]/60-46</f>
        <v>21.966666666666669</v>
      </c>
      <c r="C126">
        <v>85.66</v>
      </c>
    </row>
    <row r="127" spans="1:3" x14ac:dyDescent="0.25">
      <c r="A127">
        <v>4088</v>
      </c>
      <c r="B127" s="1">
        <f>logtemperature__2[[#This Row],[Seconds]]/60-46</f>
        <v>22.13333333333334</v>
      </c>
      <c r="C127">
        <v>86.03</v>
      </c>
    </row>
    <row r="128" spans="1:3" x14ac:dyDescent="0.25">
      <c r="A128">
        <v>4098</v>
      </c>
      <c r="B128" s="1">
        <f>logtemperature__2[[#This Row],[Seconds]]/60-46</f>
        <v>22.299999999999997</v>
      </c>
      <c r="C128">
        <v>83.89</v>
      </c>
    </row>
    <row r="129" spans="1:3" x14ac:dyDescent="0.25">
      <c r="A129">
        <v>4108</v>
      </c>
      <c r="B129" s="1">
        <f>logtemperature__2[[#This Row],[Seconds]]/60-46</f>
        <v>22.466666666666669</v>
      </c>
      <c r="C129">
        <v>84.29</v>
      </c>
    </row>
    <row r="130" spans="1:3" x14ac:dyDescent="0.25">
      <c r="A130">
        <v>4118</v>
      </c>
      <c r="B130" s="1">
        <f>logtemperature__2[[#This Row],[Seconds]]/60-46</f>
        <v>22.63333333333334</v>
      </c>
      <c r="C130">
        <v>83.9</v>
      </c>
    </row>
    <row r="131" spans="1:3" x14ac:dyDescent="0.25">
      <c r="A131">
        <v>4128</v>
      </c>
      <c r="B131" s="1">
        <f>logtemperature__2[[#This Row],[Seconds]]/60-46</f>
        <v>22.799999999999997</v>
      </c>
      <c r="C131">
        <v>84.33</v>
      </c>
    </row>
    <row r="132" spans="1:3" x14ac:dyDescent="0.25">
      <c r="A132">
        <v>4138</v>
      </c>
      <c r="B132" s="1">
        <f>logtemperature__2[[#This Row],[Seconds]]/60-46</f>
        <v>22.966666666666669</v>
      </c>
      <c r="C132">
        <v>85.83</v>
      </c>
    </row>
    <row r="133" spans="1:3" x14ac:dyDescent="0.25">
      <c r="A133">
        <v>4148</v>
      </c>
      <c r="B133" s="1">
        <f>logtemperature__2[[#This Row],[Seconds]]/60-46</f>
        <v>23.13333333333334</v>
      </c>
      <c r="C133">
        <v>86.42</v>
      </c>
    </row>
    <row r="134" spans="1:3" x14ac:dyDescent="0.25">
      <c r="A134">
        <v>4158</v>
      </c>
      <c r="B134" s="1">
        <f>logtemperature__2[[#This Row],[Seconds]]/60-46</f>
        <v>23.299999999999997</v>
      </c>
      <c r="C134">
        <v>84.64</v>
      </c>
    </row>
    <row r="135" spans="1:3" x14ac:dyDescent="0.25">
      <c r="A135">
        <v>4169</v>
      </c>
      <c r="B135" s="1">
        <f>logtemperature__2[[#This Row],[Seconds]]/60-46</f>
        <v>23.483333333333334</v>
      </c>
      <c r="C135">
        <v>87.19</v>
      </c>
    </row>
    <row r="136" spans="1:3" x14ac:dyDescent="0.25">
      <c r="A136">
        <v>4179</v>
      </c>
      <c r="B136" s="1">
        <f>logtemperature__2[[#This Row],[Seconds]]/60-46</f>
        <v>23.650000000000006</v>
      </c>
      <c r="C136">
        <v>86.91</v>
      </c>
    </row>
    <row r="137" spans="1:3" x14ac:dyDescent="0.25">
      <c r="A137">
        <v>4189</v>
      </c>
      <c r="B137" s="1">
        <f>logtemperature__2[[#This Row],[Seconds]]/60-46</f>
        <v>23.816666666666663</v>
      </c>
      <c r="C137">
        <v>86.67</v>
      </c>
    </row>
    <row r="138" spans="1:3" x14ac:dyDescent="0.25">
      <c r="A138">
        <v>4199</v>
      </c>
      <c r="B138" s="1">
        <f>logtemperature__2[[#This Row],[Seconds]]/60-46</f>
        <v>23.983333333333334</v>
      </c>
      <c r="C138">
        <v>86.5</v>
      </c>
    </row>
    <row r="139" spans="1:3" x14ac:dyDescent="0.25">
      <c r="A139">
        <v>4209</v>
      </c>
      <c r="B139" s="1">
        <f>logtemperature__2[[#This Row],[Seconds]]/60-46</f>
        <v>24.150000000000006</v>
      </c>
      <c r="C139">
        <v>87.08</v>
      </c>
    </row>
    <row r="140" spans="1:3" x14ac:dyDescent="0.25">
      <c r="A140">
        <v>4219</v>
      </c>
      <c r="B140" s="1">
        <f>logtemperature__2[[#This Row],[Seconds]]/60-46</f>
        <v>24.316666666666663</v>
      </c>
      <c r="C140">
        <v>88.76</v>
      </c>
    </row>
    <row r="141" spans="1:3" x14ac:dyDescent="0.25">
      <c r="A141">
        <v>4229</v>
      </c>
      <c r="B141" s="1">
        <f>logtemperature__2[[#This Row],[Seconds]]/60-46</f>
        <v>24.483333333333334</v>
      </c>
      <c r="C141">
        <v>87.37</v>
      </c>
    </row>
    <row r="142" spans="1:3" x14ac:dyDescent="0.25">
      <c r="A142">
        <v>4239</v>
      </c>
      <c r="B142" s="1">
        <f>logtemperature__2[[#This Row],[Seconds]]/60-46</f>
        <v>24.650000000000006</v>
      </c>
      <c r="C142">
        <v>86.56</v>
      </c>
    </row>
    <row r="143" spans="1:3" x14ac:dyDescent="0.25">
      <c r="A143">
        <v>4249</v>
      </c>
      <c r="B143" s="1">
        <f>logtemperature__2[[#This Row],[Seconds]]/60-46</f>
        <v>24.816666666666663</v>
      </c>
      <c r="C143">
        <v>86.87</v>
      </c>
    </row>
    <row r="144" spans="1:3" x14ac:dyDescent="0.25">
      <c r="A144">
        <v>4259</v>
      </c>
      <c r="B144" s="1">
        <f>logtemperature__2[[#This Row],[Seconds]]/60-46</f>
        <v>24.983333333333334</v>
      </c>
      <c r="C144">
        <v>85.43</v>
      </c>
    </row>
    <row r="145" spans="1:3" x14ac:dyDescent="0.25">
      <c r="A145">
        <v>4269</v>
      </c>
      <c r="B145" s="1">
        <f>logtemperature__2[[#This Row],[Seconds]]/60-46</f>
        <v>25.150000000000006</v>
      </c>
      <c r="C145">
        <v>85.02</v>
      </c>
    </row>
    <row r="146" spans="1:3" x14ac:dyDescent="0.25">
      <c r="A146">
        <v>4279</v>
      </c>
      <c r="B146" s="1">
        <f>logtemperature__2[[#This Row],[Seconds]]/60-46</f>
        <v>25.316666666666663</v>
      </c>
      <c r="C146">
        <v>86.06</v>
      </c>
    </row>
    <row r="147" spans="1:3" x14ac:dyDescent="0.25">
      <c r="A147">
        <v>4289</v>
      </c>
      <c r="B147" s="1">
        <f>logtemperature__2[[#This Row],[Seconds]]/60-46</f>
        <v>25.483333333333334</v>
      </c>
      <c r="C147">
        <v>85.43</v>
      </c>
    </row>
    <row r="148" spans="1:3" x14ac:dyDescent="0.25">
      <c r="A148">
        <v>4299</v>
      </c>
      <c r="B148" s="1">
        <f>logtemperature__2[[#This Row],[Seconds]]/60-46</f>
        <v>25.650000000000006</v>
      </c>
      <c r="C148">
        <v>86.25</v>
      </c>
    </row>
    <row r="149" spans="1:3" x14ac:dyDescent="0.25">
      <c r="A149">
        <v>4309</v>
      </c>
      <c r="B149" s="1">
        <f>logtemperature__2[[#This Row],[Seconds]]/60-46</f>
        <v>25.816666666666663</v>
      </c>
      <c r="C149">
        <v>86.83</v>
      </c>
    </row>
    <row r="150" spans="1:3" x14ac:dyDescent="0.25">
      <c r="A150">
        <v>4319</v>
      </c>
      <c r="B150" s="1">
        <f>logtemperature__2[[#This Row],[Seconds]]/60-46</f>
        <v>25.983333333333334</v>
      </c>
      <c r="C150">
        <v>87.33</v>
      </c>
    </row>
    <row r="151" spans="1:3" x14ac:dyDescent="0.25">
      <c r="A151">
        <v>4329</v>
      </c>
      <c r="B151" s="1">
        <f>logtemperature__2[[#This Row],[Seconds]]/60-46</f>
        <v>26.150000000000006</v>
      </c>
      <c r="C151">
        <v>88.8</v>
      </c>
    </row>
    <row r="152" spans="1:3" x14ac:dyDescent="0.25">
      <c r="A152">
        <v>4339</v>
      </c>
      <c r="B152" s="1">
        <f>logtemperature__2[[#This Row],[Seconds]]/60-46</f>
        <v>26.316666666666663</v>
      </c>
      <c r="C152">
        <v>87.6</v>
      </c>
    </row>
    <row r="153" spans="1:3" x14ac:dyDescent="0.25">
      <c r="A153">
        <v>4349</v>
      </c>
      <c r="B153" s="1">
        <f>logtemperature__2[[#This Row],[Seconds]]/60-46</f>
        <v>26.483333333333334</v>
      </c>
      <c r="C153">
        <v>86.99</v>
      </c>
    </row>
    <row r="154" spans="1:3" x14ac:dyDescent="0.25">
      <c r="A154">
        <v>4359</v>
      </c>
      <c r="B154" s="1">
        <f>logtemperature__2[[#This Row],[Seconds]]/60-46</f>
        <v>26.650000000000006</v>
      </c>
      <c r="C154">
        <v>89.18</v>
      </c>
    </row>
    <row r="155" spans="1:3" x14ac:dyDescent="0.25">
      <c r="A155">
        <v>4369</v>
      </c>
      <c r="B155" s="1">
        <f>logtemperature__2[[#This Row],[Seconds]]/60-46</f>
        <v>26.816666666666663</v>
      </c>
      <c r="C155">
        <v>87.93</v>
      </c>
    </row>
    <row r="156" spans="1:3" x14ac:dyDescent="0.25">
      <c r="A156">
        <v>4379</v>
      </c>
      <c r="B156" s="1">
        <f>logtemperature__2[[#This Row],[Seconds]]/60-46</f>
        <v>26.983333333333334</v>
      </c>
      <c r="C156">
        <v>88.87</v>
      </c>
    </row>
    <row r="157" spans="1:3" x14ac:dyDescent="0.25">
      <c r="A157">
        <v>4389</v>
      </c>
      <c r="B157" s="1">
        <f>logtemperature__2[[#This Row],[Seconds]]/60-46</f>
        <v>27.150000000000006</v>
      </c>
      <c r="C157">
        <v>84.39</v>
      </c>
    </row>
    <row r="158" spans="1:3" x14ac:dyDescent="0.25">
      <c r="A158">
        <v>4399</v>
      </c>
      <c r="B158" s="1">
        <f>logtemperature__2[[#This Row],[Seconds]]/60-46</f>
        <v>27.316666666666663</v>
      </c>
      <c r="C158">
        <v>85.59</v>
      </c>
    </row>
    <row r="159" spans="1:3" x14ac:dyDescent="0.25">
      <c r="A159">
        <v>4409</v>
      </c>
      <c r="B159" s="1">
        <f>logtemperature__2[[#This Row],[Seconds]]/60-46</f>
        <v>27.483333333333334</v>
      </c>
      <c r="C159">
        <v>86.43</v>
      </c>
    </row>
    <row r="160" spans="1:3" x14ac:dyDescent="0.25">
      <c r="A160">
        <v>4419</v>
      </c>
      <c r="B160" s="1">
        <f>logtemperature__2[[#This Row],[Seconds]]/60-46</f>
        <v>27.650000000000006</v>
      </c>
      <c r="C160">
        <v>89.26</v>
      </c>
    </row>
    <row r="161" spans="1:3" x14ac:dyDescent="0.25">
      <c r="A161">
        <v>4429</v>
      </c>
      <c r="B161" s="1">
        <f>logtemperature__2[[#This Row],[Seconds]]/60-46</f>
        <v>27.816666666666663</v>
      </c>
      <c r="C161">
        <v>87.67</v>
      </c>
    </row>
    <row r="162" spans="1:3" x14ac:dyDescent="0.25">
      <c r="A162">
        <v>4439</v>
      </c>
      <c r="B162" s="1">
        <f>logtemperature__2[[#This Row],[Seconds]]/60-46</f>
        <v>27.983333333333334</v>
      </c>
      <c r="C162">
        <v>88.61</v>
      </c>
    </row>
    <row r="163" spans="1:3" x14ac:dyDescent="0.25">
      <c r="A163">
        <v>4449</v>
      </c>
      <c r="B163" s="1">
        <f>logtemperature__2[[#This Row],[Seconds]]/60-46</f>
        <v>28.150000000000006</v>
      </c>
      <c r="C163">
        <v>89.71</v>
      </c>
    </row>
    <row r="164" spans="1:3" x14ac:dyDescent="0.25">
      <c r="A164">
        <v>4459</v>
      </c>
      <c r="B164" s="1">
        <f>logtemperature__2[[#This Row],[Seconds]]/60-46</f>
        <v>28.316666666666663</v>
      </c>
      <c r="C164">
        <v>88.11</v>
      </c>
    </row>
    <row r="165" spans="1:3" x14ac:dyDescent="0.25">
      <c r="A165">
        <v>4469</v>
      </c>
      <c r="B165" s="1">
        <f>logtemperature__2[[#This Row],[Seconds]]/60-46</f>
        <v>28.483333333333334</v>
      </c>
      <c r="C165">
        <v>89.53</v>
      </c>
    </row>
    <row r="166" spans="1:3" x14ac:dyDescent="0.25">
      <c r="A166">
        <v>4479</v>
      </c>
      <c r="B166" s="1">
        <f>logtemperature__2[[#This Row],[Seconds]]/60-46</f>
        <v>28.650000000000006</v>
      </c>
      <c r="C166">
        <v>90.48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F5129-98B9-4201-8EE7-E73B890F55FF}">
  <dimension ref="A1:C264"/>
  <sheetViews>
    <sheetView workbookViewId="0"/>
  </sheetViews>
  <sheetFormatPr defaultRowHeight="15" x14ac:dyDescent="0.25"/>
  <cols>
    <col min="1" max="1" width="11.42578125" bestFit="1" customWidth="1"/>
    <col min="2" max="2" width="11.42578125" customWidth="1"/>
    <col min="3" max="3" width="11.42578125" bestFit="1" customWidth="1"/>
  </cols>
  <sheetData>
    <row r="1" spans="1:3" x14ac:dyDescent="0.25">
      <c r="A1" t="s">
        <v>3</v>
      </c>
      <c r="B1" t="s">
        <v>2</v>
      </c>
      <c r="C1" t="s">
        <v>1</v>
      </c>
    </row>
    <row r="2" spans="1:3" x14ac:dyDescent="0.25">
      <c r="A2">
        <v>402</v>
      </c>
      <c r="B2" s="1">
        <f>logtemperature[[#This Row],[Time]]/60-7</f>
        <v>-0.29999999999999982</v>
      </c>
      <c r="C2">
        <v>28.99</v>
      </c>
    </row>
    <row r="3" spans="1:3" x14ac:dyDescent="0.25">
      <c r="A3">
        <v>412</v>
      </c>
      <c r="B3" s="1">
        <f>logtemperature[[#This Row],[Time]]/60-7</f>
        <v>-0.13333333333333375</v>
      </c>
      <c r="C3">
        <v>29.6</v>
      </c>
    </row>
    <row r="4" spans="1:3" x14ac:dyDescent="0.25">
      <c r="A4">
        <v>422</v>
      </c>
      <c r="B4" s="1">
        <f>logtemperature[[#This Row],[Time]]/60-7</f>
        <v>3.3333333333333215E-2</v>
      </c>
      <c r="C4">
        <v>30.3</v>
      </c>
    </row>
    <row r="5" spans="1:3" x14ac:dyDescent="0.25">
      <c r="A5">
        <v>432</v>
      </c>
      <c r="B5" s="1">
        <f>logtemperature[[#This Row],[Time]]/60-7</f>
        <v>0.20000000000000018</v>
      </c>
      <c r="C5">
        <v>30.99</v>
      </c>
    </row>
    <row r="6" spans="1:3" x14ac:dyDescent="0.25">
      <c r="A6">
        <v>442</v>
      </c>
      <c r="B6" s="1">
        <f>logtemperature[[#This Row],[Time]]/60-7</f>
        <v>0.36666666666666625</v>
      </c>
      <c r="C6">
        <v>31.4</v>
      </c>
    </row>
    <row r="7" spans="1:3" x14ac:dyDescent="0.25">
      <c r="A7">
        <v>452</v>
      </c>
      <c r="B7" s="1">
        <f>logtemperature[[#This Row],[Time]]/60-7</f>
        <v>0.53333333333333321</v>
      </c>
      <c r="C7">
        <v>31.46</v>
      </c>
    </row>
    <row r="8" spans="1:3" x14ac:dyDescent="0.25">
      <c r="A8">
        <v>462</v>
      </c>
      <c r="B8" s="1">
        <f>logtemperature[[#This Row],[Time]]/60-7</f>
        <v>0.70000000000000018</v>
      </c>
      <c r="C8">
        <v>32.19</v>
      </c>
    </row>
    <row r="9" spans="1:3" x14ac:dyDescent="0.25">
      <c r="A9">
        <v>472</v>
      </c>
      <c r="B9" s="1">
        <f>logtemperature[[#This Row],[Time]]/60-7</f>
        <v>0.86666666666666625</v>
      </c>
      <c r="C9">
        <v>33.42</v>
      </c>
    </row>
    <row r="10" spans="1:3" x14ac:dyDescent="0.25">
      <c r="A10">
        <v>482</v>
      </c>
      <c r="B10" s="1">
        <f>logtemperature[[#This Row],[Time]]/60-7</f>
        <v>1.0333333333333332</v>
      </c>
      <c r="C10">
        <v>33.99</v>
      </c>
    </row>
    <row r="11" spans="1:3" x14ac:dyDescent="0.25">
      <c r="A11">
        <v>492</v>
      </c>
      <c r="B11" s="1">
        <f>logtemperature[[#This Row],[Time]]/60-7</f>
        <v>1.1999999999999993</v>
      </c>
      <c r="C11">
        <v>34.64</v>
      </c>
    </row>
    <row r="12" spans="1:3" x14ac:dyDescent="0.25">
      <c r="A12">
        <v>502</v>
      </c>
      <c r="B12" s="1">
        <f>logtemperature[[#This Row],[Time]]/60-7</f>
        <v>1.3666666666666671</v>
      </c>
      <c r="C12">
        <v>35.619999999999997</v>
      </c>
    </row>
    <row r="13" spans="1:3" x14ac:dyDescent="0.25">
      <c r="A13">
        <v>512</v>
      </c>
      <c r="B13" s="1">
        <f>logtemperature[[#This Row],[Time]]/60-7</f>
        <v>1.5333333333333332</v>
      </c>
      <c r="C13">
        <v>36.369999999999997</v>
      </c>
    </row>
    <row r="14" spans="1:3" x14ac:dyDescent="0.25">
      <c r="A14">
        <v>522</v>
      </c>
      <c r="B14" s="1">
        <f>logtemperature[[#This Row],[Time]]/60-7</f>
        <v>1.6999999999999993</v>
      </c>
      <c r="C14">
        <v>36.93</v>
      </c>
    </row>
    <row r="15" spans="1:3" x14ac:dyDescent="0.25">
      <c r="A15">
        <v>533</v>
      </c>
      <c r="B15" s="1">
        <f>logtemperature[[#This Row],[Time]]/60-7</f>
        <v>1.8833333333333329</v>
      </c>
      <c r="C15">
        <v>37.75</v>
      </c>
    </row>
    <row r="16" spans="1:3" x14ac:dyDescent="0.25">
      <c r="A16">
        <v>543</v>
      </c>
      <c r="B16" s="1">
        <f>logtemperature[[#This Row],[Time]]/60-7</f>
        <v>2.0500000000000007</v>
      </c>
      <c r="C16">
        <v>38.049999999999997</v>
      </c>
    </row>
    <row r="17" spans="1:3" x14ac:dyDescent="0.25">
      <c r="A17">
        <v>553</v>
      </c>
      <c r="B17" s="1">
        <f>logtemperature[[#This Row],[Time]]/60-7</f>
        <v>2.2166666666666668</v>
      </c>
      <c r="C17">
        <v>38.79</v>
      </c>
    </row>
    <row r="18" spans="1:3" x14ac:dyDescent="0.25">
      <c r="A18">
        <v>563</v>
      </c>
      <c r="B18" s="1">
        <f>logtemperature[[#This Row],[Time]]/60-7</f>
        <v>2.3833333333333329</v>
      </c>
      <c r="C18">
        <v>40.35</v>
      </c>
    </row>
    <row r="19" spans="1:3" x14ac:dyDescent="0.25">
      <c r="A19">
        <v>574</v>
      </c>
      <c r="B19" s="1">
        <f>logtemperature[[#This Row],[Time]]/60-7</f>
        <v>2.5666666666666664</v>
      </c>
      <c r="C19">
        <v>41.06</v>
      </c>
    </row>
    <row r="20" spans="1:3" x14ac:dyDescent="0.25">
      <c r="A20">
        <v>584</v>
      </c>
      <c r="B20" s="1">
        <f>logtemperature[[#This Row],[Time]]/60-7</f>
        <v>2.7333333333333325</v>
      </c>
      <c r="C20">
        <v>41.28</v>
      </c>
    </row>
    <row r="21" spans="1:3" x14ac:dyDescent="0.25">
      <c r="A21">
        <v>594</v>
      </c>
      <c r="B21" s="1">
        <f>logtemperature[[#This Row],[Time]]/60-7</f>
        <v>2.9000000000000004</v>
      </c>
      <c r="C21">
        <v>42.23</v>
      </c>
    </row>
    <row r="22" spans="1:3" x14ac:dyDescent="0.25">
      <c r="A22">
        <v>604</v>
      </c>
      <c r="B22" s="1">
        <f>logtemperature[[#This Row],[Time]]/60-7</f>
        <v>3.0666666666666664</v>
      </c>
      <c r="C22">
        <v>43.41</v>
      </c>
    </row>
    <row r="23" spans="1:3" x14ac:dyDescent="0.25">
      <c r="A23">
        <v>615</v>
      </c>
      <c r="B23" s="1">
        <f>logtemperature[[#This Row],[Time]]/60-7</f>
        <v>3.25</v>
      </c>
      <c r="C23">
        <v>43.74</v>
      </c>
    </row>
    <row r="24" spans="1:3" x14ac:dyDescent="0.25">
      <c r="A24">
        <v>625</v>
      </c>
      <c r="B24" s="1">
        <f>logtemperature[[#This Row],[Time]]/60-7</f>
        <v>3.4166666666666661</v>
      </c>
      <c r="C24">
        <v>43.98</v>
      </c>
    </row>
    <row r="25" spans="1:3" x14ac:dyDescent="0.25">
      <c r="A25">
        <v>636</v>
      </c>
      <c r="B25" s="1">
        <f>logtemperature[[#This Row],[Time]]/60-7</f>
        <v>3.5999999999999996</v>
      </c>
      <c r="C25">
        <v>44.89</v>
      </c>
    </row>
    <row r="26" spans="1:3" x14ac:dyDescent="0.25">
      <c r="A26">
        <v>646</v>
      </c>
      <c r="B26" s="1">
        <f>logtemperature[[#This Row],[Time]]/60-7</f>
        <v>3.7666666666666675</v>
      </c>
      <c r="C26">
        <v>45.47</v>
      </c>
    </row>
    <row r="27" spans="1:3" x14ac:dyDescent="0.25">
      <c r="A27">
        <v>656</v>
      </c>
      <c r="B27" s="1">
        <f>logtemperature[[#This Row],[Time]]/60-7</f>
        <v>3.9333333333333336</v>
      </c>
      <c r="C27">
        <v>46.48</v>
      </c>
    </row>
    <row r="28" spans="1:3" x14ac:dyDescent="0.25">
      <c r="A28">
        <v>667</v>
      </c>
      <c r="B28" s="1">
        <f>logtemperature[[#This Row],[Time]]/60-7</f>
        <v>4.1166666666666671</v>
      </c>
      <c r="C28">
        <v>48.74</v>
      </c>
    </row>
    <row r="29" spans="1:3" x14ac:dyDescent="0.25">
      <c r="A29">
        <v>677</v>
      </c>
      <c r="B29" s="1">
        <f>logtemperature[[#This Row],[Time]]/60-7</f>
        <v>4.2833333333333332</v>
      </c>
      <c r="C29">
        <v>48.48</v>
      </c>
    </row>
    <row r="30" spans="1:3" x14ac:dyDescent="0.25">
      <c r="A30">
        <v>687</v>
      </c>
      <c r="B30" s="1">
        <f>logtemperature[[#This Row],[Time]]/60-7</f>
        <v>4.4499999999999993</v>
      </c>
      <c r="C30">
        <v>49.43</v>
      </c>
    </row>
    <row r="31" spans="1:3" x14ac:dyDescent="0.25">
      <c r="A31">
        <v>697</v>
      </c>
      <c r="B31" s="1">
        <f>logtemperature[[#This Row],[Time]]/60-7</f>
        <v>4.6166666666666671</v>
      </c>
      <c r="C31">
        <v>49.43</v>
      </c>
    </row>
    <row r="32" spans="1:3" x14ac:dyDescent="0.25">
      <c r="A32">
        <v>707</v>
      </c>
      <c r="B32" s="1">
        <f>logtemperature[[#This Row],[Time]]/60-7</f>
        <v>4.7833333333333332</v>
      </c>
      <c r="C32">
        <v>49.34</v>
      </c>
    </row>
    <row r="33" spans="1:3" x14ac:dyDescent="0.25">
      <c r="A33">
        <v>718</v>
      </c>
      <c r="B33" s="1">
        <f>logtemperature[[#This Row],[Time]]/60-7</f>
        <v>4.9666666666666668</v>
      </c>
      <c r="C33">
        <v>50.58</v>
      </c>
    </row>
    <row r="34" spans="1:3" x14ac:dyDescent="0.25">
      <c r="A34">
        <v>728</v>
      </c>
      <c r="B34" s="1">
        <f>logtemperature[[#This Row],[Time]]/60-7</f>
        <v>5.1333333333333329</v>
      </c>
      <c r="C34">
        <v>51.09</v>
      </c>
    </row>
    <row r="35" spans="1:3" x14ac:dyDescent="0.25">
      <c r="A35">
        <v>739</v>
      </c>
      <c r="B35" s="1">
        <f>logtemperature[[#This Row],[Time]]/60-7</f>
        <v>5.3166666666666664</v>
      </c>
      <c r="C35">
        <v>51.02</v>
      </c>
    </row>
    <row r="36" spans="1:3" x14ac:dyDescent="0.25">
      <c r="A36">
        <v>749</v>
      </c>
      <c r="B36" s="1">
        <f>logtemperature[[#This Row],[Time]]/60-7</f>
        <v>5.4833333333333325</v>
      </c>
      <c r="C36">
        <v>51.53</v>
      </c>
    </row>
    <row r="37" spans="1:3" x14ac:dyDescent="0.25">
      <c r="A37">
        <v>759</v>
      </c>
      <c r="B37" s="1">
        <f>logtemperature[[#This Row],[Time]]/60-7</f>
        <v>5.65</v>
      </c>
      <c r="C37">
        <v>51.97</v>
      </c>
    </row>
    <row r="38" spans="1:3" x14ac:dyDescent="0.25">
      <c r="A38">
        <v>770</v>
      </c>
      <c r="B38" s="1">
        <f>logtemperature[[#This Row],[Time]]/60-7</f>
        <v>5.8333333333333339</v>
      </c>
      <c r="C38">
        <v>52.66</v>
      </c>
    </row>
    <row r="39" spans="1:3" x14ac:dyDescent="0.25">
      <c r="A39">
        <v>780</v>
      </c>
      <c r="B39" s="1">
        <f>logtemperature[[#This Row],[Time]]/60-7</f>
        <v>6</v>
      </c>
      <c r="C39">
        <v>52.45</v>
      </c>
    </row>
    <row r="40" spans="1:3" x14ac:dyDescent="0.25">
      <c r="A40">
        <v>790</v>
      </c>
      <c r="B40" s="1">
        <f>logtemperature[[#This Row],[Time]]/60-7</f>
        <v>6.1666666666666661</v>
      </c>
      <c r="C40">
        <v>52.46</v>
      </c>
    </row>
    <row r="41" spans="1:3" x14ac:dyDescent="0.25">
      <c r="A41">
        <v>800</v>
      </c>
      <c r="B41" s="1">
        <f>logtemperature[[#This Row],[Time]]/60-7</f>
        <v>6.3333333333333339</v>
      </c>
      <c r="C41">
        <v>53.1</v>
      </c>
    </row>
    <row r="42" spans="1:3" x14ac:dyDescent="0.25">
      <c r="A42">
        <v>810</v>
      </c>
      <c r="B42" s="1">
        <f>logtemperature[[#This Row],[Time]]/60-7</f>
        <v>6.5</v>
      </c>
      <c r="C42">
        <v>54.03</v>
      </c>
    </row>
    <row r="43" spans="1:3" x14ac:dyDescent="0.25">
      <c r="A43">
        <v>820</v>
      </c>
      <c r="B43" s="1">
        <f>logtemperature[[#This Row],[Time]]/60-7</f>
        <v>6.6666666666666661</v>
      </c>
      <c r="C43">
        <v>54.72</v>
      </c>
    </row>
    <row r="44" spans="1:3" x14ac:dyDescent="0.25">
      <c r="A44">
        <v>830</v>
      </c>
      <c r="B44" s="1">
        <f>logtemperature[[#This Row],[Time]]/60-7</f>
        <v>6.8333333333333339</v>
      </c>
      <c r="C44">
        <v>55.08</v>
      </c>
    </row>
    <row r="45" spans="1:3" x14ac:dyDescent="0.25">
      <c r="A45">
        <v>840</v>
      </c>
      <c r="B45" s="1">
        <f>logtemperature[[#This Row],[Time]]/60-7</f>
        <v>7</v>
      </c>
      <c r="C45">
        <v>54.65</v>
      </c>
    </row>
    <row r="46" spans="1:3" x14ac:dyDescent="0.25">
      <c r="A46">
        <v>851</v>
      </c>
      <c r="B46" s="1">
        <f>logtemperature[[#This Row],[Time]]/60-7</f>
        <v>7.1833333333333336</v>
      </c>
      <c r="C46">
        <v>55.09</v>
      </c>
    </row>
    <row r="47" spans="1:3" x14ac:dyDescent="0.25">
      <c r="A47">
        <v>861</v>
      </c>
      <c r="B47" s="1">
        <f>logtemperature[[#This Row],[Time]]/60-7</f>
        <v>7.35</v>
      </c>
      <c r="C47">
        <v>54.7</v>
      </c>
    </row>
    <row r="48" spans="1:3" x14ac:dyDescent="0.25">
      <c r="A48">
        <v>872</v>
      </c>
      <c r="B48" s="1">
        <f>logtemperature[[#This Row],[Time]]/60-7</f>
        <v>7.5333333333333332</v>
      </c>
      <c r="C48">
        <v>54.23</v>
      </c>
    </row>
    <row r="49" spans="1:3" x14ac:dyDescent="0.25">
      <c r="A49">
        <v>882</v>
      </c>
      <c r="B49" s="1">
        <f>logtemperature[[#This Row],[Time]]/60-7</f>
        <v>7.6999999999999993</v>
      </c>
      <c r="C49">
        <v>54.1</v>
      </c>
    </row>
    <row r="50" spans="1:3" x14ac:dyDescent="0.25">
      <c r="A50">
        <v>892</v>
      </c>
      <c r="B50" s="1">
        <f>logtemperature[[#This Row],[Time]]/60-7</f>
        <v>7.8666666666666671</v>
      </c>
      <c r="C50">
        <v>54.69</v>
      </c>
    </row>
    <row r="51" spans="1:3" x14ac:dyDescent="0.25">
      <c r="A51">
        <v>903</v>
      </c>
      <c r="B51" s="1">
        <f>logtemperature[[#This Row],[Time]]/60-7</f>
        <v>8.0500000000000007</v>
      </c>
      <c r="C51">
        <v>55.36</v>
      </c>
    </row>
    <row r="52" spans="1:3" x14ac:dyDescent="0.25">
      <c r="A52">
        <v>913</v>
      </c>
      <c r="B52" s="1">
        <f>logtemperature[[#This Row],[Time]]/60-7</f>
        <v>8.2166666666666668</v>
      </c>
      <c r="C52">
        <v>55.99</v>
      </c>
    </row>
    <row r="53" spans="1:3" x14ac:dyDescent="0.25">
      <c r="A53">
        <v>923</v>
      </c>
      <c r="B53" s="1">
        <f>logtemperature[[#This Row],[Time]]/60-7</f>
        <v>8.3833333333333329</v>
      </c>
      <c r="C53">
        <v>57.18</v>
      </c>
    </row>
    <row r="54" spans="1:3" x14ac:dyDescent="0.25">
      <c r="A54">
        <v>933</v>
      </c>
      <c r="B54" s="1">
        <f>logtemperature[[#This Row],[Time]]/60-7</f>
        <v>8.5500000000000007</v>
      </c>
      <c r="C54">
        <v>56.81</v>
      </c>
    </row>
    <row r="55" spans="1:3" x14ac:dyDescent="0.25">
      <c r="A55">
        <v>944</v>
      </c>
      <c r="B55" s="1">
        <f>logtemperature[[#This Row],[Time]]/60-7</f>
        <v>8.7333333333333325</v>
      </c>
      <c r="C55">
        <v>56.39</v>
      </c>
    </row>
    <row r="56" spans="1:3" x14ac:dyDescent="0.25">
      <c r="A56">
        <v>954</v>
      </c>
      <c r="B56" s="1">
        <f>logtemperature[[#This Row],[Time]]/60-7</f>
        <v>8.9</v>
      </c>
      <c r="C56">
        <v>56.41</v>
      </c>
    </row>
    <row r="57" spans="1:3" x14ac:dyDescent="0.25">
      <c r="A57">
        <v>964</v>
      </c>
      <c r="B57" s="1">
        <f>logtemperature[[#This Row],[Time]]/60-7</f>
        <v>9.0666666666666664</v>
      </c>
      <c r="C57">
        <v>56.5</v>
      </c>
    </row>
    <row r="58" spans="1:3" x14ac:dyDescent="0.25">
      <c r="A58">
        <v>974</v>
      </c>
      <c r="B58" s="1">
        <f>logtemperature[[#This Row],[Time]]/60-7</f>
        <v>9.2333333333333343</v>
      </c>
      <c r="C58">
        <v>57.25</v>
      </c>
    </row>
    <row r="59" spans="1:3" x14ac:dyDescent="0.25">
      <c r="A59">
        <v>984</v>
      </c>
      <c r="B59" s="1">
        <f>logtemperature[[#This Row],[Time]]/60-7</f>
        <v>9.3999999999999986</v>
      </c>
      <c r="C59">
        <v>57.32</v>
      </c>
    </row>
    <row r="60" spans="1:3" x14ac:dyDescent="0.25">
      <c r="A60">
        <v>994</v>
      </c>
      <c r="B60" s="1">
        <f>logtemperature[[#This Row],[Time]]/60-7</f>
        <v>9.5666666666666664</v>
      </c>
      <c r="C60">
        <v>58.33</v>
      </c>
    </row>
    <row r="61" spans="1:3" x14ac:dyDescent="0.25">
      <c r="A61">
        <v>1004</v>
      </c>
      <c r="B61" s="1">
        <f>logtemperature[[#This Row],[Time]]/60-7</f>
        <v>9.7333333333333343</v>
      </c>
      <c r="C61">
        <v>59.09</v>
      </c>
    </row>
    <row r="62" spans="1:3" x14ac:dyDescent="0.25">
      <c r="A62">
        <v>1014</v>
      </c>
      <c r="B62" s="1">
        <f>logtemperature[[#This Row],[Time]]/60-7</f>
        <v>9.8999999999999986</v>
      </c>
      <c r="C62">
        <v>58.98</v>
      </c>
    </row>
    <row r="63" spans="1:3" x14ac:dyDescent="0.25">
      <c r="A63">
        <v>1024</v>
      </c>
      <c r="B63" s="1">
        <f>logtemperature[[#This Row],[Time]]/60-7</f>
        <v>10.066666666666666</v>
      </c>
      <c r="C63">
        <v>58.7</v>
      </c>
    </row>
    <row r="64" spans="1:3" x14ac:dyDescent="0.25">
      <c r="A64">
        <v>1034</v>
      </c>
      <c r="B64" s="1">
        <f>logtemperature[[#This Row],[Time]]/60-7</f>
        <v>10.233333333333334</v>
      </c>
      <c r="C64">
        <v>59.88</v>
      </c>
    </row>
    <row r="65" spans="1:3" x14ac:dyDescent="0.25">
      <c r="A65">
        <v>1045</v>
      </c>
      <c r="B65" s="1">
        <f>logtemperature[[#This Row],[Time]]/60-7</f>
        <v>10.416666666666668</v>
      </c>
      <c r="C65">
        <v>59.4</v>
      </c>
    </row>
    <row r="66" spans="1:3" x14ac:dyDescent="0.25">
      <c r="A66">
        <v>1055</v>
      </c>
      <c r="B66" s="1">
        <f>logtemperature[[#This Row],[Time]]/60-7</f>
        <v>10.583333333333332</v>
      </c>
      <c r="C66">
        <v>58.63</v>
      </c>
    </row>
    <row r="67" spans="1:3" x14ac:dyDescent="0.25">
      <c r="A67">
        <v>1065</v>
      </c>
      <c r="B67" s="1">
        <f>logtemperature[[#This Row],[Time]]/60-7</f>
        <v>10.75</v>
      </c>
      <c r="C67">
        <v>59.36</v>
      </c>
    </row>
    <row r="68" spans="1:3" x14ac:dyDescent="0.25">
      <c r="A68">
        <v>1075</v>
      </c>
      <c r="B68" s="1">
        <f>logtemperature[[#This Row],[Time]]/60-7</f>
        <v>10.916666666666668</v>
      </c>
      <c r="C68">
        <v>59.41</v>
      </c>
    </row>
    <row r="69" spans="1:3" x14ac:dyDescent="0.25">
      <c r="A69">
        <v>1086</v>
      </c>
      <c r="B69" s="1">
        <f>logtemperature[[#This Row],[Time]]/60-7</f>
        <v>11.100000000000001</v>
      </c>
      <c r="C69">
        <v>59.58</v>
      </c>
    </row>
    <row r="70" spans="1:3" x14ac:dyDescent="0.25">
      <c r="A70">
        <v>1096</v>
      </c>
      <c r="B70" s="1">
        <f>logtemperature[[#This Row],[Time]]/60-7</f>
        <v>11.266666666666666</v>
      </c>
      <c r="C70">
        <v>60.01</v>
      </c>
    </row>
    <row r="71" spans="1:3" x14ac:dyDescent="0.25">
      <c r="A71">
        <v>1106</v>
      </c>
      <c r="B71" s="1">
        <f>logtemperature[[#This Row],[Time]]/60-7</f>
        <v>11.433333333333334</v>
      </c>
      <c r="C71">
        <v>60.4</v>
      </c>
    </row>
    <row r="72" spans="1:3" x14ac:dyDescent="0.25">
      <c r="A72">
        <v>1116</v>
      </c>
      <c r="B72" s="1">
        <f>logtemperature[[#This Row],[Time]]/60-7</f>
        <v>11.600000000000001</v>
      </c>
      <c r="C72">
        <v>60.78</v>
      </c>
    </row>
    <row r="73" spans="1:3" x14ac:dyDescent="0.25">
      <c r="A73">
        <v>1126</v>
      </c>
      <c r="B73" s="1">
        <f>logtemperature[[#This Row],[Time]]/60-7</f>
        <v>11.766666666666666</v>
      </c>
      <c r="C73">
        <v>61.55</v>
      </c>
    </row>
    <row r="74" spans="1:3" x14ac:dyDescent="0.25">
      <c r="A74">
        <v>1137</v>
      </c>
      <c r="B74" s="1">
        <f>logtemperature[[#This Row],[Time]]/60-7</f>
        <v>11.95</v>
      </c>
      <c r="C74">
        <v>61.78</v>
      </c>
    </row>
    <row r="75" spans="1:3" x14ac:dyDescent="0.25">
      <c r="A75">
        <v>1147</v>
      </c>
      <c r="B75" s="1">
        <f>logtemperature[[#This Row],[Time]]/60-7</f>
        <v>12.116666666666667</v>
      </c>
      <c r="C75">
        <v>60.87</v>
      </c>
    </row>
    <row r="76" spans="1:3" x14ac:dyDescent="0.25">
      <c r="A76">
        <v>1157</v>
      </c>
      <c r="B76" s="1">
        <f>logtemperature[[#This Row],[Time]]/60-7</f>
        <v>12.283333333333335</v>
      </c>
      <c r="C76">
        <v>59.49</v>
      </c>
    </row>
    <row r="77" spans="1:3" x14ac:dyDescent="0.25">
      <c r="A77">
        <v>1167</v>
      </c>
      <c r="B77" s="1">
        <f>logtemperature[[#This Row],[Time]]/60-7</f>
        <v>12.45</v>
      </c>
      <c r="C77">
        <v>59.73</v>
      </c>
    </row>
    <row r="78" spans="1:3" x14ac:dyDescent="0.25">
      <c r="A78">
        <v>1178</v>
      </c>
      <c r="B78" s="1">
        <f>logtemperature[[#This Row],[Time]]/60-7</f>
        <v>12.633333333333333</v>
      </c>
      <c r="C78">
        <v>59.97</v>
      </c>
    </row>
    <row r="79" spans="1:3" x14ac:dyDescent="0.25">
      <c r="A79">
        <v>1188</v>
      </c>
      <c r="B79" s="1">
        <f>logtemperature[[#This Row],[Time]]/60-7</f>
        <v>12.8</v>
      </c>
      <c r="C79">
        <v>60.51</v>
      </c>
    </row>
    <row r="80" spans="1:3" x14ac:dyDescent="0.25">
      <c r="A80">
        <v>1198</v>
      </c>
      <c r="B80" s="1">
        <f>logtemperature[[#This Row],[Time]]/60-7</f>
        <v>12.966666666666665</v>
      </c>
      <c r="C80">
        <v>60.46</v>
      </c>
    </row>
    <row r="81" spans="1:3" x14ac:dyDescent="0.25">
      <c r="A81">
        <v>1208</v>
      </c>
      <c r="B81" s="1">
        <f>logtemperature[[#This Row],[Time]]/60-7</f>
        <v>13.133333333333333</v>
      </c>
      <c r="C81">
        <v>61.82</v>
      </c>
    </row>
    <row r="82" spans="1:3" x14ac:dyDescent="0.25">
      <c r="A82">
        <v>1218</v>
      </c>
      <c r="B82" s="1">
        <f>logtemperature[[#This Row],[Time]]/60-7</f>
        <v>13.3</v>
      </c>
      <c r="C82">
        <v>61.83</v>
      </c>
    </row>
    <row r="83" spans="1:3" x14ac:dyDescent="0.25">
      <c r="A83">
        <v>1228</v>
      </c>
      <c r="B83" s="1">
        <f>logtemperature[[#This Row],[Time]]/60-7</f>
        <v>13.466666666666665</v>
      </c>
      <c r="C83">
        <v>61.73</v>
      </c>
    </row>
    <row r="84" spans="1:3" x14ac:dyDescent="0.25">
      <c r="A84">
        <v>1238</v>
      </c>
      <c r="B84" s="1">
        <f>logtemperature[[#This Row],[Time]]/60-7</f>
        <v>13.633333333333333</v>
      </c>
      <c r="C84">
        <v>62.03</v>
      </c>
    </row>
    <row r="85" spans="1:3" x14ac:dyDescent="0.25">
      <c r="A85">
        <v>1249</v>
      </c>
      <c r="B85" s="1">
        <f>logtemperature[[#This Row],[Time]]/60-7</f>
        <v>13.816666666666666</v>
      </c>
      <c r="C85">
        <v>62.78</v>
      </c>
    </row>
    <row r="86" spans="1:3" x14ac:dyDescent="0.25">
      <c r="A86">
        <v>1259</v>
      </c>
      <c r="B86" s="1">
        <f>logtemperature[[#This Row],[Time]]/60-7</f>
        <v>13.983333333333334</v>
      </c>
      <c r="C86">
        <v>63.32</v>
      </c>
    </row>
    <row r="87" spans="1:3" x14ac:dyDescent="0.25">
      <c r="A87">
        <v>1269</v>
      </c>
      <c r="B87" s="1">
        <f>logtemperature[[#This Row],[Time]]/60-7</f>
        <v>14.149999999999999</v>
      </c>
      <c r="C87">
        <v>62.55</v>
      </c>
    </row>
    <row r="88" spans="1:3" x14ac:dyDescent="0.25">
      <c r="A88">
        <v>1279</v>
      </c>
      <c r="B88" s="1">
        <f>logtemperature[[#This Row],[Time]]/60-7</f>
        <v>14.316666666666666</v>
      </c>
      <c r="C88">
        <v>62.23</v>
      </c>
    </row>
    <row r="89" spans="1:3" x14ac:dyDescent="0.25">
      <c r="A89">
        <v>1289</v>
      </c>
      <c r="B89" s="1">
        <f>logtemperature[[#This Row],[Time]]/60-7</f>
        <v>14.483333333333334</v>
      </c>
      <c r="C89">
        <v>62.3</v>
      </c>
    </row>
    <row r="90" spans="1:3" x14ac:dyDescent="0.25">
      <c r="A90">
        <v>1299</v>
      </c>
      <c r="B90" s="1">
        <f>logtemperature[[#This Row],[Time]]/60-7</f>
        <v>14.649999999999999</v>
      </c>
      <c r="C90">
        <v>62.76</v>
      </c>
    </row>
    <row r="91" spans="1:3" x14ac:dyDescent="0.25">
      <c r="A91">
        <v>1309</v>
      </c>
      <c r="B91" s="1">
        <f>logtemperature[[#This Row],[Time]]/60-7</f>
        <v>14.816666666666666</v>
      </c>
      <c r="C91">
        <v>63.6</v>
      </c>
    </row>
    <row r="92" spans="1:3" x14ac:dyDescent="0.25">
      <c r="A92">
        <v>1320</v>
      </c>
      <c r="B92" s="1">
        <f>logtemperature[[#This Row],[Time]]/60-7</f>
        <v>15</v>
      </c>
      <c r="C92">
        <v>64.209999999999994</v>
      </c>
    </row>
    <row r="93" spans="1:3" x14ac:dyDescent="0.25">
      <c r="A93">
        <v>1330</v>
      </c>
      <c r="B93" s="1">
        <f>logtemperature[[#This Row],[Time]]/60-7</f>
        <v>15.166666666666668</v>
      </c>
      <c r="C93">
        <v>64.709999999999994</v>
      </c>
    </row>
    <row r="94" spans="1:3" x14ac:dyDescent="0.25">
      <c r="A94">
        <v>1340</v>
      </c>
      <c r="B94" s="1">
        <f>logtemperature[[#This Row],[Time]]/60-7</f>
        <v>15.333333333333332</v>
      </c>
      <c r="C94">
        <v>64.08</v>
      </c>
    </row>
    <row r="95" spans="1:3" x14ac:dyDescent="0.25">
      <c r="A95">
        <v>1350</v>
      </c>
      <c r="B95" s="1">
        <f>logtemperature[[#This Row],[Time]]/60-7</f>
        <v>15.5</v>
      </c>
      <c r="C95">
        <v>64.209999999999994</v>
      </c>
    </row>
    <row r="96" spans="1:3" x14ac:dyDescent="0.25">
      <c r="A96">
        <v>1360</v>
      </c>
      <c r="B96" s="1">
        <f>logtemperature[[#This Row],[Time]]/60-7</f>
        <v>15.666666666666668</v>
      </c>
      <c r="C96">
        <v>64.22</v>
      </c>
    </row>
    <row r="97" spans="1:3" x14ac:dyDescent="0.25">
      <c r="A97">
        <v>1371</v>
      </c>
      <c r="B97" s="1">
        <f>logtemperature[[#This Row],[Time]]/60-7</f>
        <v>15.850000000000001</v>
      </c>
      <c r="C97">
        <v>64.36</v>
      </c>
    </row>
    <row r="98" spans="1:3" x14ac:dyDescent="0.25">
      <c r="A98">
        <v>1381</v>
      </c>
      <c r="B98" s="1">
        <f>logtemperature[[#This Row],[Time]]/60-7</f>
        <v>16.016666666666666</v>
      </c>
      <c r="C98">
        <v>63.34</v>
      </c>
    </row>
    <row r="99" spans="1:3" x14ac:dyDescent="0.25">
      <c r="A99">
        <v>1391</v>
      </c>
      <c r="B99" s="1">
        <f>logtemperature[[#This Row],[Time]]/60-7</f>
        <v>16.183333333333334</v>
      </c>
      <c r="C99">
        <v>64.069999999999993</v>
      </c>
    </row>
    <row r="100" spans="1:3" x14ac:dyDescent="0.25">
      <c r="A100">
        <v>1401</v>
      </c>
      <c r="B100" s="1">
        <f>logtemperature[[#This Row],[Time]]/60-7</f>
        <v>16.350000000000001</v>
      </c>
      <c r="C100">
        <v>64.23</v>
      </c>
    </row>
    <row r="101" spans="1:3" x14ac:dyDescent="0.25">
      <c r="A101">
        <v>1411</v>
      </c>
      <c r="B101" s="1">
        <f>logtemperature[[#This Row],[Time]]/60-7</f>
        <v>16.516666666666666</v>
      </c>
      <c r="C101">
        <v>64.75</v>
      </c>
    </row>
    <row r="102" spans="1:3" x14ac:dyDescent="0.25">
      <c r="A102">
        <v>1422</v>
      </c>
      <c r="B102" s="1">
        <f>logtemperature[[#This Row],[Time]]/60-7</f>
        <v>16.7</v>
      </c>
      <c r="C102">
        <v>65.91</v>
      </c>
    </row>
    <row r="103" spans="1:3" x14ac:dyDescent="0.25">
      <c r="A103">
        <v>1432</v>
      </c>
      <c r="B103" s="1">
        <f>logtemperature[[#This Row],[Time]]/60-7</f>
        <v>16.866666666666667</v>
      </c>
      <c r="C103">
        <v>65.62</v>
      </c>
    </row>
    <row r="104" spans="1:3" x14ac:dyDescent="0.25">
      <c r="A104">
        <v>1442</v>
      </c>
      <c r="B104" s="1">
        <f>logtemperature[[#This Row],[Time]]/60-7</f>
        <v>17.033333333333335</v>
      </c>
      <c r="C104">
        <v>65.790000000000006</v>
      </c>
    </row>
    <row r="105" spans="1:3" x14ac:dyDescent="0.25">
      <c r="A105">
        <v>1452</v>
      </c>
      <c r="B105" s="1">
        <f>logtemperature[[#This Row],[Time]]/60-7</f>
        <v>17.2</v>
      </c>
      <c r="C105">
        <v>66.19</v>
      </c>
    </row>
    <row r="106" spans="1:3" x14ac:dyDescent="0.25">
      <c r="A106">
        <v>1462</v>
      </c>
      <c r="B106" s="1">
        <f>logtemperature[[#This Row],[Time]]/60-7</f>
        <v>17.366666666666667</v>
      </c>
      <c r="C106">
        <v>65.569999999999993</v>
      </c>
    </row>
    <row r="107" spans="1:3" x14ac:dyDescent="0.25">
      <c r="A107">
        <v>1472</v>
      </c>
      <c r="B107" s="1">
        <f>logtemperature[[#This Row],[Time]]/60-7</f>
        <v>17.533333333333335</v>
      </c>
      <c r="C107">
        <v>65.150000000000006</v>
      </c>
    </row>
    <row r="108" spans="1:3" x14ac:dyDescent="0.25">
      <c r="A108">
        <v>1483</v>
      </c>
      <c r="B108" s="1">
        <f>logtemperature[[#This Row],[Time]]/60-7</f>
        <v>17.716666666666665</v>
      </c>
      <c r="C108">
        <v>65.72</v>
      </c>
    </row>
    <row r="109" spans="1:3" x14ac:dyDescent="0.25">
      <c r="A109">
        <v>1493</v>
      </c>
      <c r="B109" s="1">
        <f>logtemperature[[#This Row],[Time]]/60-7</f>
        <v>17.883333333333333</v>
      </c>
      <c r="C109">
        <v>65.89</v>
      </c>
    </row>
    <row r="110" spans="1:3" x14ac:dyDescent="0.25">
      <c r="A110">
        <v>1503</v>
      </c>
      <c r="B110" s="1">
        <f>logtemperature[[#This Row],[Time]]/60-7</f>
        <v>18.05</v>
      </c>
      <c r="C110">
        <v>66.349999999999994</v>
      </c>
    </row>
    <row r="111" spans="1:3" x14ac:dyDescent="0.25">
      <c r="A111">
        <v>1513</v>
      </c>
      <c r="B111" s="1">
        <f>logtemperature[[#This Row],[Time]]/60-7</f>
        <v>18.216666666666665</v>
      </c>
      <c r="C111">
        <v>66.23</v>
      </c>
    </row>
    <row r="112" spans="1:3" x14ac:dyDescent="0.25">
      <c r="A112">
        <v>1524</v>
      </c>
      <c r="B112" s="1">
        <f>logtemperature[[#This Row],[Time]]/60-7</f>
        <v>18.399999999999999</v>
      </c>
      <c r="C112">
        <v>66.180000000000007</v>
      </c>
    </row>
    <row r="113" spans="1:3" x14ac:dyDescent="0.25">
      <c r="A113">
        <v>1534</v>
      </c>
      <c r="B113" s="1">
        <f>logtemperature[[#This Row],[Time]]/60-7</f>
        <v>18.566666666666666</v>
      </c>
      <c r="C113">
        <v>67.42</v>
      </c>
    </row>
    <row r="114" spans="1:3" x14ac:dyDescent="0.25">
      <c r="A114">
        <v>1544</v>
      </c>
      <c r="B114" s="1">
        <f>logtemperature[[#This Row],[Time]]/60-7</f>
        <v>18.733333333333334</v>
      </c>
      <c r="C114">
        <v>67.400000000000006</v>
      </c>
    </row>
    <row r="115" spans="1:3" x14ac:dyDescent="0.25">
      <c r="A115">
        <v>1554</v>
      </c>
      <c r="B115" s="1">
        <f>logtemperature[[#This Row],[Time]]/60-7</f>
        <v>18.899999999999999</v>
      </c>
      <c r="C115">
        <v>68.099999999999994</v>
      </c>
    </row>
    <row r="116" spans="1:3" x14ac:dyDescent="0.25">
      <c r="A116">
        <v>1564</v>
      </c>
      <c r="B116" s="1">
        <f>logtemperature[[#This Row],[Time]]/60-7</f>
        <v>19.066666666666666</v>
      </c>
      <c r="C116">
        <v>68.099999999999994</v>
      </c>
    </row>
    <row r="117" spans="1:3" x14ac:dyDescent="0.25">
      <c r="A117">
        <v>1575</v>
      </c>
      <c r="B117" s="1">
        <f>logtemperature[[#This Row],[Time]]/60-7</f>
        <v>19.25</v>
      </c>
      <c r="C117">
        <v>68.08</v>
      </c>
    </row>
    <row r="118" spans="1:3" x14ac:dyDescent="0.25">
      <c r="A118">
        <v>1586</v>
      </c>
      <c r="B118" s="1">
        <f>logtemperature[[#This Row],[Time]]/60-7</f>
        <v>19.433333333333334</v>
      </c>
      <c r="C118">
        <v>68.010000000000005</v>
      </c>
    </row>
    <row r="119" spans="1:3" x14ac:dyDescent="0.25">
      <c r="A119">
        <v>1596</v>
      </c>
      <c r="B119" s="1">
        <f>logtemperature[[#This Row],[Time]]/60-7</f>
        <v>19.600000000000001</v>
      </c>
      <c r="C119">
        <v>66.95</v>
      </c>
    </row>
    <row r="120" spans="1:3" x14ac:dyDescent="0.25">
      <c r="A120">
        <v>1606</v>
      </c>
      <c r="B120" s="1">
        <f>logtemperature[[#This Row],[Time]]/60-7</f>
        <v>19.766666666666666</v>
      </c>
      <c r="C120">
        <v>67.349999999999994</v>
      </c>
    </row>
    <row r="121" spans="1:3" x14ac:dyDescent="0.25">
      <c r="A121">
        <v>1616</v>
      </c>
      <c r="B121" s="1">
        <f>logtemperature[[#This Row],[Time]]/60-7</f>
        <v>19.933333333333334</v>
      </c>
      <c r="C121">
        <v>67.489999999999995</v>
      </c>
    </row>
    <row r="122" spans="1:3" x14ac:dyDescent="0.25">
      <c r="A122">
        <v>1626</v>
      </c>
      <c r="B122" s="1">
        <f>logtemperature[[#This Row],[Time]]/60-7</f>
        <v>20.100000000000001</v>
      </c>
      <c r="C122">
        <v>68.069999999999993</v>
      </c>
    </row>
    <row r="123" spans="1:3" x14ac:dyDescent="0.25">
      <c r="A123">
        <v>1637</v>
      </c>
      <c r="B123" s="1">
        <f>logtemperature[[#This Row],[Time]]/60-7</f>
        <v>20.283333333333335</v>
      </c>
      <c r="C123">
        <v>68.349999999999994</v>
      </c>
    </row>
    <row r="124" spans="1:3" x14ac:dyDescent="0.25">
      <c r="A124">
        <v>1647</v>
      </c>
      <c r="B124" s="1">
        <f>logtemperature[[#This Row],[Time]]/60-7</f>
        <v>20.45</v>
      </c>
      <c r="C124">
        <v>69.53</v>
      </c>
    </row>
    <row r="125" spans="1:3" x14ac:dyDescent="0.25">
      <c r="A125">
        <v>1657</v>
      </c>
      <c r="B125" s="1">
        <f>logtemperature[[#This Row],[Time]]/60-7</f>
        <v>20.616666666666667</v>
      </c>
      <c r="C125">
        <v>69.28</v>
      </c>
    </row>
    <row r="126" spans="1:3" x14ac:dyDescent="0.25">
      <c r="A126">
        <v>1669</v>
      </c>
      <c r="B126" s="1">
        <f>logtemperature[[#This Row],[Time]]/60-7</f>
        <v>20.816666666666666</v>
      </c>
      <c r="C126">
        <v>68.599999999999994</v>
      </c>
    </row>
    <row r="127" spans="1:3" x14ac:dyDescent="0.25">
      <c r="A127">
        <v>1679</v>
      </c>
      <c r="B127" s="1">
        <f>logtemperature[[#This Row],[Time]]/60-7</f>
        <v>20.983333333333334</v>
      </c>
      <c r="C127">
        <v>68.47</v>
      </c>
    </row>
    <row r="128" spans="1:3" x14ac:dyDescent="0.25">
      <c r="A128">
        <v>1689</v>
      </c>
      <c r="B128" s="1">
        <f>logtemperature[[#This Row],[Time]]/60-7</f>
        <v>21.15</v>
      </c>
      <c r="C128">
        <v>67.86</v>
      </c>
    </row>
    <row r="129" spans="1:3" x14ac:dyDescent="0.25">
      <c r="A129">
        <v>1699</v>
      </c>
      <c r="B129" s="1">
        <f>logtemperature[[#This Row],[Time]]/60-7</f>
        <v>21.316666666666666</v>
      </c>
      <c r="C129">
        <v>67.44</v>
      </c>
    </row>
    <row r="130" spans="1:3" x14ac:dyDescent="0.25">
      <c r="A130">
        <v>1710</v>
      </c>
      <c r="B130" s="1">
        <f>logtemperature[[#This Row],[Time]]/60-7</f>
        <v>21.5</v>
      </c>
      <c r="C130">
        <v>68.25</v>
      </c>
    </row>
    <row r="131" spans="1:3" x14ac:dyDescent="0.25">
      <c r="A131">
        <v>1720</v>
      </c>
      <c r="B131" s="1">
        <f>logtemperature[[#This Row],[Time]]/60-7</f>
        <v>21.666666666666668</v>
      </c>
      <c r="C131">
        <v>68.59</v>
      </c>
    </row>
    <row r="132" spans="1:3" x14ac:dyDescent="0.25">
      <c r="A132">
        <v>1730</v>
      </c>
      <c r="B132" s="1">
        <f>logtemperature[[#This Row],[Time]]/60-7</f>
        <v>21.833333333333332</v>
      </c>
      <c r="C132">
        <v>68.989999999999995</v>
      </c>
    </row>
    <row r="133" spans="1:3" x14ac:dyDescent="0.25">
      <c r="A133">
        <v>1741</v>
      </c>
      <c r="B133" s="1">
        <f>logtemperature[[#This Row],[Time]]/60-7</f>
        <v>22.016666666666666</v>
      </c>
      <c r="C133">
        <v>69.08</v>
      </c>
    </row>
    <row r="134" spans="1:3" x14ac:dyDescent="0.25">
      <c r="A134">
        <v>1751</v>
      </c>
      <c r="B134" s="1">
        <f>logtemperature[[#This Row],[Time]]/60-7</f>
        <v>22.183333333333334</v>
      </c>
      <c r="C134">
        <v>68.78</v>
      </c>
    </row>
    <row r="135" spans="1:3" x14ac:dyDescent="0.25">
      <c r="A135">
        <v>1761</v>
      </c>
      <c r="B135" s="1">
        <f>logtemperature[[#This Row],[Time]]/60-7</f>
        <v>22.35</v>
      </c>
      <c r="C135">
        <v>69.849999999999994</v>
      </c>
    </row>
    <row r="136" spans="1:3" x14ac:dyDescent="0.25">
      <c r="A136">
        <v>1771</v>
      </c>
      <c r="B136" s="1">
        <f>logtemperature[[#This Row],[Time]]/60-7</f>
        <v>22.516666666666666</v>
      </c>
      <c r="C136">
        <v>69.69</v>
      </c>
    </row>
    <row r="137" spans="1:3" x14ac:dyDescent="0.25">
      <c r="A137">
        <v>1781</v>
      </c>
      <c r="B137" s="1">
        <f>logtemperature[[#This Row],[Time]]/60-7</f>
        <v>22.683333333333334</v>
      </c>
      <c r="C137">
        <v>69.489999999999995</v>
      </c>
    </row>
    <row r="138" spans="1:3" x14ac:dyDescent="0.25">
      <c r="A138">
        <v>1792</v>
      </c>
      <c r="B138" s="1">
        <f>logtemperature[[#This Row],[Time]]/60-7</f>
        <v>22.866666666666667</v>
      </c>
      <c r="C138">
        <v>70.05</v>
      </c>
    </row>
    <row r="139" spans="1:3" x14ac:dyDescent="0.25">
      <c r="A139">
        <v>1802</v>
      </c>
      <c r="B139" s="1">
        <f>logtemperature[[#This Row],[Time]]/60-7</f>
        <v>23.033333333333335</v>
      </c>
      <c r="C139">
        <v>70.09</v>
      </c>
    </row>
    <row r="140" spans="1:3" x14ac:dyDescent="0.25">
      <c r="A140">
        <v>1813</v>
      </c>
      <c r="B140" s="1">
        <f>logtemperature[[#This Row],[Time]]/60-7</f>
        <v>23.216666666666665</v>
      </c>
      <c r="C140">
        <v>69.58</v>
      </c>
    </row>
    <row r="141" spans="1:3" x14ac:dyDescent="0.25">
      <c r="A141">
        <v>1823</v>
      </c>
      <c r="B141" s="1">
        <f>logtemperature[[#This Row],[Time]]/60-7</f>
        <v>23.383333333333333</v>
      </c>
      <c r="C141">
        <v>69.790000000000006</v>
      </c>
    </row>
    <row r="142" spans="1:3" x14ac:dyDescent="0.25">
      <c r="A142">
        <v>1833</v>
      </c>
      <c r="B142" s="1">
        <f>logtemperature[[#This Row],[Time]]/60-7</f>
        <v>23.55</v>
      </c>
      <c r="C142">
        <v>69.569999999999993</v>
      </c>
    </row>
    <row r="143" spans="1:3" x14ac:dyDescent="0.25">
      <c r="A143">
        <v>1843</v>
      </c>
      <c r="B143" s="1">
        <f>logtemperature[[#This Row],[Time]]/60-7</f>
        <v>23.716666666666665</v>
      </c>
      <c r="C143">
        <v>70.3</v>
      </c>
    </row>
    <row r="144" spans="1:3" x14ac:dyDescent="0.25">
      <c r="A144">
        <v>1853</v>
      </c>
      <c r="B144" s="1">
        <f>logtemperature[[#This Row],[Time]]/60-7</f>
        <v>23.883333333333333</v>
      </c>
      <c r="C144">
        <v>70.34</v>
      </c>
    </row>
    <row r="145" spans="1:3" x14ac:dyDescent="0.25">
      <c r="A145">
        <v>1864</v>
      </c>
      <c r="B145" s="1">
        <f>logtemperature[[#This Row],[Time]]/60-7</f>
        <v>24.066666666666666</v>
      </c>
      <c r="C145">
        <v>70.27</v>
      </c>
    </row>
    <row r="146" spans="1:3" x14ac:dyDescent="0.25">
      <c r="A146">
        <v>1874</v>
      </c>
      <c r="B146" s="1">
        <f>logtemperature[[#This Row],[Time]]/60-7</f>
        <v>24.233333333333334</v>
      </c>
      <c r="C146">
        <v>70.349999999999994</v>
      </c>
    </row>
    <row r="147" spans="1:3" x14ac:dyDescent="0.25">
      <c r="A147">
        <v>1884</v>
      </c>
      <c r="B147" s="1">
        <f>logtemperature[[#This Row],[Time]]/60-7</f>
        <v>24.4</v>
      </c>
      <c r="C147">
        <v>70.47</v>
      </c>
    </row>
    <row r="148" spans="1:3" x14ac:dyDescent="0.25">
      <c r="A148">
        <v>1895</v>
      </c>
      <c r="B148" s="1">
        <f>logtemperature[[#This Row],[Time]]/60-7</f>
        <v>24.583333333333332</v>
      </c>
      <c r="C148">
        <v>70.73</v>
      </c>
    </row>
    <row r="149" spans="1:3" x14ac:dyDescent="0.25">
      <c r="A149">
        <v>1905</v>
      </c>
      <c r="B149" s="1">
        <f>logtemperature[[#This Row],[Time]]/60-7</f>
        <v>24.75</v>
      </c>
      <c r="C149">
        <v>70.180000000000007</v>
      </c>
    </row>
    <row r="150" spans="1:3" x14ac:dyDescent="0.25">
      <c r="A150">
        <v>1915</v>
      </c>
      <c r="B150" s="1">
        <f>logtemperature[[#This Row],[Time]]/60-7</f>
        <v>24.916666666666668</v>
      </c>
      <c r="C150">
        <v>70.39</v>
      </c>
    </row>
    <row r="151" spans="1:3" x14ac:dyDescent="0.25">
      <c r="A151">
        <v>1925</v>
      </c>
      <c r="B151" s="1">
        <f>logtemperature[[#This Row],[Time]]/60-7</f>
        <v>25.083333333333336</v>
      </c>
      <c r="C151">
        <v>71.13</v>
      </c>
    </row>
    <row r="152" spans="1:3" x14ac:dyDescent="0.25">
      <c r="A152">
        <v>1936</v>
      </c>
      <c r="B152" s="1">
        <f>logtemperature[[#This Row],[Time]]/60-7</f>
        <v>25.266666666666666</v>
      </c>
      <c r="C152">
        <v>71</v>
      </c>
    </row>
    <row r="153" spans="1:3" x14ac:dyDescent="0.25">
      <c r="A153">
        <v>1947</v>
      </c>
      <c r="B153" s="1">
        <f>logtemperature[[#This Row],[Time]]/60-7</f>
        <v>25.450000000000003</v>
      </c>
      <c r="C153">
        <v>71.069999999999993</v>
      </c>
    </row>
    <row r="154" spans="1:3" x14ac:dyDescent="0.25">
      <c r="A154">
        <v>1958</v>
      </c>
      <c r="B154" s="1">
        <f>logtemperature[[#This Row],[Time]]/60-7</f>
        <v>25.633333333333333</v>
      </c>
      <c r="C154">
        <v>71.400000000000006</v>
      </c>
    </row>
    <row r="155" spans="1:3" x14ac:dyDescent="0.25">
      <c r="A155">
        <v>1968</v>
      </c>
      <c r="B155" s="1">
        <f>logtemperature[[#This Row],[Time]]/60-7</f>
        <v>25.799999999999997</v>
      </c>
      <c r="C155">
        <v>70.959999999999994</v>
      </c>
    </row>
    <row r="156" spans="1:3" x14ac:dyDescent="0.25">
      <c r="A156">
        <v>1979</v>
      </c>
      <c r="B156" s="1">
        <f>logtemperature[[#This Row],[Time]]/60-7</f>
        <v>25.983333333333334</v>
      </c>
      <c r="C156">
        <v>70.930000000000007</v>
      </c>
    </row>
    <row r="157" spans="1:3" x14ac:dyDescent="0.25">
      <c r="A157">
        <v>1989</v>
      </c>
      <c r="B157" s="1">
        <f>logtemperature[[#This Row],[Time]]/60-7</f>
        <v>26.15</v>
      </c>
      <c r="C157">
        <v>72.19</v>
      </c>
    </row>
    <row r="158" spans="1:3" x14ac:dyDescent="0.25">
      <c r="A158">
        <v>1999</v>
      </c>
      <c r="B158" s="1">
        <f>logtemperature[[#This Row],[Time]]/60-7</f>
        <v>26.31666666666667</v>
      </c>
      <c r="C158">
        <v>71.510000000000005</v>
      </c>
    </row>
    <row r="159" spans="1:3" x14ac:dyDescent="0.25">
      <c r="A159">
        <v>2010</v>
      </c>
      <c r="B159" s="1">
        <f>logtemperature[[#This Row],[Time]]/60-7</f>
        <v>26.5</v>
      </c>
      <c r="C159">
        <v>72.239999999999995</v>
      </c>
    </row>
    <row r="160" spans="1:3" x14ac:dyDescent="0.25">
      <c r="A160">
        <v>2020</v>
      </c>
      <c r="B160" s="1">
        <f>logtemperature[[#This Row],[Time]]/60-7</f>
        <v>26.666666666666664</v>
      </c>
      <c r="C160">
        <v>72.33</v>
      </c>
    </row>
    <row r="161" spans="1:3" x14ac:dyDescent="0.25">
      <c r="A161">
        <v>2031</v>
      </c>
      <c r="B161" s="1">
        <f>logtemperature[[#This Row],[Time]]/60-7</f>
        <v>26.85</v>
      </c>
      <c r="C161">
        <v>72.11</v>
      </c>
    </row>
    <row r="162" spans="1:3" x14ac:dyDescent="0.25">
      <c r="A162">
        <v>2041</v>
      </c>
      <c r="B162" s="1">
        <f>logtemperature[[#This Row],[Time]]/60-7</f>
        <v>27.016666666666666</v>
      </c>
      <c r="C162">
        <v>72.069999999999993</v>
      </c>
    </row>
    <row r="163" spans="1:3" x14ac:dyDescent="0.25">
      <c r="A163">
        <v>2052</v>
      </c>
      <c r="B163" s="1">
        <f>logtemperature[[#This Row],[Time]]/60-7</f>
        <v>27.200000000000003</v>
      </c>
      <c r="C163">
        <v>72.739999999999995</v>
      </c>
    </row>
    <row r="164" spans="1:3" x14ac:dyDescent="0.25">
      <c r="A164">
        <v>2062</v>
      </c>
      <c r="B164" s="1">
        <f>logtemperature[[#This Row],[Time]]/60-7</f>
        <v>27.366666666666667</v>
      </c>
      <c r="C164">
        <v>72.52</v>
      </c>
    </row>
    <row r="165" spans="1:3" x14ac:dyDescent="0.25">
      <c r="A165">
        <v>2073</v>
      </c>
      <c r="B165" s="1">
        <f>logtemperature[[#This Row],[Time]]/60-7</f>
        <v>27.549999999999997</v>
      </c>
      <c r="C165">
        <v>72.69</v>
      </c>
    </row>
    <row r="166" spans="1:3" x14ac:dyDescent="0.25">
      <c r="A166">
        <v>2083</v>
      </c>
      <c r="B166" s="1">
        <f>logtemperature[[#This Row],[Time]]/60-7</f>
        <v>27.716666666666669</v>
      </c>
      <c r="C166">
        <v>72.67</v>
      </c>
    </row>
    <row r="167" spans="1:3" x14ac:dyDescent="0.25">
      <c r="A167">
        <v>2093</v>
      </c>
      <c r="B167" s="1">
        <f>logtemperature[[#This Row],[Time]]/60-7</f>
        <v>27.883333333333333</v>
      </c>
      <c r="C167">
        <v>72.39</v>
      </c>
    </row>
    <row r="168" spans="1:3" x14ac:dyDescent="0.25">
      <c r="A168">
        <v>2104</v>
      </c>
      <c r="B168" s="1">
        <f>logtemperature[[#This Row],[Time]]/60-7</f>
        <v>28.06666666666667</v>
      </c>
      <c r="C168">
        <v>73.05</v>
      </c>
    </row>
    <row r="169" spans="1:3" x14ac:dyDescent="0.25">
      <c r="A169">
        <v>2115</v>
      </c>
      <c r="B169" s="1">
        <f>logtemperature[[#This Row],[Time]]/60-7</f>
        <v>28.25</v>
      </c>
      <c r="C169">
        <v>72.819999999999993</v>
      </c>
    </row>
    <row r="170" spans="1:3" x14ac:dyDescent="0.25">
      <c r="A170">
        <v>2125</v>
      </c>
      <c r="B170" s="1">
        <f>logtemperature[[#This Row],[Time]]/60-7</f>
        <v>28.416666666666664</v>
      </c>
      <c r="C170">
        <v>72.58</v>
      </c>
    </row>
    <row r="171" spans="1:3" x14ac:dyDescent="0.25">
      <c r="A171">
        <v>2135</v>
      </c>
      <c r="B171" s="1">
        <f>logtemperature[[#This Row],[Time]]/60-7</f>
        <v>28.583333333333336</v>
      </c>
      <c r="C171">
        <v>72.239999999999995</v>
      </c>
    </row>
    <row r="172" spans="1:3" x14ac:dyDescent="0.25">
      <c r="A172">
        <v>2145</v>
      </c>
      <c r="B172" s="1">
        <f>logtemperature[[#This Row],[Time]]/60-7</f>
        <v>28.75</v>
      </c>
      <c r="C172">
        <v>73.22</v>
      </c>
    </row>
    <row r="173" spans="1:3" x14ac:dyDescent="0.25">
      <c r="A173">
        <v>2156</v>
      </c>
      <c r="B173" s="1">
        <f>logtemperature[[#This Row],[Time]]/60-7</f>
        <v>28.93333333333333</v>
      </c>
      <c r="C173">
        <v>72.91</v>
      </c>
    </row>
    <row r="174" spans="1:3" x14ac:dyDescent="0.25">
      <c r="A174">
        <v>2166</v>
      </c>
      <c r="B174" s="1">
        <f>logtemperature[[#This Row],[Time]]/60-7</f>
        <v>29.1</v>
      </c>
      <c r="C174">
        <v>73.239999999999995</v>
      </c>
    </row>
    <row r="175" spans="1:3" x14ac:dyDescent="0.25">
      <c r="A175">
        <v>2176</v>
      </c>
      <c r="B175" s="1">
        <f>logtemperature[[#This Row],[Time]]/60-7</f>
        <v>29.266666666666666</v>
      </c>
      <c r="C175">
        <v>73.069999999999993</v>
      </c>
    </row>
    <row r="176" spans="1:3" x14ac:dyDescent="0.25">
      <c r="A176">
        <v>2186</v>
      </c>
      <c r="B176" s="1">
        <f>logtemperature[[#This Row],[Time]]/60-7</f>
        <v>29.43333333333333</v>
      </c>
      <c r="C176">
        <v>73.25</v>
      </c>
    </row>
    <row r="177" spans="1:3" x14ac:dyDescent="0.25">
      <c r="A177">
        <v>2196</v>
      </c>
      <c r="B177" s="1">
        <f>logtemperature[[#This Row],[Time]]/60-7</f>
        <v>29.6</v>
      </c>
      <c r="C177">
        <v>73.44</v>
      </c>
    </row>
    <row r="178" spans="1:3" x14ac:dyDescent="0.25">
      <c r="A178">
        <v>2207</v>
      </c>
      <c r="B178" s="1">
        <f>logtemperature[[#This Row],[Time]]/60-7</f>
        <v>29.783333333333331</v>
      </c>
      <c r="C178">
        <v>72.67</v>
      </c>
    </row>
    <row r="179" spans="1:3" x14ac:dyDescent="0.25">
      <c r="A179">
        <v>2217</v>
      </c>
      <c r="B179" s="1">
        <f>logtemperature[[#This Row],[Time]]/60-7</f>
        <v>29.950000000000003</v>
      </c>
      <c r="C179">
        <v>73.81</v>
      </c>
    </row>
    <row r="180" spans="1:3" x14ac:dyDescent="0.25">
      <c r="A180">
        <v>2227</v>
      </c>
      <c r="B180" s="1">
        <f>logtemperature[[#This Row],[Time]]/60-7</f>
        <v>30.116666666666667</v>
      </c>
      <c r="C180">
        <v>73.48</v>
      </c>
    </row>
    <row r="181" spans="1:3" x14ac:dyDescent="0.25">
      <c r="A181">
        <v>2237</v>
      </c>
      <c r="B181" s="1">
        <f>logtemperature[[#This Row],[Time]]/60-7</f>
        <v>30.283333333333331</v>
      </c>
      <c r="C181">
        <v>73.489999999999995</v>
      </c>
    </row>
    <row r="182" spans="1:3" x14ac:dyDescent="0.25">
      <c r="A182">
        <v>2247</v>
      </c>
      <c r="B182" s="1">
        <f>logtemperature[[#This Row],[Time]]/60-7</f>
        <v>30.450000000000003</v>
      </c>
      <c r="C182">
        <v>73.430000000000007</v>
      </c>
    </row>
    <row r="183" spans="1:3" x14ac:dyDescent="0.25">
      <c r="A183">
        <v>2258</v>
      </c>
      <c r="B183" s="1">
        <f>logtemperature[[#This Row],[Time]]/60-7</f>
        <v>30.633333333333333</v>
      </c>
      <c r="C183">
        <v>73.569999999999993</v>
      </c>
    </row>
    <row r="184" spans="1:3" x14ac:dyDescent="0.25">
      <c r="A184">
        <v>2268</v>
      </c>
      <c r="B184" s="1">
        <f>logtemperature[[#This Row],[Time]]/60-7</f>
        <v>30.799999999999997</v>
      </c>
      <c r="C184">
        <v>73.44</v>
      </c>
    </row>
    <row r="185" spans="1:3" x14ac:dyDescent="0.25">
      <c r="A185">
        <v>2278</v>
      </c>
      <c r="B185" s="1">
        <f>logtemperature[[#This Row],[Time]]/60-7</f>
        <v>30.966666666666669</v>
      </c>
      <c r="C185">
        <v>74.58</v>
      </c>
    </row>
    <row r="186" spans="1:3" x14ac:dyDescent="0.25">
      <c r="A186">
        <v>2289</v>
      </c>
      <c r="B186" s="1">
        <f>logtemperature[[#This Row],[Time]]/60-7</f>
        <v>31.15</v>
      </c>
      <c r="C186">
        <v>74.599999999999994</v>
      </c>
    </row>
    <row r="187" spans="1:3" x14ac:dyDescent="0.25">
      <c r="A187">
        <v>2299</v>
      </c>
      <c r="B187" s="1">
        <f>logtemperature[[#This Row],[Time]]/60-7</f>
        <v>31.31666666666667</v>
      </c>
      <c r="C187">
        <v>74.19</v>
      </c>
    </row>
    <row r="188" spans="1:3" x14ac:dyDescent="0.25">
      <c r="A188">
        <v>2309</v>
      </c>
      <c r="B188" s="1">
        <f>logtemperature[[#This Row],[Time]]/60-7</f>
        <v>31.483333333333334</v>
      </c>
      <c r="C188">
        <v>74.069999999999993</v>
      </c>
    </row>
    <row r="189" spans="1:3" x14ac:dyDescent="0.25">
      <c r="A189">
        <v>2320</v>
      </c>
      <c r="B189" s="1">
        <f>logtemperature[[#This Row],[Time]]/60-7</f>
        <v>31.666666666666664</v>
      </c>
      <c r="C189">
        <v>73.75</v>
      </c>
    </row>
    <row r="190" spans="1:3" x14ac:dyDescent="0.25">
      <c r="A190">
        <v>2330</v>
      </c>
      <c r="B190" s="1">
        <f>logtemperature[[#This Row],[Time]]/60-7</f>
        <v>31.833333333333336</v>
      </c>
      <c r="C190">
        <v>74.16</v>
      </c>
    </row>
    <row r="191" spans="1:3" x14ac:dyDescent="0.25">
      <c r="A191">
        <v>2340</v>
      </c>
      <c r="B191" s="1">
        <f>logtemperature[[#This Row],[Time]]/60-7</f>
        <v>32</v>
      </c>
      <c r="C191">
        <v>73.81</v>
      </c>
    </row>
    <row r="192" spans="1:3" x14ac:dyDescent="0.25">
      <c r="A192">
        <v>2351</v>
      </c>
      <c r="B192" s="1">
        <f>logtemperature[[#This Row],[Time]]/60-7</f>
        <v>32.18333333333333</v>
      </c>
      <c r="C192">
        <v>73.62</v>
      </c>
    </row>
    <row r="193" spans="1:3" x14ac:dyDescent="0.25">
      <c r="A193">
        <v>2361</v>
      </c>
      <c r="B193" s="1">
        <f>logtemperature[[#This Row],[Time]]/60-7</f>
        <v>32.35</v>
      </c>
      <c r="C193">
        <v>73.62</v>
      </c>
    </row>
    <row r="194" spans="1:3" x14ac:dyDescent="0.25">
      <c r="A194">
        <v>2371</v>
      </c>
      <c r="B194" s="1">
        <f>logtemperature[[#This Row],[Time]]/60-7</f>
        <v>32.516666666666666</v>
      </c>
      <c r="C194">
        <v>73.459999999999994</v>
      </c>
    </row>
    <row r="195" spans="1:3" x14ac:dyDescent="0.25">
      <c r="A195">
        <v>2381</v>
      </c>
      <c r="B195" s="1">
        <f>logtemperature[[#This Row],[Time]]/60-7</f>
        <v>32.68333333333333</v>
      </c>
      <c r="C195">
        <v>74.06</v>
      </c>
    </row>
    <row r="196" spans="1:3" x14ac:dyDescent="0.25">
      <c r="A196">
        <v>2392</v>
      </c>
      <c r="B196" s="1">
        <f>logtemperature[[#This Row],[Time]]/60-7</f>
        <v>32.866666666666667</v>
      </c>
      <c r="C196">
        <v>74.72</v>
      </c>
    </row>
    <row r="197" spans="1:3" x14ac:dyDescent="0.25">
      <c r="A197">
        <v>2402</v>
      </c>
      <c r="B197" s="1">
        <f>logtemperature[[#This Row],[Time]]/60-7</f>
        <v>33.033333333333331</v>
      </c>
      <c r="C197">
        <v>75.12</v>
      </c>
    </row>
    <row r="198" spans="1:3" x14ac:dyDescent="0.25">
      <c r="A198">
        <v>2412</v>
      </c>
      <c r="B198" s="1">
        <f>logtemperature[[#This Row],[Time]]/60-7</f>
        <v>33.200000000000003</v>
      </c>
      <c r="C198">
        <v>75.33</v>
      </c>
    </row>
    <row r="199" spans="1:3" x14ac:dyDescent="0.25">
      <c r="A199">
        <v>2422</v>
      </c>
      <c r="B199" s="1">
        <f>logtemperature[[#This Row],[Time]]/60-7</f>
        <v>33.366666666666667</v>
      </c>
      <c r="C199">
        <v>75.150000000000006</v>
      </c>
    </row>
    <row r="200" spans="1:3" x14ac:dyDescent="0.25">
      <c r="A200">
        <v>2433</v>
      </c>
      <c r="B200" s="1">
        <f>logtemperature[[#This Row],[Time]]/60-7</f>
        <v>33.549999999999997</v>
      </c>
      <c r="C200">
        <v>75.650000000000006</v>
      </c>
    </row>
    <row r="201" spans="1:3" x14ac:dyDescent="0.25">
      <c r="A201">
        <v>2443</v>
      </c>
      <c r="B201" s="1">
        <f>logtemperature[[#This Row],[Time]]/60-7</f>
        <v>33.716666666666669</v>
      </c>
      <c r="C201">
        <v>75.430000000000007</v>
      </c>
    </row>
    <row r="202" spans="1:3" x14ac:dyDescent="0.25">
      <c r="A202">
        <v>2453</v>
      </c>
      <c r="B202" s="1">
        <f>logtemperature[[#This Row],[Time]]/60-7</f>
        <v>33.883333333333333</v>
      </c>
      <c r="C202">
        <v>75.66</v>
      </c>
    </row>
    <row r="203" spans="1:3" x14ac:dyDescent="0.25">
      <c r="A203">
        <v>2464</v>
      </c>
      <c r="B203" s="1">
        <f>logtemperature[[#This Row],[Time]]/60-7</f>
        <v>34.06666666666667</v>
      </c>
      <c r="C203">
        <v>75.010000000000005</v>
      </c>
    </row>
    <row r="204" spans="1:3" x14ac:dyDescent="0.25">
      <c r="A204">
        <v>2474</v>
      </c>
      <c r="B204" s="1">
        <f>logtemperature[[#This Row],[Time]]/60-7</f>
        <v>34.233333333333334</v>
      </c>
      <c r="C204">
        <v>75.42</v>
      </c>
    </row>
    <row r="205" spans="1:3" x14ac:dyDescent="0.25">
      <c r="A205">
        <v>2484</v>
      </c>
      <c r="B205" s="1">
        <f>logtemperature[[#This Row],[Time]]/60-7</f>
        <v>34.4</v>
      </c>
      <c r="C205">
        <v>75.739999999999995</v>
      </c>
    </row>
    <row r="206" spans="1:3" x14ac:dyDescent="0.25">
      <c r="A206">
        <v>2494</v>
      </c>
      <c r="B206" s="1">
        <f>logtemperature[[#This Row],[Time]]/60-7</f>
        <v>34.56666666666667</v>
      </c>
      <c r="C206">
        <v>75.3</v>
      </c>
    </row>
    <row r="207" spans="1:3" x14ac:dyDescent="0.25">
      <c r="A207">
        <v>2504</v>
      </c>
      <c r="B207" s="1">
        <f>logtemperature[[#This Row],[Time]]/60-7</f>
        <v>34.733333333333334</v>
      </c>
      <c r="C207">
        <v>75.599999999999994</v>
      </c>
    </row>
    <row r="208" spans="1:3" x14ac:dyDescent="0.25">
      <c r="A208">
        <v>2515</v>
      </c>
      <c r="B208" s="1">
        <f>logtemperature[[#This Row],[Time]]/60-7</f>
        <v>34.916666666666664</v>
      </c>
      <c r="C208">
        <v>75.290000000000006</v>
      </c>
    </row>
    <row r="209" spans="1:3" x14ac:dyDescent="0.25">
      <c r="A209">
        <v>2525</v>
      </c>
      <c r="B209" s="1">
        <f>logtemperature[[#This Row],[Time]]/60-7</f>
        <v>35.083333333333336</v>
      </c>
      <c r="C209">
        <v>75.77</v>
      </c>
    </row>
    <row r="210" spans="1:3" x14ac:dyDescent="0.25">
      <c r="A210">
        <v>2535</v>
      </c>
      <c r="B210" s="1">
        <f>logtemperature[[#This Row],[Time]]/60-7</f>
        <v>35.25</v>
      </c>
      <c r="C210">
        <v>75.45</v>
      </c>
    </row>
    <row r="211" spans="1:3" x14ac:dyDescent="0.25">
      <c r="A211">
        <v>2545</v>
      </c>
      <c r="B211" s="1">
        <f>logtemperature[[#This Row],[Time]]/60-7</f>
        <v>35.416666666666664</v>
      </c>
      <c r="C211">
        <v>75.64</v>
      </c>
    </row>
    <row r="212" spans="1:3" x14ac:dyDescent="0.25">
      <c r="A212">
        <v>2555</v>
      </c>
      <c r="B212" s="1">
        <f>logtemperature[[#This Row],[Time]]/60-7</f>
        <v>35.583333333333336</v>
      </c>
      <c r="C212">
        <v>75.72</v>
      </c>
    </row>
    <row r="213" spans="1:3" x14ac:dyDescent="0.25">
      <c r="A213">
        <v>2565</v>
      </c>
      <c r="B213" s="1">
        <f>logtemperature[[#This Row],[Time]]/60-7</f>
        <v>35.75</v>
      </c>
      <c r="C213">
        <v>75.63</v>
      </c>
    </row>
    <row r="214" spans="1:3" x14ac:dyDescent="0.25">
      <c r="A214">
        <v>2576</v>
      </c>
      <c r="B214" s="1">
        <f>logtemperature[[#This Row],[Time]]/60-7</f>
        <v>35.93333333333333</v>
      </c>
      <c r="C214">
        <v>75.3</v>
      </c>
    </row>
    <row r="215" spans="1:3" x14ac:dyDescent="0.25">
      <c r="A215">
        <v>2586</v>
      </c>
      <c r="B215" s="1">
        <f>logtemperature[[#This Row],[Time]]/60-7</f>
        <v>36.1</v>
      </c>
      <c r="C215">
        <v>75.400000000000006</v>
      </c>
    </row>
    <row r="216" spans="1:3" x14ac:dyDescent="0.25">
      <c r="A216">
        <v>2596</v>
      </c>
      <c r="B216" s="1">
        <f>logtemperature[[#This Row],[Time]]/60-7</f>
        <v>36.266666666666666</v>
      </c>
      <c r="C216">
        <v>75.77</v>
      </c>
    </row>
    <row r="217" spans="1:3" x14ac:dyDescent="0.25">
      <c r="A217">
        <v>2606</v>
      </c>
      <c r="B217" s="1">
        <f>logtemperature[[#This Row],[Time]]/60-7</f>
        <v>36.43333333333333</v>
      </c>
      <c r="C217">
        <v>76.040000000000006</v>
      </c>
    </row>
    <row r="218" spans="1:3" x14ac:dyDescent="0.25">
      <c r="A218">
        <v>2616</v>
      </c>
      <c r="B218" s="1">
        <f>logtemperature[[#This Row],[Time]]/60-7</f>
        <v>36.6</v>
      </c>
      <c r="C218">
        <v>76.42</v>
      </c>
    </row>
    <row r="219" spans="1:3" x14ac:dyDescent="0.25">
      <c r="A219">
        <v>2626</v>
      </c>
      <c r="B219" s="1">
        <f>logtemperature[[#This Row],[Time]]/60-7</f>
        <v>36.766666666666666</v>
      </c>
      <c r="C219">
        <v>77.16</v>
      </c>
    </row>
    <row r="220" spans="1:3" x14ac:dyDescent="0.25">
      <c r="A220">
        <v>2637</v>
      </c>
      <c r="B220" s="1">
        <f>logtemperature[[#This Row],[Time]]/60-7</f>
        <v>36.950000000000003</v>
      </c>
      <c r="C220">
        <v>77.02</v>
      </c>
    </row>
    <row r="221" spans="1:3" x14ac:dyDescent="0.25">
      <c r="A221">
        <v>2647</v>
      </c>
      <c r="B221" s="1">
        <f>logtemperature[[#This Row],[Time]]/60-7</f>
        <v>37.116666666666667</v>
      </c>
      <c r="C221">
        <v>77.040000000000006</v>
      </c>
    </row>
    <row r="222" spans="1:3" x14ac:dyDescent="0.25">
      <c r="A222">
        <v>2658</v>
      </c>
      <c r="B222" s="1">
        <f>logtemperature[[#This Row],[Time]]/60-7</f>
        <v>37.299999999999997</v>
      </c>
      <c r="C222">
        <v>76.959999999999994</v>
      </c>
    </row>
    <row r="223" spans="1:3" x14ac:dyDescent="0.25">
      <c r="A223">
        <v>2668</v>
      </c>
      <c r="B223" s="1">
        <f>logtemperature[[#This Row],[Time]]/60-7</f>
        <v>37.466666666666669</v>
      </c>
      <c r="C223">
        <v>76.599999999999994</v>
      </c>
    </row>
    <row r="224" spans="1:3" x14ac:dyDescent="0.25">
      <c r="A224">
        <v>2678</v>
      </c>
      <c r="B224" s="1">
        <f>logtemperature[[#This Row],[Time]]/60-7</f>
        <v>37.633333333333333</v>
      </c>
      <c r="C224">
        <v>76.25</v>
      </c>
    </row>
    <row r="225" spans="1:3" x14ac:dyDescent="0.25">
      <c r="A225">
        <v>2688</v>
      </c>
      <c r="B225" s="1">
        <f>logtemperature[[#This Row],[Time]]/60-7</f>
        <v>37.799999999999997</v>
      </c>
      <c r="C225">
        <v>76.09</v>
      </c>
    </row>
    <row r="226" spans="1:3" x14ac:dyDescent="0.25">
      <c r="A226">
        <v>2698</v>
      </c>
      <c r="B226" s="1">
        <f>logtemperature[[#This Row],[Time]]/60-7</f>
        <v>37.966666666666669</v>
      </c>
      <c r="C226">
        <v>75.92</v>
      </c>
    </row>
    <row r="227" spans="1:3" x14ac:dyDescent="0.25">
      <c r="A227">
        <v>2709</v>
      </c>
      <c r="B227" s="1">
        <f>logtemperature[[#This Row],[Time]]/60-7</f>
        <v>38.15</v>
      </c>
      <c r="C227">
        <v>76.37</v>
      </c>
    </row>
    <row r="228" spans="1:3" x14ac:dyDescent="0.25">
      <c r="A228">
        <v>2719</v>
      </c>
      <c r="B228" s="1">
        <f>logtemperature[[#This Row],[Time]]/60-7</f>
        <v>38.31666666666667</v>
      </c>
      <c r="C228">
        <v>76.819999999999993</v>
      </c>
    </row>
    <row r="229" spans="1:3" x14ac:dyDescent="0.25">
      <c r="A229">
        <v>2729</v>
      </c>
      <c r="B229" s="1">
        <f>logtemperature[[#This Row],[Time]]/60-7</f>
        <v>38.483333333333334</v>
      </c>
      <c r="C229">
        <v>77.19</v>
      </c>
    </row>
    <row r="230" spans="1:3" x14ac:dyDescent="0.25">
      <c r="A230">
        <v>2739</v>
      </c>
      <c r="B230" s="1">
        <f>logtemperature[[#This Row],[Time]]/60-7</f>
        <v>38.65</v>
      </c>
      <c r="C230">
        <v>76.989999999999995</v>
      </c>
    </row>
    <row r="231" spans="1:3" x14ac:dyDescent="0.25">
      <c r="A231">
        <v>2749</v>
      </c>
      <c r="B231" s="1">
        <f>logtemperature[[#This Row],[Time]]/60-7</f>
        <v>38.81666666666667</v>
      </c>
      <c r="C231">
        <v>77.040000000000006</v>
      </c>
    </row>
    <row r="232" spans="1:3" x14ac:dyDescent="0.25">
      <c r="A232">
        <v>2760</v>
      </c>
      <c r="B232" s="1">
        <f>logtemperature[[#This Row],[Time]]/60-7</f>
        <v>39</v>
      </c>
      <c r="C232">
        <v>76.760000000000005</v>
      </c>
    </row>
    <row r="233" spans="1:3" x14ac:dyDescent="0.25">
      <c r="A233">
        <v>2770</v>
      </c>
      <c r="B233" s="1">
        <f>logtemperature[[#This Row],[Time]]/60-7</f>
        <v>39.166666666666664</v>
      </c>
      <c r="C233">
        <v>76.88</v>
      </c>
    </row>
    <row r="234" spans="1:3" x14ac:dyDescent="0.25">
      <c r="A234">
        <v>2780</v>
      </c>
      <c r="B234" s="1">
        <f>logtemperature[[#This Row],[Time]]/60-7</f>
        <v>39.333333333333336</v>
      </c>
      <c r="C234">
        <v>76.53</v>
      </c>
    </row>
    <row r="235" spans="1:3" x14ac:dyDescent="0.25">
      <c r="A235">
        <v>2790</v>
      </c>
      <c r="B235" s="1">
        <f>logtemperature[[#This Row],[Time]]/60-7</f>
        <v>39.5</v>
      </c>
      <c r="C235">
        <v>76.91</v>
      </c>
    </row>
    <row r="236" spans="1:3" x14ac:dyDescent="0.25">
      <c r="A236">
        <v>2801</v>
      </c>
      <c r="B236" s="1">
        <f>logtemperature[[#This Row],[Time]]/60-7</f>
        <v>39.68333333333333</v>
      </c>
      <c r="C236">
        <v>77.08</v>
      </c>
    </row>
    <row r="237" spans="1:3" x14ac:dyDescent="0.25">
      <c r="A237">
        <v>2811</v>
      </c>
      <c r="B237" s="1">
        <f>logtemperature[[#This Row],[Time]]/60-7</f>
        <v>39.85</v>
      </c>
      <c r="C237">
        <v>77.239999999999995</v>
      </c>
    </row>
    <row r="238" spans="1:3" x14ac:dyDescent="0.25">
      <c r="A238">
        <v>2821</v>
      </c>
      <c r="B238" s="1">
        <f>logtemperature[[#This Row],[Time]]/60-7</f>
        <v>40.016666666666666</v>
      </c>
      <c r="C238">
        <v>77.099999999999994</v>
      </c>
    </row>
    <row r="239" spans="1:3" x14ac:dyDescent="0.25">
      <c r="A239">
        <v>2831</v>
      </c>
      <c r="B239" s="1">
        <f>logtemperature[[#This Row],[Time]]/60-7</f>
        <v>40.18333333333333</v>
      </c>
      <c r="C239">
        <v>77.69</v>
      </c>
    </row>
    <row r="240" spans="1:3" x14ac:dyDescent="0.25">
      <c r="A240">
        <v>2842</v>
      </c>
      <c r="B240" s="1">
        <f>logtemperature[[#This Row],[Time]]/60-7</f>
        <v>40.366666666666667</v>
      </c>
      <c r="C240">
        <v>77.900000000000006</v>
      </c>
    </row>
    <row r="241" spans="1:3" x14ac:dyDescent="0.25">
      <c r="A241">
        <v>2852</v>
      </c>
      <c r="B241" s="1">
        <f>logtemperature[[#This Row],[Time]]/60-7</f>
        <v>40.533333333333331</v>
      </c>
      <c r="C241">
        <v>77.33</v>
      </c>
    </row>
    <row r="242" spans="1:3" x14ac:dyDescent="0.25">
      <c r="A242">
        <v>2862</v>
      </c>
      <c r="B242" s="1">
        <f>logtemperature[[#This Row],[Time]]/60-7</f>
        <v>40.700000000000003</v>
      </c>
      <c r="C242">
        <v>76.400000000000006</v>
      </c>
    </row>
    <row r="243" spans="1:3" x14ac:dyDescent="0.25">
      <c r="A243">
        <v>2873</v>
      </c>
      <c r="B243" s="1">
        <f>logtemperature[[#This Row],[Time]]/60-7</f>
        <v>40.883333333333333</v>
      </c>
      <c r="C243">
        <v>77.56</v>
      </c>
    </row>
    <row r="244" spans="1:3" x14ac:dyDescent="0.25">
      <c r="A244">
        <v>2883</v>
      </c>
      <c r="B244" s="1">
        <f>logtemperature[[#This Row],[Time]]/60-7</f>
        <v>41.05</v>
      </c>
      <c r="C244">
        <v>78.209999999999994</v>
      </c>
    </row>
    <row r="245" spans="1:3" x14ac:dyDescent="0.25">
      <c r="A245">
        <v>2894</v>
      </c>
      <c r="B245" s="1">
        <f>logtemperature[[#This Row],[Time]]/60-7</f>
        <v>41.233333333333334</v>
      </c>
      <c r="C245">
        <v>77.69</v>
      </c>
    </row>
    <row r="246" spans="1:3" x14ac:dyDescent="0.25">
      <c r="A246">
        <v>2904</v>
      </c>
      <c r="B246" s="1">
        <f>logtemperature[[#This Row],[Time]]/60-7</f>
        <v>41.4</v>
      </c>
      <c r="C246">
        <v>77.95</v>
      </c>
    </row>
    <row r="247" spans="1:3" x14ac:dyDescent="0.25">
      <c r="A247">
        <v>2914</v>
      </c>
      <c r="B247" s="1">
        <f>logtemperature[[#This Row],[Time]]/60-7</f>
        <v>41.56666666666667</v>
      </c>
      <c r="C247">
        <v>77.400000000000006</v>
      </c>
    </row>
    <row r="248" spans="1:3" x14ac:dyDescent="0.25">
      <c r="A248">
        <v>2924</v>
      </c>
      <c r="B248" s="1">
        <f>logtemperature[[#This Row],[Time]]/60-7</f>
        <v>41.733333333333334</v>
      </c>
      <c r="C248">
        <v>77.040000000000006</v>
      </c>
    </row>
    <row r="249" spans="1:3" x14ac:dyDescent="0.25">
      <c r="A249">
        <v>2934</v>
      </c>
      <c r="B249" s="1">
        <f>logtemperature[[#This Row],[Time]]/60-7</f>
        <v>41.9</v>
      </c>
      <c r="C249">
        <v>76.53</v>
      </c>
    </row>
    <row r="250" spans="1:3" x14ac:dyDescent="0.25">
      <c r="A250">
        <v>2944</v>
      </c>
      <c r="B250" s="1">
        <f>logtemperature[[#This Row],[Time]]/60-7</f>
        <v>42.06666666666667</v>
      </c>
      <c r="C250">
        <v>77.64</v>
      </c>
    </row>
    <row r="251" spans="1:3" x14ac:dyDescent="0.25">
      <c r="A251">
        <v>2955</v>
      </c>
      <c r="B251" s="1">
        <f>logtemperature[[#This Row],[Time]]/60-7</f>
        <v>42.25</v>
      </c>
      <c r="C251">
        <v>78.819999999999993</v>
      </c>
    </row>
    <row r="252" spans="1:3" x14ac:dyDescent="0.25">
      <c r="A252">
        <v>2965</v>
      </c>
      <c r="B252" s="1">
        <f>logtemperature[[#This Row],[Time]]/60-7</f>
        <v>42.416666666666664</v>
      </c>
      <c r="C252">
        <v>78.489999999999995</v>
      </c>
    </row>
    <row r="253" spans="1:3" x14ac:dyDescent="0.25">
      <c r="A253">
        <v>2975</v>
      </c>
      <c r="B253" s="1">
        <f>logtemperature[[#This Row],[Time]]/60-7</f>
        <v>42.583333333333336</v>
      </c>
      <c r="C253">
        <v>78.25</v>
      </c>
    </row>
    <row r="254" spans="1:3" x14ac:dyDescent="0.25">
      <c r="A254">
        <v>2986</v>
      </c>
      <c r="B254" s="1">
        <f>logtemperature[[#This Row],[Time]]/60-7</f>
        <v>42.766666666666666</v>
      </c>
      <c r="C254">
        <v>77.64</v>
      </c>
    </row>
    <row r="255" spans="1:3" x14ac:dyDescent="0.25">
      <c r="A255">
        <v>2996</v>
      </c>
      <c r="B255" s="1">
        <f>logtemperature[[#This Row],[Time]]/60-7</f>
        <v>42.93333333333333</v>
      </c>
      <c r="C255">
        <v>78.010000000000005</v>
      </c>
    </row>
    <row r="256" spans="1:3" x14ac:dyDescent="0.25">
      <c r="A256">
        <v>3006</v>
      </c>
      <c r="B256" s="1">
        <f>logtemperature[[#This Row],[Time]]/60-7</f>
        <v>43.1</v>
      </c>
      <c r="C256">
        <v>78.34</v>
      </c>
    </row>
    <row r="257" spans="1:3" x14ac:dyDescent="0.25">
      <c r="A257">
        <v>3016</v>
      </c>
      <c r="B257" s="1">
        <f>logtemperature[[#This Row],[Time]]/60-7</f>
        <v>43.266666666666666</v>
      </c>
      <c r="C257">
        <v>77.92</v>
      </c>
    </row>
    <row r="258" spans="1:3" x14ac:dyDescent="0.25">
      <c r="A258">
        <v>3026</v>
      </c>
      <c r="B258" s="1">
        <f>logtemperature[[#This Row],[Time]]/60-7</f>
        <v>43.43333333333333</v>
      </c>
      <c r="C258">
        <v>77.94</v>
      </c>
    </row>
    <row r="259" spans="1:3" x14ac:dyDescent="0.25">
      <c r="A259">
        <v>3036</v>
      </c>
      <c r="B259" s="1">
        <f>logtemperature[[#This Row],[Time]]/60-7</f>
        <v>43.6</v>
      </c>
      <c r="C259">
        <v>77.58</v>
      </c>
    </row>
    <row r="260" spans="1:3" x14ac:dyDescent="0.25">
      <c r="A260">
        <v>3046</v>
      </c>
      <c r="B260" s="1">
        <f>logtemperature[[#This Row],[Time]]/60-7</f>
        <v>43.766666666666666</v>
      </c>
      <c r="C260">
        <v>77.819999999999993</v>
      </c>
    </row>
    <row r="261" spans="1:3" x14ac:dyDescent="0.25">
      <c r="A261">
        <v>3056</v>
      </c>
      <c r="B261" s="1">
        <f>logtemperature[[#This Row],[Time]]/60-7</f>
        <v>43.93333333333333</v>
      </c>
      <c r="C261">
        <v>77.84</v>
      </c>
    </row>
    <row r="262" spans="1:3" x14ac:dyDescent="0.25">
      <c r="A262">
        <v>3067</v>
      </c>
      <c r="B262" s="1">
        <f>logtemperature[[#This Row],[Time]]/60-7</f>
        <v>44.116666666666667</v>
      </c>
      <c r="C262">
        <v>78.3</v>
      </c>
    </row>
    <row r="263" spans="1:3" x14ac:dyDescent="0.25">
      <c r="A263">
        <v>3077</v>
      </c>
      <c r="B263" s="1">
        <f>logtemperature[[#This Row],[Time]]/60-7</f>
        <v>44.283333333333331</v>
      </c>
      <c r="C263">
        <v>78.97</v>
      </c>
    </row>
    <row r="264" spans="1:3" x14ac:dyDescent="0.25">
      <c r="A264">
        <v>3087</v>
      </c>
      <c r="B264" s="1">
        <f>logtemperature[[#This Row],[Time]]/60-7</f>
        <v>44.45</v>
      </c>
      <c r="C264">
        <v>81.14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719A3-566C-4B42-8867-361793241639}">
  <dimension ref="A1:C157"/>
  <sheetViews>
    <sheetView workbookViewId="0">
      <selection activeCell="B2" sqref="B2"/>
    </sheetView>
  </sheetViews>
  <sheetFormatPr defaultRowHeight="15" x14ac:dyDescent="0.25"/>
  <cols>
    <col min="1" max="1" width="11.42578125" bestFit="1" customWidth="1"/>
    <col min="2" max="2" width="11.42578125" customWidth="1"/>
    <col min="3" max="3" width="11.42578125" bestFit="1" customWidth="1"/>
  </cols>
  <sheetData>
    <row r="1" spans="1:3" x14ac:dyDescent="0.25">
      <c r="A1" t="s">
        <v>5</v>
      </c>
      <c r="B1" t="s">
        <v>4</v>
      </c>
      <c r="C1" t="s">
        <v>6</v>
      </c>
    </row>
    <row r="2" spans="1:3" x14ac:dyDescent="0.25">
      <c r="A2">
        <v>2561</v>
      </c>
      <c r="B2" s="1">
        <f>logtemperature__4[[#This Row],[time]]/60-43</f>
        <v>-0.31666666666666998</v>
      </c>
      <c r="C2">
        <v>24.1</v>
      </c>
    </row>
    <row r="3" spans="1:3" x14ac:dyDescent="0.25">
      <c r="A3">
        <v>2571</v>
      </c>
      <c r="B3" s="1">
        <f>logtemperature__4[[#This Row],[time]]/60-43</f>
        <v>-0.14999999999999858</v>
      </c>
      <c r="C3">
        <v>24.88</v>
      </c>
    </row>
    <row r="4" spans="1:3" x14ac:dyDescent="0.25">
      <c r="A4">
        <v>2581</v>
      </c>
      <c r="B4" s="1">
        <f>logtemperature__4[[#This Row],[time]]/60-43</f>
        <v>1.6666666666665719E-2</v>
      </c>
      <c r="C4">
        <v>27.2</v>
      </c>
    </row>
    <row r="5" spans="1:3" x14ac:dyDescent="0.25">
      <c r="A5">
        <v>2591</v>
      </c>
      <c r="B5" s="1">
        <f>logtemperature__4[[#This Row],[time]]/60-43</f>
        <v>0.18333333333333002</v>
      </c>
      <c r="C5">
        <v>28.73</v>
      </c>
    </row>
    <row r="6" spans="1:3" x14ac:dyDescent="0.25">
      <c r="A6">
        <v>2601</v>
      </c>
      <c r="B6" s="1">
        <f>logtemperature__4[[#This Row],[time]]/60-43</f>
        <v>0.35000000000000142</v>
      </c>
      <c r="C6">
        <v>30.44</v>
      </c>
    </row>
    <row r="7" spans="1:3" x14ac:dyDescent="0.25">
      <c r="A7">
        <v>2611</v>
      </c>
      <c r="B7" s="1">
        <f>logtemperature__4[[#This Row],[time]]/60-43</f>
        <v>0.51666666666666572</v>
      </c>
      <c r="C7">
        <v>31.65</v>
      </c>
    </row>
    <row r="8" spans="1:3" x14ac:dyDescent="0.25">
      <c r="A8">
        <v>2621</v>
      </c>
      <c r="B8" s="1">
        <f>logtemperature__4[[#This Row],[time]]/60-43</f>
        <v>0.68333333333333002</v>
      </c>
      <c r="C8">
        <v>33.44</v>
      </c>
    </row>
    <row r="9" spans="1:3" x14ac:dyDescent="0.25">
      <c r="A9">
        <v>2632</v>
      </c>
      <c r="B9" s="1">
        <f>logtemperature__4[[#This Row],[time]]/60-43</f>
        <v>0.86666666666666714</v>
      </c>
      <c r="C9">
        <v>34.18</v>
      </c>
    </row>
    <row r="10" spans="1:3" x14ac:dyDescent="0.25">
      <c r="A10">
        <v>2642</v>
      </c>
      <c r="B10" s="1">
        <f>logtemperature__4[[#This Row],[time]]/60-43</f>
        <v>1.0333333333333314</v>
      </c>
      <c r="C10">
        <v>34.82</v>
      </c>
    </row>
    <row r="11" spans="1:3" x14ac:dyDescent="0.25">
      <c r="A11">
        <v>2652</v>
      </c>
      <c r="B11" s="1">
        <f>logtemperature__4[[#This Row],[time]]/60-43</f>
        <v>1.2000000000000028</v>
      </c>
      <c r="C11">
        <v>34.11</v>
      </c>
    </row>
    <row r="12" spans="1:3" x14ac:dyDescent="0.25">
      <c r="A12">
        <v>2662</v>
      </c>
      <c r="B12" s="1">
        <f>logtemperature__4[[#This Row],[time]]/60-43</f>
        <v>1.3666666666666671</v>
      </c>
      <c r="C12">
        <v>33.32</v>
      </c>
    </row>
    <row r="13" spans="1:3" x14ac:dyDescent="0.25">
      <c r="A13">
        <v>2672</v>
      </c>
      <c r="B13" s="1">
        <f>logtemperature__4[[#This Row],[time]]/60-43</f>
        <v>1.5333333333333314</v>
      </c>
      <c r="C13">
        <v>33.53</v>
      </c>
    </row>
    <row r="14" spans="1:3" x14ac:dyDescent="0.25">
      <c r="A14">
        <v>2682</v>
      </c>
      <c r="B14" s="1">
        <f>logtemperature__4[[#This Row],[time]]/60-43</f>
        <v>1.7000000000000028</v>
      </c>
      <c r="C14">
        <v>34.25</v>
      </c>
    </row>
    <row r="15" spans="1:3" x14ac:dyDescent="0.25">
      <c r="A15">
        <v>2692</v>
      </c>
      <c r="B15" s="1">
        <f>logtemperature__4[[#This Row],[time]]/60-43</f>
        <v>1.8666666666666671</v>
      </c>
      <c r="C15">
        <v>34.28</v>
      </c>
    </row>
    <row r="16" spans="1:3" x14ac:dyDescent="0.25">
      <c r="A16">
        <v>2702</v>
      </c>
      <c r="B16" s="1">
        <f>logtemperature__4[[#This Row],[time]]/60-43</f>
        <v>2.0333333333333314</v>
      </c>
      <c r="C16">
        <v>35.14</v>
      </c>
    </row>
    <row r="17" spans="1:3" x14ac:dyDescent="0.25">
      <c r="A17">
        <v>2712</v>
      </c>
      <c r="B17" s="1">
        <f>logtemperature__4[[#This Row],[time]]/60-43</f>
        <v>2.2000000000000028</v>
      </c>
      <c r="C17">
        <v>35.549999999999997</v>
      </c>
    </row>
    <row r="18" spans="1:3" x14ac:dyDescent="0.25">
      <c r="A18">
        <v>2722</v>
      </c>
      <c r="B18" s="1">
        <f>logtemperature__4[[#This Row],[time]]/60-43</f>
        <v>2.3666666666666671</v>
      </c>
      <c r="C18">
        <v>36.9</v>
      </c>
    </row>
    <row r="19" spans="1:3" x14ac:dyDescent="0.25">
      <c r="A19">
        <v>2732</v>
      </c>
      <c r="B19" s="1">
        <f>logtemperature__4[[#This Row],[time]]/60-43</f>
        <v>2.5333333333333314</v>
      </c>
      <c r="C19">
        <v>38.130000000000003</v>
      </c>
    </row>
    <row r="20" spans="1:3" x14ac:dyDescent="0.25">
      <c r="A20">
        <v>2742</v>
      </c>
      <c r="B20" s="1">
        <f>logtemperature__4[[#This Row],[time]]/60-43</f>
        <v>2.7000000000000028</v>
      </c>
      <c r="C20">
        <v>37.72</v>
      </c>
    </row>
    <row r="21" spans="1:3" x14ac:dyDescent="0.25">
      <c r="A21">
        <v>2752</v>
      </c>
      <c r="B21" s="1">
        <f>logtemperature__4[[#This Row],[time]]/60-43</f>
        <v>2.8666666666666671</v>
      </c>
      <c r="C21">
        <v>37.83</v>
      </c>
    </row>
    <row r="22" spans="1:3" x14ac:dyDescent="0.25">
      <c r="A22">
        <v>2762</v>
      </c>
      <c r="B22" s="1">
        <f>logtemperature__4[[#This Row],[time]]/60-43</f>
        <v>3.0333333333333314</v>
      </c>
      <c r="C22">
        <v>37.090000000000003</v>
      </c>
    </row>
    <row r="23" spans="1:3" x14ac:dyDescent="0.25">
      <c r="A23">
        <v>2772</v>
      </c>
      <c r="B23" s="1">
        <f>logtemperature__4[[#This Row],[time]]/60-43</f>
        <v>3.2000000000000028</v>
      </c>
      <c r="C23">
        <v>37.979999999999997</v>
      </c>
    </row>
    <row r="24" spans="1:3" x14ac:dyDescent="0.25">
      <c r="A24">
        <v>2782</v>
      </c>
      <c r="B24" s="1">
        <f>logtemperature__4[[#This Row],[time]]/60-43</f>
        <v>3.3666666666666671</v>
      </c>
      <c r="C24">
        <v>38.229999999999997</v>
      </c>
    </row>
    <row r="25" spans="1:3" x14ac:dyDescent="0.25">
      <c r="A25">
        <v>2792</v>
      </c>
      <c r="B25" s="1">
        <f>logtemperature__4[[#This Row],[time]]/60-43</f>
        <v>3.5333333333333314</v>
      </c>
      <c r="C25">
        <v>40.090000000000003</v>
      </c>
    </row>
    <row r="26" spans="1:3" x14ac:dyDescent="0.25">
      <c r="A26">
        <v>2802</v>
      </c>
      <c r="B26" s="1">
        <f>logtemperature__4[[#This Row],[time]]/60-43</f>
        <v>3.7000000000000028</v>
      </c>
      <c r="C26">
        <v>40.19</v>
      </c>
    </row>
    <row r="27" spans="1:3" x14ac:dyDescent="0.25">
      <c r="A27">
        <v>2812</v>
      </c>
      <c r="B27" s="1">
        <f>logtemperature__4[[#This Row],[time]]/60-43</f>
        <v>3.8666666666666671</v>
      </c>
      <c r="C27">
        <v>40.24</v>
      </c>
    </row>
    <row r="28" spans="1:3" x14ac:dyDescent="0.25">
      <c r="A28">
        <v>2822</v>
      </c>
      <c r="B28" s="1">
        <f>logtemperature__4[[#This Row],[time]]/60-43</f>
        <v>4.0333333333333314</v>
      </c>
      <c r="C28">
        <v>42.65</v>
      </c>
    </row>
    <row r="29" spans="1:3" x14ac:dyDescent="0.25">
      <c r="A29">
        <v>2832</v>
      </c>
      <c r="B29" s="1">
        <f>logtemperature__4[[#This Row],[time]]/60-43</f>
        <v>4.2000000000000028</v>
      </c>
      <c r="C29">
        <v>43.54</v>
      </c>
    </row>
    <row r="30" spans="1:3" x14ac:dyDescent="0.25">
      <c r="A30">
        <v>2842</v>
      </c>
      <c r="B30" s="1">
        <f>logtemperature__4[[#This Row],[time]]/60-43</f>
        <v>4.3666666666666671</v>
      </c>
      <c r="C30">
        <v>42.8</v>
      </c>
    </row>
    <row r="31" spans="1:3" x14ac:dyDescent="0.25">
      <c r="A31">
        <v>2852</v>
      </c>
      <c r="B31" s="1">
        <f>logtemperature__4[[#This Row],[time]]/60-43</f>
        <v>4.5333333333333314</v>
      </c>
      <c r="C31">
        <v>42.88</v>
      </c>
    </row>
    <row r="32" spans="1:3" x14ac:dyDescent="0.25">
      <c r="A32">
        <v>2862</v>
      </c>
      <c r="B32" s="1">
        <f>logtemperature__4[[#This Row],[time]]/60-43</f>
        <v>4.7000000000000028</v>
      </c>
      <c r="C32">
        <v>43.81</v>
      </c>
    </row>
    <row r="33" spans="1:3" x14ac:dyDescent="0.25">
      <c r="A33">
        <v>2872</v>
      </c>
      <c r="B33" s="1">
        <f>logtemperature__4[[#This Row],[time]]/60-43</f>
        <v>4.8666666666666671</v>
      </c>
      <c r="C33">
        <v>43.52</v>
      </c>
    </row>
    <row r="34" spans="1:3" x14ac:dyDescent="0.25">
      <c r="A34">
        <v>2882</v>
      </c>
      <c r="B34" s="1">
        <f>logtemperature__4[[#This Row],[time]]/60-43</f>
        <v>5.0333333333333314</v>
      </c>
      <c r="C34">
        <v>43.7</v>
      </c>
    </row>
    <row r="35" spans="1:3" x14ac:dyDescent="0.25">
      <c r="A35">
        <v>2892</v>
      </c>
      <c r="B35" s="1">
        <f>logtemperature__4[[#This Row],[time]]/60-43</f>
        <v>5.2000000000000028</v>
      </c>
      <c r="C35">
        <v>43.21</v>
      </c>
    </row>
    <row r="36" spans="1:3" x14ac:dyDescent="0.25">
      <c r="A36">
        <v>2902</v>
      </c>
      <c r="B36" s="1">
        <f>logtemperature__4[[#This Row],[time]]/60-43</f>
        <v>5.3666666666666671</v>
      </c>
      <c r="C36">
        <v>41.56</v>
      </c>
    </row>
    <row r="37" spans="1:3" x14ac:dyDescent="0.25">
      <c r="A37">
        <v>2912</v>
      </c>
      <c r="B37" s="1">
        <f>logtemperature__4[[#This Row],[time]]/60-43</f>
        <v>5.5333333333333314</v>
      </c>
      <c r="C37">
        <v>40.15</v>
      </c>
    </row>
    <row r="38" spans="1:3" x14ac:dyDescent="0.25">
      <c r="A38">
        <v>2922</v>
      </c>
      <c r="B38" s="1">
        <f>logtemperature__4[[#This Row],[time]]/60-43</f>
        <v>5.7000000000000028</v>
      </c>
      <c r="C38">
        <v>40.65</v>
      </c>
    </row>
    <row r="39" spans="1:3" x14ac:dyDescent="0.25">
      <c r="A39">
        <v>2932</v>
      </c>
      <c r="B39" s="1">
        <f>logtemperature__4[[#This Row],[time]]/60-43</f>
        <v>5.8666666666666671</v>
      </c>
      <c r="C39">
        <v>41.81</v>
      </c>
    </row>
    <row r="40" spans="1:3" x14ac:dyDescent="0.25">
      <c r="A40">
        <v>2942</v>
      </c>
      <c r="B40" s="1">
        <f>logtemperature__4[[#This Row],[time]]/60-43</f>
        <v>6.0333333333333314</v>
      </c>
      <c r="C40">
        <v>42.1</v>
      </c>
    </row>
    <row r="41" spans="1:3" x14ac:dyDescent="0.25">
      <c r="A41">
        <v>2952</v>
      </c>
      <c r="B41" s="1">
        <f>logtemperature__4[[#This Row],[time]]/60-43</f>
        <v>6.2000000000000028</v>
      </c>
      <c r="C41">
        <v>42.44</v>
      </c>
    </row>
    <row r="42" spans="1:3" x14ac:dyDescent="0.25">
      <c r="A42">
        <v>2962</v>
      </c>
      <c r="B42" s="1">
        <f>logtemperature__4[[#This Row],[time]]/60-43</f>
        <v>6.3666666666666671</v>
      </c>
      <c r="C42">
        <v>43.65</v>
      </c>
    </row>
    <row r="43" spans="1:3" x14ac:dyDescent="0.25">
      <c r="A43">
        <v>2972</v>
      </c>
      <c r="B43" s="1">
        <f>logtemperature__4[[#This Row],[time]]/60-43</f>
        <v>6.5333333333333314</v>
      </c>
      <c r="C43">
        <v>43.75</v>
      </c>
    </row>
    <row r="44" spans="1:3" x14ac:dyDescent="0.25">
      <c r="A44">
        <v>2982</v>
      </c>
      <c r="B44" s="1">
        <f>logtemperature__4[[#This Row],[time]]/60-43</f>
        <v>6.7000000000000028</v>
      </c>
      <c r="C44">
        <v>45.61</v>
      </c>
    </row>
    <row r="45" spans="1:3" x14ac:dyDescent="0.25">
      <c r="A45">
        <v>2992</v>
      </c>
      <c r="B45" s="1">
        <f>logtemperature__4[[#This Row],[time]]/60-43</f>
        <v>6.8666666666666671</v>
      </c>
      <c r="C45">
        <v>44.45</v>
      </c>
    </row>
    <row r="46" spans="1:3" x14ac:dyDescent="0.25">
      <c r="A46">
        <v>3002</v>
      </c>
      <c r="B46" s="1">
        <f>logtemperature__4[[#This Row],[time]]/60-43</f>
        <v>7.0333333333333314</v>
      </c>
      <c r="C46">
        <v>45.35</v>
      </c>
    </row>
    <row r="47" spans="1:3" x14ac:dyDescent="0.25">
      <c r="A47">
        <v>3012</v>
      </c>
      <c r="B47" s="1">
        <f>logtemperature__4[[#This Row],[time]]/60-43</f>
        <v>7.2000000000000028</v>
      </c>
      <c r="C47">
        <v>46.34</v>
      </c>
    </row>
    <row r="48" spans="1:3" x14ac:dyDescent="0.25">
      <c r="A48">
        <v>3022</v>
      </c>
      <c r="B48" s="1">
        <f>logtemperature__4[[#This Row],[time]]/60-43</f>
        <v>7.3666666666666671</v>
      </c>
      <c r="C48">
        <v>46.93</v>
      </c>
    </row>
    <row r="49" spans="1:3" x14ac:dyDescent="0.25">
      <c r="A49">
        <v>3032</v>
      </c>
      <c r="B49" s="1">
        <f>logtemperature__4[[#This Row],[time]]/60-43</f>
        <v>7.5333333333333314</v>
      </c>
      <c r="C49">
        <v>47.7</v>
      </c>
    </row>
    <row r="50" spans="1:3" x14ac:dyDescent="0.25">
      <c r="A50">
        <v>3042</v>
      </c>
      <c r="B50" s="1">
        <f>logtemperature__4[[#This Row],[time]]/60-43</f>
        <v>7.7000000000000028</v>
      </c>
      <c r="C50">
        <v>47.4</v>
      </c>
    </row>
    <row r="51" spans="1:3" x14ac:dyDescent="0.25">
      <c r="A51">
        <v>3052</v>
      </c>
      <c r="B51" s="1">
        <f>logtemperature__4[[#This Row],[time]]/60-43</f>
        <v>7.8666666666666671</v>
      </c>
      <c r="C51">
        <v>46.9</v>
      </c>
    </row>
    <row r="52" spans="1:3" x14ac:dyDescent="0.25">
      <c r="A52">
        <v>3062</v>
      </c>
      <c r="B52" s="1">
        <f>logtemperature__4[[#This Row],[time]]/60-43</f>
        <v>8.0333333333333314</v>
      </c>
      <c r="C52">
        <v>46.63</v>
      </c>
    </row>
    <row r="53" spans="1:3" x14ac:dyDescent="0.25">
      <c r="A53">
        <v>3072</v>
      </c>
      <c r="B53" s="1">
        <f>logtemperature__4[[#This Row],[time]]/60-43</f>
        <v>8.2000000000000028</v>
      </c>
      <c r="C53">
        <v>46.95</v>
      </c>
    </row>
    <row r="54" spans="1:3" x14ac:dyDescent="0.25">
      <c r="A54">
        <v>3082</v>
      </c>
      <c r="B54" s="1">
        <f>logtemperature__4[[#This Row],[time]]/60-43</f>
        <v>8.3666666666666671</v>
      </c>
      <c r="C54">
        <v>47.37</v>
      </c>
    </row>
    <row r="55" spans="1:3" x14ac:dyDescent="0.25">
      <c r="A55">
        <v>3093</v>
      </c>
      <c r="B55" s="1">
        <f>logtemperature__4[[#This Row],[time]]/60-43</f>
        <v>8.5499999999999972</v>
      </c>
      <c r="C55">
        <v>47.06</v>
      </c>
    </row>
    <row r="56" spans="1:3" x14ac:dyDescent="0.25">
      <c r="A56">
        <v>3103</v>
      </c>
      <c r="B56" s="1">
        <f>logtemperature__4[[#This Row],[time]]/60-43</f>
        <v>8.7166666666666686</v>
      </c>
      <c r="C56">
        <v>47.31</v>
      </c>
    </row>
    <row r="57" spans="1:3" x14ac:dyDescent="0.25">
      <c r="A57">
        <v>3113</v>
      </c>
      <c r="B57" s="1">
        <f>logtemperature__4[[#This Row],[time]]/60-43</f>
        <v>8.8833333333333329</v>
      </c>
      <c r="C57">
        <v>48.11</v>
      </c>
    </row>
    <row r="58" spans="1:3" x14ac:dyDescent="0.25">
      <c r="A58">
        <v>3123</v>
      </c>
      <c r="B58" s="1">
        <f>logtemperature__4[[#This Row],[time]]/60-43</f>
        <v>9.0499999999999972</v>
      </c>
      <c r="C58">
        <v>47.25</v>
      </c>
    </row>
    <row r="59" spans="1:3" x14ac:dyDescent="0.25">
      <c r="A59">
        <v>3133</v>
      </c>
      <c r="B59" s="1">
        <f>logtemperature__4[[#This Row],[time]]/60-43</f>
        <v>9.2166666666666686</v>
      </c>
      <c r="C59">
        <v>47.39</v>
      </c>
    </row>
    <row r="60" spans="1:3" x14ac:dyDescent="0.25">
      <c r="A60">
        <v>3143</v>
      </c>
      <c r="B60" s="1">
        <f>logtemperature__4[[#This Row],[time]]/60-43</f>
        <v>9.3833333333333329</v>
      </c>
      <c r="C60">
        <v>48.61</v>
      </c>
    </row>
    <row r="61" spans="1:3" x14ac:dyDescent="0.25">
      <c r="A61">
        <v>3153</v>
      </c>
      <c r="B61" s="1">
        <f>logtemperature__4[[#This Row],[time]]/60-43</f>
        <v>9.5499999999999972</v>
      </c>
      <c r="C61">
        <v>50.73</v>
      </c>
    </row>
    <row r="62" spans="1:3" x14ac:dyDescent="0.25">
      <c r="A62">
        <v>3163</v>
      </c>
      <c r="B62" s="1">
        <f>logtemperature__4[[#This Row],[time]]/60-43</f>
        <v>9.7166666666666686</v>
      </c>
      <c r="C62">
        <v>50.87</v>
      </c>
    </row>
    <row r="63" spans="1:3" x14ac:dyDescent="0.25">
      <c r="A63">
        <v>3173</v>
      </c>
      <c r="B63" s="1">
        <f>logtemperature__4[[#This Row],[time]]/60-43</f>
        <v>9.8833333333333329</v>
      </c>
      <c r="C63">
        <v>49.26</v>
      </c>
    </row>
    <row r="64" spans="1:3" x14ac:dyDescent="0.25">
      <c r="A64">
        <v>3183</v>
      </c>
      <c r="B64" s="1">
        <f>logtemperature__4[[#This Row],[time]]/60-43</f>
        <v>10.049999999999997</v>
      </c>
      <c r="C64">
        <v>47.2</v>
      </c>
    </row>
    <row r="65" spans="1:3" x14ac:dyDescent="0.25">
      <c r="A65">
        <v>3193</v>
      </c>
      <c r="B65" s="1">
        <f>logtemperature__4[[#This Row],[time]]/60-43</f>
        <v>10.216666666666669</v>
      </c>
      <c r="C65">
        <v>48.25</v>
      </c>
    </row>
    <row r="66" spans="1:3" x14ac:dyDescent="0.25">
      <c r="A66">
        <v>3203</v>
      </c>
      <c r="B66" s="1">
        <f>logtemperature__4[[#This Row],[time]]/60-43</f>
        <v>10.383333333333333</v>
      </c>
      <c r="C66">
        <v>49.36</v>
      </c>
    </row>
    <row r="67" spans="1:3" x14ac:dyDescent="0.25">
      <c r="A67">
        <v>3213</v>
      </c>
      <c r="B67" s="1">
        <f>logtemperature__4[[#This Row],[time]]/60-43</f>
        <v>10.549999999999997</v>
      </c>
      <c r="C67">
        <v>48.79</v>
      </c>
    </row>
    <row r="68" spans="1:3" x14ac:dyDescent="0.25">
      <c r="A68">
        <v>3223</v>
      </c>
      <c r="B68" s="1">
        <f>logtemperature__4[[#This Row],[time]]/60-43</f>
        <v>10.716666666666669</v>
      </c>
      <c r="C68">
        <v>51</v>
      </c>
    </row>
    <row r="69" spans="1:3" x14ac:dyDescent="0.25">
      <c r="A69">
        <v>3233</v>
      </c>
      <c r="B69" s="1">
        <f>logtemperature__4[[#This Row],[time]]/60-43</f>
        <v>10.883333333333333</v>
      </c>
      <c r="C69">
        <v>49.74</v>
      </c>
    </row>
    <row r="70" spans="1:3" x14ac:dyDescent="0.25">
      <c r="A70">
        <v>3243</v>
      </c>
      <c r="B70" s="1">
        <f>logtemperature__4[[#This Row],[time]]/60-43</f>
        <v>11.049999999999997</v>
      </c>
      <c r="C70">
        <v>51.77</v>
      </c>
    </row>
    <row r="71" spans="1:3" x14ac:dyDescent="0.25">
      <c r="A71">
        <v>3253</v>
      </c>
      <c r="B71" s="1">
        <f>logtemperature__4[[#This Row],[time]]/60-43</f>
        <v>11.216666666666669</v>
      </c>
      <c r="C71">
        <v>51.16</v>
      </c>
    </row>
    <row r="72" spans="1:3" x14ac:dyDescent="0.25">
      <c r="A72">
        <v>3263</v>
      </c>
      <c r="B72" s="1">
        <f>logtemperature__4[[#This Row],[time]]/60-43</f>
        <v>11.383333333333333</v>
      </c>
      <c r="C72">
        <v>51.31</v>
      </c>
    </row>
    <row r="73" spans="1:3" x14ac:dyDescent="0.25">
      <c r="A73">
        <v>3273</v>
      </c>
      <c r="B73" s="1">
        <f>logtemperature__4[[#This Row],[time]]/60-43</f>
        <v>11.549999999999997</v>
      </c>
      <c r="C73">
        <v>52.18</v>
      </c>
    </row>
    <row r="74" spans="1:3" x14ac:dyDescent="0.25">
      <c r="A74">
        <v>3283</v>
      </c>
      <c r="B74" s="1">
        <f>logtemperature__4[[#This Row],[time]]/60-43</f>
        <v>11.716666666666669</v>
      </c>
      <c r="C74">
        <v>51.07</v>
      </c>
    </row>
    <row r="75" spans="1:3" x14ac:dyDescent="0.25">
      <c r="A75">
        <v>3293</v>
      </c>
      <c r="B75" s="1">
        <f>logtemperature__4[[#This Row],[time]]/60-43</f>
        <v>11.883333333333333</v>
      </c>
      <c r="C75">
        <v>50.11</v>
      </c>
    </row>
    <row r="76" spans="1:3" x14ac:dyDescent="0.25">
      <c r="A76">
        <v>3303</v>
      </c>
      <c r="B76" s="1">
        <f>logtemperature__4[[#This Row],[time]]/60-43</f>
        <v>12.049999999999997</v>
      </c>
      <c r="C76">
        <v>48.89</v>
      </c>
    </row>
    <row r="77" spans="1:3" x14ac:dyDescent="0.25">
      <c r="A77">
        <v>3313</v>
      </c>
      <c r="B77" s="1">
        <f>logtemperature__4[[#This Row],[time]]/60-43</f>
        <v>12.216666666666669</v>
      </c>
      <c r="C77">
        <v>50.03</v>
      </c>
    </row>
    <row r="78" spans="1:3" x14ac:dyDescent="0.25">
      <c r="A78">
        <v>3323</v>
      </c>
      <c r="B78" s="1">
        <f>logtemperature__4[[#This Row],[time]]/60-43</f>
        <v>12.383333333333333</v>
      </c>
      <c r="C78">
        <v>49.85</v>
      </c>
    </row>
    <row r="79" spans="1:3" x14ac:dyDescent="0.25">
      <c r="A79">
        <v>3333</v>
      </c>
      <c r="B79" s="1">
        <f>logtemperature__4[[#This Row],[time]]/60-43</f>
        <v>12.549999999999997</v>
      </c>
      <c r="C79">
        <v>50.6</v>
      </c>
    </row>
    <row r="80" spans="1:3" x14ac:dyDescent="0.25">
      <c r="A80">
        <v>3343</v>
      </c>
      <c r="B80" s="1">
        <f>logtemperature__4[[#This Row],[time]]/60-43</f>
        <v>12.716666666666669</v>
      </c>
      <c r="C80">
        <v>51.49</v>
      </c>
    </row>
    <row r="81" spans="1:3" x14ac:dyDescent="0.25">
      <c r="A81">
        <v>3353</v>
      </c>
      <c r="B81" s="1">
        <f>logtemperature__4[[#This Row],[time]]/60-43</f>
        <v>12.883333333333333</v>
      </c>
      <c r="C81">
        <v>53.07</v>
      </c>
    </row>
    <row r="82" spans="1:3" x14ac:dyDescent="0.25">
      <c r="A82">
        <v>3363</v>
      </c>
      <c r="B82" s="1">
        <f>logtemperature__4[[#This Row],[time]]/60-43</f>
        <v>13.049999999999997</v>
      </c>
      <c r="C82">
        <v>53.44</v>
      </c>
    </row>
    <row r="83" spans="1:3" x14ac:dyDescent="0.25">
      <c r="A83">
        <v>3373</v>
      </c>
      <c r="B83" s="1">
        <f>logtemperature__4[[#This Row],[time]]/60-43</f>
        <v>13.216666666666669</v>
      </c>
      <c r="C83">
        <v>52.23</v>
      </c>
    </row>
    <row r="84" spans="1:3" x14ac:dyDescent="0.25">
      <c r="A84">
        <v>3383</v>
      </c>
      <c r="B84" s="1">
        <f>logtemperature__4[[#This Row],[time]]/60-43</f>
        <v>13.383333333333333</v>
      </c>
      <c r="C84">
        <v>51.93</v>
      </c>
    </row>
    <row r="85" spans="1:3" x14ac:dyDescent="0.25">
      <c r="A85">
        <v>3393</v>
      </c>
      <c r="B85" s="1">
        <f>logtemperature__4[[#This Row],[time]]/60-43</f>
        <v>13.549999999999997</v>
      </c>
      <c r="C85">
        <v>52.53</v>
      </c>
    </row>
    <row r="86" spans="1:3" x14ac:dyDescent="0.25">
      <c r="A86">
        <v>3403</v>
      </c>
      <c r="B86" s="1">
        <f>logtemperature__4[[#This Row],[time]]/60-43</f>
        <v>13.716666666666669</v>
      </c>
      <c r="C86">
        <v>53.55</v>
      </c>
    </row>
    <row r="87" spans="1:3" x14ac:dyDescent="0.25">
      <c r="A87">
        <v>3413</v>
      </c>
      <c r="B87" s="1">
        <f>logtemperature__4[[#This Row],[time]]/60-43</f>
        <v>13.883333333333333</v>
      </c>
      <c r="C87">
        <v>52.91</v>
      </c>
    </row>
    <row r="88" spans="1:3" x14ac:dyDescent="0.25">
      <c r="A88">
        <v>3423</v>
      </c>
      <c r="B88" s="1">
        <f>logtemperature__4[[#This Row],[time]]/60-43</f>
        <v>14.049999999999997</v>
      </c>
      <c r="C88">
        <v>54.95</v>
      </c>
    </row>
    <row r="89" spans="1:3" x14ac:dyDescent="0.25">
      <c r="A89">
        <v>3433</v>
      </c>
      <c r="B89" s="1">
        <f>logtemperature__4[[#This Row],[time]]/60-43</f>
        <v>14.216666666666669</v>
      </c>
      <c r="C89">
        <v>53.3</v>
      </c>
    </row>
    <row r="90" spans="1:3" x14ac:dyDescent="0.25">
      <c r="A90">
        <v>3443</v>
      </c>
      <c r="B90" s="1">
        <f>logtemperature__4[[#This Row],[time]]/60-43</f>
        <v>14.383333333333333</v>
      </c>
      <c r="C90">
        <v>53.32</v>
      </c>
    </row>
    <row r="91" spans="1:3" x14ac:dyDescent="0.25">
      <c r="A91">
        <v>3453</v>
      </c>
      <c r="B91" s="1">
        <f>logtemperature__4[[#This Row],[time]]/60-43</f>
        <v>14.549999999999997</v>
      </c>
      <c r="C91">
        <v>54.14</v>
      </c>
    </row>
    <row r="92" spans="1:3" x14ac:dyDescent="0.25">
      <c r="A92">
        <v>3463</v>
      </c>
      <c r="B92" s="1">
        <f>logtemperature__4[[#This Row],[time]]/60-43</f>
        <v>14.716666666666669</v>
      </c>
      <c r="C92">
        <v>53.85</v>
      </c>
    </row>
    <row r="93" spans="1:3" x14ac:dyDescent="0.25">
      <c r="A93">
        <v>3473</v>
      </c>
      <c r="B93" s="1">
        <f>logtemperature__4[[#This Row],[time]]/60-43</f>
        <v>14.883333333333333</v>
      </c>
      <c r="C93">
        <v>52.38</v>
      </c>
    </row>
    <row r="94" spans="1:3" x14ac:dyDescent="0.25">
      <c r="A94">
        <v>3483</v>
      </c>
      <c r="B94" s="1">
        <f>logtemperature__4[[#This Row],[time]]/60-43</f>
        <v>15.049999999999997</v>
      </c>
      <c r="C94">
        <v>53.88</v>
      </c>
    </row>
    <row r="95" spans="1:3" x14ac:dyDescent="0.25">
      <c r="A95">
        <v>3493</v>
      </c>
      <c r="B95" s="1">
        <f>logtemperature__4[[#This Row],[time]]/60-43</f>
        <v>15.216666666666669</v>
      </c>
      <c r="C95">
        <v>54.97</v>
      </c>
    </row>
    <row r="96" spans="1:3" x14ac:dyDescent="0.25">
      <c r="A96">
        <v>3503</v>
      </c>
      <c r="B96" s="1">
        <f>logtemperature__4[[#This Row],[time]]/60-43</f>
        <v>15.383333333333333</v>
      </c>
      <c r="C96">
        <v>54.65</v>
      </c>
    </row>
    <row r="97" spans="1:3" x14ac:dyDescent="0.25">
      <c r="A97">
        <v>3513</v>
      </c>
      <c r="B97" s="1">
        <f>logtemperature__4[[#This Row],[time]]/60-43</f>
        <v>15.549999999999997</v>
      </c>
      <c r="C97">
        <v>55.41</v>
      </c>
    </row>
    <row r="98" spans="1:3" x14ac:dyDescent="0.25">
      <c r="A98">
        <v>3523</v>
      </c>
      <c r="B98" s="1">
        <f>logtemperature__4[[#This Row],[time]]/60-43</f>
        <v>15.716666666666669</v>
      </c>
      <c r="C98">
        <v>54.91</v>
      </c>
    </row>
    <row r="99" spans="1:3" x14ac:dyDescent="0.25">
      <c r="A99">
        <v>3533</v>
      </c>
      <c r="B99" s="1">
        <f>logtemperature__4[[#This Row],[time]]/60-43</f>
        <v>15.883333333333333</v>
      </c>
      <c r="C99">
        <v>54.44</v>
      </c>
    </row>
    <row r="100" spans="1:3" x14ac:dyDescent="0.25">
      <c r="A100">
        <v>3543</v>
      </c>
      <c r="B100" s="1">
        <f>logtemperature__4[[#This Row],[time]]/60-43</f>
        <v>16.049999999999997</v>
      </c>
      <c r="C100">
        <v>55.54</v>
      </c>
    </row>
    <row r="101" spans="1:3" x14ac:dyDescent="0.25">
      <c r="A101">
        <v>3553</v>
      </c>
      <c r="B101" s="1">
        <f>logtemperature__4[[#This Row],[time]]/60-43</f>
        <v>16.216666666666669</v>
      </c>
      <c r="C101">
        <v>56.78</v>
      </c>
    </row>
    <row r="102" spans="1:3" x14ac:dyDescent="0.25">
      <c r="A102">
        <v>3563</v>
      </c>
      <c r="B102" s="1">
        <f>logtemperature__4[[#This Row],[time]]/60-43</f>
        <v>16.383333333333333</v>
      </c>
      <c r="C102">
        <v>56.23</v>
      </c>
    </row>
    <row r="103" spans="1:3" x14ac:dyDescent="0.25">
      <c r="A103">
        <v>3574</v>
      </c>
      <c r="B103" s="1">
        <f>logtemperature__4[[#This Row],[time]]/60-43</f>
        <v>16.56666666666667</v>
      </c>
      <c r="C103">
        <v>55.01</v>
      </c>
    </row>
    <row r="104" spans="1:3" x14ac:dyDescent="0.25">
      <c r="A104">
        <v>3584</v>
      </c>
      <c r="B104" s="1">
        <f>logtemperature__4[[#This Row],[time]]/60-43</f>
        <v>16.733333333333334</v>
      </c>
      <c r="C104">
        <v>54.84</v>
      </c>
    </row>
    <row r="105" spans="1:3" x14ac:dyDescent="0.25">
      <c r="A105">
        <v>3594</v>
      </c>
      <c r="B105" s="1">
        <f>logtemperature__4[[#This Row],[time]]/60-43</f>
        <v>16.899999999999999</v>
      </c>
      <c r="C105">
        <v>55.1</v>
      </c>
    </row>
    <row r="106" spans="1:3" x14ac:dyDescent="0.25">
      <c r="A106">
        <v>3604</v>
      </c>
      <c r="B106" s="1">
        <f>logtemperature__4[[#This Row],[time]]/60-43</f>
        <v>17.06666666666667</v>
      </c>
      <c r="C106">
        <v>56.44</v>
      </c>
    </row>
    <row r="107" spans="1:3" x14ac:dyDescent="0.25">
      <c r="A107">
        <v>3614</v>
      </c>
      <c r="B107" s="1">
        <f>logtemperature__4[[#This Row],[time]]/60-43</f>
        <v>17.233333333333334</v>
      </c>
      <c r="C107">
        <v>57.82</v>
      </c>
    </row>
    <row r="108" spans="1:3" x14ac:dyDescent="0.25">
      <c r="A108">
        <v>3624</v>
      </c>
      <c r="B108" s="1">
        <f>logtemperature__4[[#This Row],[time]]/60-43</f>
        <v>17.399999999999999</v>
      </c>
      <c r="C108">
        <v>57.5</v>
      </c>
    </row>
    <row r="109" spans="1:3" x14ac:dyDescent="0.25">
      <c r="A109">
        <v>3634</v>
      </c>
      <c r="B109" s="1">
        <f>logtemperature__4[[#This Row],[time]]/60-43</f>
        <v>17.56666666666667</v>
      </c>
      <c r="C109">
        <v>57.28</v>
      </c>
    </row>
    <row r="110" spans="1:3" x14ac:dyDescent="0.25">
      <c r="A110">
        <v>3644</v>
      </c>
      <c r="B110" s="1">
        <f>logtemperature__4[[#This Row],[time]]/60-43</f>
        <v>17.733333333333334</v>
      </c>
      <c r="C110">
        <v>55.85</v>
      </c>
    </row>
    <row r="111" spans="1:3" x14ac:dyDescent="0.25">
      <c r="A111">
        <v>3654</v>
      </c>
      <c r="B111" s="1">
        <f>logtemperature__4[[#This Row],[time]]/60-43</f>
        <v>17.899999999999999</v>
      </c>
      <c r="C111">
        <v>57.42</v>
      </c>
    </row>
    <row r="112" spans="1:3" x14ac:dyDescent="0.25">
      <c r="A112">
        <v>3664</v>
      </c>
      <c r="B112" s="1">
        <f>logtemperature__4[[#This Row],[time]]/60-43</f>
        <v>18.06666666666667</v>
      </c>
      <c r="C112">
        <v>56.34</v>
      </c>
    </row>
    <row r="113" spans="1:3" x14ac:dyDescent="0.25">
      <c r="A113">
        <v>3674</v>
      </c>
      <c r="B113" s="1">
        <f>logtemperature__4[[#This Row],[time]]/60-43</f>
        <v>18.233333333333334</v>
      </c>
      <c r="C113">
        <v>56.17</v>
      </c>
    </row>
    <row r="114" spans="1:3" x14ac:dyDescent="0.25">
      <c r="A114">
        <v>3684</v>
      </c>
      <c r="B114" s="1">
        <f>logtemperature__4[[#This Row],[time]]/60-43</f>
        <v>18.399999999999999</v>
      </c>
      <c r="C114">
        <v>57.96</v>
      </c>
    </row>
    <row r="115" spans="1:3" x14ac:dyDescent="0.25">
      <c r="A115">
        <v>3694</v>
      </c>
      <c r="B115" s="1">
        <f>logtemperature__4[[#This Row],[time]]/60-43</f>
        <v>18.56666666666667</v>
      </c>
      <c r="C115">
        <v>57.58</v>
      </c>
    </row>
    <row r="116" spans="1:3" x14ac:dyDescent="0.25">
      <c r="A116">
        <v>3704</v>
      </c>
      <c r="B116" s="1">
        <f>logtemperature__4[[#This Row],[time]]/60-43</f>
        <v>18.733333333333334</v>
      </c>
      <c r="C116">
        <v>58.01</v>
      </c>
    </row>
    <row r="117" spans="1:3" x14ac:dyDescent="0.25">
      <c r="A117">
        <v>3714</v>
      </c>
      <c r="B117" s="1">
        <f>logtemperature__4[[#This Row],[time]]/60-43</f>
        <v>18.899999999999999</v>
      </c>
      <c r="C117">
        <v>57.06</v>
      </c>
    </row>
    <row r="118" spans="1:3" x14ac:dyDescent="0.25">
      <c r="A118">
        <v>3724</v>
      </c>
      <c r="B118" s="1">
        <f>logtemperature__4[[#This Row],[time]]/60-43</f>
        <v>19.06666666666667</v>
      </c>
      <c r="C118">
        <v>58.1</v>
      </c>
    </row>
    <row r="119" spans="1:3" x14ac:dyDescent="0.25">
      <c r="A119">
        <v>3734</v>
      </c>
      <c r="B119" s="1">
        <f>logtemperature__4[[#This Row],[time]]/60-43</f>
        <v>19.233333333333334</v>
      </c>
      <c r="C119">
        <v>57.58</v>
      </c>
    </row>
    <row r="120" spans="1:3" x14ac:dyDescent="0.25">
      <c r="A120">
        <v>3744</v>
      </c>
      <c r="B120" s="1">
        <f>logtemperature__4[[#This Row],[time]]/60-43</f>
        <v>19.399999999999999</v>
      </c>
      <c r="C120">
        <v>57.54</v>
      </c>
    </row>
    <row r="121" spans="1:3" x14ac:dyDescent="0.25">
      <c r="A121">
        <v>3754</v>
      </c>
      <c r="B121" s="1">
        <f>logtemperature__4[[#This Row],[time]]/60-43</f>
        <v>19.56666666666667</v>
      </c>
      <c r="C121">
        <v>57.98</v>
      </c>
    </row>
    <row r="122" spans="1:3" x14ac:dyDescent="0.25">
      <c r="A122">
        <v>3764</v>
      </c>
      <c r="B122" s="1">
        <f>logtemperature__4[[#This Row],[time]]/60-43</f>
        <v>19.733333333333334</v>
      </c>
      <c r="C122">
        <v>57.73</v>
      </c>
    </row>
    <row r="123" spans="1:3" x14ac:dyDescent="0.25">
      <c r="A123">
        <v>3774</v>
      </c>
      <c r="B123" s="1">
        <f>logtemperature__4[[#This Row],[time]]/60-43</f>
        <v>19.899999999999999</v>
      </c>
      <c r="C123">
        <v>57.15</v>
      </c>
    </row>
    <row r="124" spans="1:3" x14ac:dyDescent="0.25">
      <c r="A124">
        <v>3784</v>
      </c>
      <c r="B124" s="1">
        <f>logtemperature__4[[#This Row],[time]]/60-43</f>
        <v>20.06666666666667</v>
      </c>
      <c r="C124">
        <v>57.38</v>
      </c>
    </row>
    <row r="125" spans="1:3" x14ac:dyDescent="0.25">
      <c r="A125">
        <v>3794</v>
      </c>
      <c r="B125" s="1">
        <f>logtemperature__4[[#This Row],[time]]/60-43</f>
        <v>20.233333333333334</v>
      </c>
      <c r="C125">
        <v>57.96</v>
      </c>
    </row>
    <row r="126" spans="1:3" x14ac:dyDescent="0.25">
      <c r="A126">
        <v>3804</v>
      </c>
      <c r="B126" s="1">
        <f>logtemperature__4[[#This Row],[time]]/60-43</f>
        <v>20.399999999999999</v>
      </c>
      <c r="C126">
        <v>58.51</v>
      </c>
    </row>
    <row r="127" spans="1:3" x14ac:dyDescent="0.25">
      <c r="A127">
        <v>3814</v>
      </c>
      <c r="B127" s="1">
        <f>logtemperature__4[[#This Row],[time]]/60-43</f>
        <v>20.56666666666667</v>
      </c>
      <c r="C127">
        <v>58.67</v>
      </c>
    </row>
    <row r="128" spans="1:3" x14ac:dyDescent="0.25">
      <c r="A128">
        <v>3824</v>
      </c>
      <c r="B128" s="1">
        <f>logtemperature__4[[#This Row],[time]]/60-43</f>
        <v>20.733333333333334</v>
      </c>
      <c r="C128">
        <v>57.92</v>
      </c>
    </row>
    <row r="129" spans="1:3" x14ac:dyDescent="0.25">
      <c r="A129">
        <v>3834</v>
      </c>
      <c r="B129" s="1">
        <f>logtemperature__4[[#This Row],[time]]/60-43</f>
        <v>20.9</v>
      </c>
      <c r="C129">
        <v>58.06</v>
      </c>
    </row>
    <row r="130" spans="1:3" x14ac:dyDescent="0.25">
      <c r="A130">
        <v>3844</v>
      </c>
      <c r="B130" s="1">
        <f>logtemperature__4[[#This Row],[time]]/60-43</f>
        <v>21.066666666666663</v>
      </c>
      <c r="C130">
        <v>59.34</v>
      </c>
    </row>
    <row r="131" spans="1:3" x14ac:dyDescent="0.25">
      <c r="A131">
        <v>3854</v>
      </c>
      <c r="B131" s="1">
        <f>logtemperature__4[[#This Row],[time]]/60-43</f>
        <v>21.233333333333334</v>
      </c>
      <c r="C131">
        <v>58.74</v>
      </c>
    </row>
    <row r="132" spans="1:3" x14ac:dyDescent="0.25">
      <c r="A132">
        <v>3864</v>
      </c>
      <c r="B132" s="1">
        <f>logtemperature__4[[#This Row],[time]]/60-43</f>
        <v>21.400000000000006</v>
      </c>
      <c r="C132">
        <v>59.68</v>
      </c>
    </row>
    <row r="133" spans="1:3" x14ac:dyDescent="0.25">
      <c r="A133">
        <v>3874</v>
      </c>
      <c r="B133" s="1">
        <f>logtemperature__4[[#This Row],[time]]/60-43</f>
        <v>21.566666666666663</v>
      </c>
      <c r="C133">
        <v>59.05</v>
      </c>
    </row>
    <row r="134" spans="1:3" x14ac:dyDescent="0.25">
      <c r="A134">
        <v>3884</v>
      </c>
      <c r="B134" s="1">
        <f>logtemperature__4[[#This Row],[time]]/60-43</f>
        <v>21.733333333333334</v>
      </c>
      <c r="C134">
        <v>58.79</v>
      </c>
    </row>
    <row r="135" spans="1:3" x14ac:dyDescent="0.25">
      <c r="A135">
        <v>3894</v>
      </c>
      <c r="B135" s="1">
        <f>logtemperature__4[[#This Row],[time]]/60-43</f>
        <v>21.900000000000006</v>
      </c>
      <c r="C135">
        <v>59.73</v>
      </c>
    </row>
    <row r="136" spans="1:3" x14ac:dyDescent="0.25">
      <c r="A136">
        <v>3904</v>
      </c>
      <c r="B136" s="1">
        <f>logtemperature__4[[#This Row],[time]]/60-43</f>
        <v>22.066666666666663</v>
      </c>
      <c r="C136">
        <v>59.77</v>
      </c>
    </row>
    <row r="137" spans="1:3" x14ac:dyDescent="0.25">
      <c r="A137">
        <v>3914</v>
      </c>
      <c r="B137" s="1">
        <f>logtemperature__4[[#This Row],[time]]/60-43</f>
        <v>22.233333333333334</v>
      </c>
      <c r="C137">
        <v>60.32</v>
      </c>
    </row>
    <row r="138" spans="1:3" x14ac:dyDescent="0.25">
      <c r="A138">
        <v>3925</v>
      </c>
      <c r="B138" s="1">
        <f>logtemperature__4[[#This Row],[time]]/60-43</f>
        <v>22.416666666666671</v>
      </c>
      <c r="C138">
        <v>60.01</v>
      </c>
    </row>
    <row r="139" spans="1:3" x14ac:dyDescent="0.25">
      <c r="A139">
        <v>3935</v>
      </c>
      <c r="B139" s="1">
        <f>logtemperature__4[[#This Row],[time]]/60-43</f>
        <v>22.583333333333329</v>
      </c>
      <c r="C139">
        <v>60.51</v>
      </c>
    </row>
    <row r="140" spans="1:3" x14ac:dyDescent="0.25">
      <c r="A140">
        <v>3945</v>
      </c>
      <c r="B140" s="1">
        <f>logtemperature__4[[#This Row],[time]]/60-43</f>
        <v>22.75</v>
      </c>
      <c r="C140">
        <v>60.21</v>
      </c>
    </row>
    <row r="141" spans="1:3" x14ac:dyDescent="0.25">
      <c r="A141">
        <v>3955</v>
      </c>
      <c r="B141" s="1">
        <f>logtemperature__4[[#This Row],[time]]/60-43</f>
        <v>22.916666666666671</v>
      </c>
      <c r="C141">
        <v>60.25</v>
      </c>
    </row>
    <row r="142" spans="1:3" x14ac:dyDescent="0.25">
      <c r="A142">
        <v>3965</v>
      </c>
      <c r="B142" s="1">
        <f>logtemperature__4[[#This Row],[time]]/60-43</f>
        <v>23.083333333333329</v>
      </c>
      <c r="C142">
        <v>61.34</v>
      </c>
    </row>
    <row r="143" spans="1:3" x14ac:dyDescent="0.25">
      <c r="A143">
        <v>3975</v>
      </c>
      <c r="B143" s="1">
        <f>logtemperature__4[[#This Row],[time]]/60-43</f>
        <v>23.25</v>
      </c>
      <c r="C143">
        <v>61.4</v>
      </c>
    </row>
    <row r="144" spans="1:3" x14ac:dyDescent="0.25">
      <c r="A144">
        <v>3985</v>
      </c>
      <c r="B144" s="1">
        <f>logtemperature__4[[#This Row],[time]]/60-43</f>
        <v>23.416666666666671</v>
      </c>
      <c r="C144">
        <v>61.73</v>
      </c>
    </row>
    <row r="145" spans="1:3" x14ac:dyDescent="0.25">
      <c r="A145">
        <v>3995</v>
      </c>
      <c r="B145" s="1">
        <f>logtemperature__4[[#This Row],[time]]/60-43</f>
        <v>23.583333333333329</v>
      </c>
      <c r="C145">
        <v>60.84</v>
      </c>
    </row>
    <row r="146" spans="1:3" x14ac:dyDescent="0.25">
      <c r="A146">
        <v>4005</v>
      </c>
      <c r="B146" s="1">
        <f>logtemperature__4[[#This Row],[time]]/60-43</f>
        <v>23.75</v>
      </c>
      <c r="C146">
        <v>60.29</v>
      </c>
    </row>
    <row r="147" spans="1:3" x14ac:dyDescent="0.25">
      <c r="A147">
        <v>4015</v>
      </c>
      <c r="B147" s="1">
        <f>logtemperature__4[[#This Row],[time]]/60-43</f>
        <v>23.916666666666671</v>
      </c>
      <c r="C147">
        <v>60.08</v>
      </c>
    </row>
    <row r="148" spans="1:3" x14ac:dyDescent="0.25">
      <c r="A148">
        <v>4025</v>
      </c>
      <c r="B148" s="1">
        <f>logtemperature__4[[#This Row],[time]]/60-43</f>
        <v>24.083333333333329</v>
      </c>
      <c r="C148">
        <v>58.98</v>
      </c>
    </row>
    <row r="149" spans="1:3" x14ac:dyDescent="0.25">
      <c r="A149">
        <v>4035</v>
      </c>
      <c r="B149" s="1">
        <f>logtemperature__4[[#This Row],[time]]/60-43</f>
        <v>24.25</v>
      </c>
      <c r="C149">
        <v>58.26</v>
      </c>
    </row>
    <row r="150" spans="1:3" x14ac:dyDescent="0.25">
      <c r="A150">
        <v>4045</v>
      </c>
      <c r="B150" s="1">
        <f>logtemperature__4[[#This Row],[time]]/60-43</f>
        <v>24.416666666666671</v>
      </c>
      <c r="C150">
        <v>58.07</v>
      </c>
    </row>
    <row r="151" spans="1:3" x14ac:dyDescent="0.25">
      <c r="A151">
        <v>4055</v>
      </c>
      <c r="B151" s="1">
        <f>logtemperature__4[[#This Row],[time]]/60-43</f>
        <v>24.583333333333329</v>
      </c>
      <c r="C151">
        <v>58.56</v>
      </c>
    </row>
    <row r="152" spans="1:3" x14ac:dyDescent="0.25">
      <c r="A152">
        <v>4065</v>
      </c>
      <c r="B152" s="1">
        <f>logtemperature__4[[#This Row],[time]]/60-43</f>
        <v>24.75</v>
      </c>
      <c r="C152">
        <v>58.95</v>
      </c>
    </row>
    <row r="153" spans="1:3" x14ac:dyDescent="0.25">
      <c r="A153">
        <v>4075</v>
      </c>
      <c r="B153" s="1">
        <f>logtemperature__4[[#This Row],[time]]/60-43</f>
        <v>24.916666666666671</v>
      </c>
      <c r="C153">
        <v>58.35</v>
      </c>
    </row>
    <row r="154" spans="1:3" x14ac:dyDescent="0.25">
      <c r="A154">
        <v>4085</v>
      </c>
      <c r="B154" s="1">
        <f>logtemperature__4[[#This Row],[time]]/60-43</f>
        <v>25.083333333333329</v>
      </c>
      <c r="C154">
        <v>58.85</v>
      </c>
    </row>
    <row r="155" spans="1:3" x14ac:dyDescent="0.25">
      <c r="A155">
        <v>4095</v>
      </c>
      <c r="B155" s="1">
        <f>logtemperature__4[[#This Row],[time]]/60-43</f>
        <v>25.25</v>
      </c>
      <c r="C155">
        <v>60.8</v>
      </c>
    </row>
    <row r="156" spans="1:3" x14ac:dyDescent="0.25">
      <c r="A156">
        <v>4105</v>
      </c>
      <c r="B156" s="1">
        <f>logtemperature__4[[#This Row],[time]]/60-43</f>
        <v>25.416666666666671</v>
      </c>
      <c r="C156">
        <v>60.58</v>
      </c>
    </row>
    <row r="157" spans="1:3" x14ac:dyDescent="0.25">
      <c r="A157">
        <v>4115</v>
      </c>
      <c r="B157" s="1">
        <f>logtemperature__4[[#This Row],[time]]/60-43</f>
        <v>25.583333333333329</v>
      </c>
      <c r="C157">
        <v>60.22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3605E-5A70-401D-A34B-EBFDCFF52E54}">
  <dimension ref="A1:C43"/>
  <sheetViews>
    <sheetView workbookViewId="0">
      <selection activeCell="Z8" sqref="Z8"/>
    </sheetView>
  </sheetViews>
  <sheetFormatPr defaultRowHeight="15" x14ac:dyDescent="0.25"/>
  <cols>
    <col min="1" max="1" width="11.42578125" bestFit="1" customWidth="1"/>
    <col min="2" max="2" width="11.42578125" customWidth="1"/>
    <col min="3" max="3" width="11.42578125" bestFit="1" customWidth="1"/>
  </cols>
  <sheetData>
    <row r="1" spans="1:3" x14ac:dyDescent="0.25">
      <c r="A1" t="s">
        <v>8</v>
      </c>
      <c r="B1" t="s">
        <v>7</v>
      </c>
      <c r="C1" t="s">
        <v>6</v>
      </c>
    </row>
    <row r="2" spans="1:3" x14ac:dyDescent="0.25">
      <c r="A2">
        <v>39894</v>
      </c>
      <c r="B2" s="1">
        <f>logtemperature__5[[#This Row],[seconds]]/60-665</f>
        <v>-0.10000000000002274</v>
      </c>
      <c r="C2">
        <v>25.65</v>
      </c>
    </row>
    <row r="3" spans="1:3" x14ac:dyDescent="0.25">
      <c r="A3">
        <v>39904</v>
      </c>
      <c r="B3" s="1">
        <f>logtemperature__5[[#This Row],[seconds]]/60-665</f>
        <v>6.6666666666719721E-2</v>
      </c>
      <c r="C3">
        <v>25.96</v>
      </c>
    </row>
    <row r="4" spans="1:3" x14ac:dyDescent="0.25">
      <c r="A4">
        <v>39914</v>
      </c>
      <c r="B4" s="1">
        <f>logtemperature__5[[#This Row],[seconds]]/60-665</f>
        <v>0.23333333333334849</v>
      </c>
      <c r="C4">
        <v>26.02</v>
      </c>
    </row>
    <row r="5" spans="1:3" x14ac:dyDescent="0.25">
      <c r="A5">
        <v>39924</v>
      </c>
      <c r="B5" s="1">
        <f>logtemperature__5[[#This Row],[seconds]]/60-665</f>
        <v>0.39999999999997726</v>
      </c>
      <c r="C5">
        <v>26.95</v>
      </c>
    </row>
    <row r="6" spans="1:3" x14ac:dyDescent="0.25">
      <c r="A6">
        <v>39934</v>
      </c>
      <c r="B6" s="1">
        <f>logtemperature__5[[#This Row],[seconds]]/60-665</f>
        <v>0.56666666666671972</v>
      </c>
      <c r="C6">
        <v>28.55</v>
      </c>
    </row>
    <row r="7" spans="1:3" x14ac:dyDescent="0.25">
      <c r="A7">
        <v>39944</v>
      </c>
      <c r="B7" s="1">
        <f>logtemperature__5[[#This Row],[seconds]]/60-665</f>
        <v>0.73333333333334849</v>
      </c>
      <c r="C7">
        <v>30.28</v>
      </c>
    </row>
    <row r="8" spans="1:3" x14ac:dyDescent="0.25">
      <c r="A8">
        <v>39954</v>
      </c>
      <c r="B8" s="1">
        <f>logtemperature__5[[#This Row],[seconds]]/60-665</f>
        <v>0.89999999999997726</v>
      </c>
      <c r="C8">
        <v>32.68</v>
      </c>
    </row>
    <row r="9" spans="1:3" x14ac:dyDescent="0.25">
      <c r="A9">
        <v>39964</v>
      </c>
      <c r="B9" s="1">
        <f>logtemperature__5[[#This Row],[seconds]]/60-665</f>
        <v>1.0666666666667197</v>
      </c>
      <c r="C9">
        <v>35.18</v>
      </c>
    </row>
    <row r="10" spans="1:3" x14ac:dyDescent="0.25">
      <c r="A10">
        <v>39974</v>
      </c>
      <c r="B10" s="1">
        <f>logtemperature__5[[#This Row],[seconds]]/60-665</f>
        <v>1.2333333333333485</v>
      </c>
      <c r="C10">
        <v>36.43</v>
      </c>
    </row>
    <row r="11" spans="1:3" x14ac:dyDescent="0.25">
      <c r="A11">
        <v>39984</v>
      </c>
      <c r="B11" s="1">
        <f>logtemperature__5[[#This Row],[seconds]]/60-665</f>
        <v>1.3999999999999773</v>
      </c>
      <c r="C11">
        <v>37.43</v>
      </c>
    </row>
    <row r="12" spans="1:3" x14ac:dyDescent="0.25">
      <c r="A12">
        <v>39994</v>
      </c>
      <c r="B12" s="1">
        <f>logtemperature__5[[#This Row],[seconds]]/60-665</f>
        <v>1.5666666666667197</v>
      </c>
      <c r="C12">
        <v>39.14</v>
      </c>
    </row>
    <row r="13" spans="1:3" x14ac:dyDescent="0.25">
      <c r="A13">
        <v>40004</v>
      </c>
      <c r="B13" s="1">
        <f>logtemperature__5[[#This Row],[seconds]]/60-665</f>
        <v>1.7333333333333485</v>
      </c>
      <c r="C13">
        <v>40.450000000000003</v>
      </c>
    </row>
    <row r="14" spans="1:3" x14ac:dyDescent="0.25">
      <c r="A14">
        <v>40014</v>
      </c>
      <c r="B14" s="1">
        <f>logtemperature__5[[#This Row],[seconds]]/60-665</f>
        <v>1.8999999999999773</v>
      </c>
      <c r="C14">
        <v>41.52</v>
      </c>
    </row>
    <row r="15" spans="1:3" x14ac:dyDescent="0.25">
      <c r="A15">
        <v>40025</v>
      </c>
      <c r="B15" s="1">
        <f>logtemperature__5[[#This Row],[seconds]]/60-665</f>
        <v>2.0833333333333712</v>
      </c>
      <c r="C15">
        <v>42.18</v>
      </c>
    </row>
    <row r="16" spans="1:3" x14ac:dyDescent="0.25">
      <c r="A16">
        <v>40035</v>
      </c>
      <c r="B16" s="1">
        <f>logtemperature__5[[#This Row],[seconds]]/60-665</f>
        <v>2.25</v>
      </c>
      <c r="C16">
        <v>42.62</v>
      </c>
    </row>
    <row r="17" spans="1:3" x14ac:dyDescent="0.25">
      <c r="A17">
        <v>40045</v>
      </c>
      <c r="B17" s="1">
        <f>logtemperature__5[[#This Row],[seconds]]/60-665</f>
        <v>2.4166666666666288</v>
      </c>
      <c r="C17">
        <v>43.77</v>
      </c>
    </row>
    <row r="18" spans="1:3" x14ac:dyDescent="0.25">
      <c r="A18">
        <v>40055</v>
      </c>
      <c r="B18" s="1">
        <f>logtemperature__5[[#This Row],[seconds]]/60-665</f>
        <v>2.5833333333333712</v>
      </c>
      <c r="C18">
        <v>44.7</v>
      </c>
    </row>
    <row r="19" spans="1:3" x14ac:dyDescent="0.25">
      <c r="A19">
        <v>40065</v>
      </c>
      <c r="B19" s="1">
        <f>logtemperature__5[[#This Row],[seconds]]/60-665</f>
        <v>2.75</v>
      </c>
      <c r="C19">
        <v>45.53</v>
      </c>
    </row>
    <row r="20" spans="1:3" x14ac:dyDescent="0.25">
      <c r="A20">
        <v>40075</v>
      </c>
      <c r="B20" s="1">
        <f>logtemperature__5[[#This Row],[seconds]]/60-665</f>
        <v>2.9166666666666288</v>
      </c>
      <c r="C20">
        <v>46.32</v>
      </c>
    </row>
    <row r="21" spans="1:3" x14ac:dyDescent="0.25">
      <c r="A21">
        <v>40085</v>
      </c>
      <c r="B21" s="1">
        <f>logtemperature__5[[#This Row],[seconds]]/60-665</f>
        <v>3.0833333333333712</v>
      </c>
      <c r="C21">
        <v>46.86</v>
      </c>
    </row>
    <row r="22" spans="1:3" x14ac:dyDescent="0.25">
      <c r="A22">
        <v>40095</v>
      </c>
      <c r="B22" s="1">
        <f>logtemperature__5[[#This Row],[seconds]]/60-665</f>
        <v>3.25</v>
      </c>
      <c r="C22">
        <v>47.28</v>
      </c>
    </row>
    <row r="23" spans="1:3" x14ac:dyDescent="0.25">
      <c r="A23">
        <v>40105</v>
      </c>
      <c r="B23" s="1">
        <f>logtemperature__5[[#This Row],[seconds]]/60-665</f>
        <v>3.4166666666666288</v>
      </c>
      <c r="C23">
        <v>48.14</v>
      </c>
    </row>
    <row r="24" spans="1:3" x14ac:dyDescent="0.25">
      <c r="A24">
        <v>40115</v>
      </c>
      <c r="B24" s="1">
        <f>logtemperature__5[[#This Row],[seconds]]/60-665</f>
        <v>3.5833333333333712</v>
      </c>
      <c r="C24">
        <v>48.53</v>
      </c>
    </row>
    <row r="25" spans="1:3" x14ac:dyDescent="0.25">
      <c r="A25">
        <v>40125</v>
      </c>
      <c r="B25" s="1">
        <f>logtemperature__5[[#This Row],[seconds]]/60-665</f>
        <v>3.75</v>
      </c>
      <c r="C25">
        <v>48.96</v>
      </c>
    </row>
    <row r="26" spans="1:3" x14ac:dyDescent="0.25">
      <c r="A26">
        <v>40135</v>
      </c>
      <c r="B26" s="1">
        <f>logtemperature__5[[#This Row],[seconds]]/60-665</f>
        <v>3.9166666666666288</v>
      </c>
      <c r="C26">
        <v>48.84</v>
      </c>
    </row>
    <row r="27" spans="1:3" x14ac:dyDescent="0.25">
      <c r="A27">
        <v>40145</v>
      </c>
      <c r="B27" s="1">
        <f>logtemperature__5[[#This Row],[seconds]]/60-665</f>
        <v>4.0833333333333712</v>
      </c>
      <c r="C27">
        <v>50.44</v>
      </c>
    </row>
    <row r="28" spans="1:3" x14ac:dyDescent="0.25">
      <c r="A28">
        <v>40155</v>
      </c>
      <c r="B28" s="1">
        <f>logtemperature__5[[#This Row],[seconds]]/60-665</f>
        <v>4.25</v>
      </c>
      <c r="C28">
        <v>50.52</v>
      </c>
    </row>
    <row r="29" spans="1:3" x14ac:dyDescent="0.25">
      <c r="A29">
        <v>40165</v>
      </c>
      <c r="B29" s="1">
        <f>logtemperature__5[[#This Row],[seconds]]/60-665</f>
        <v>4.4166666666666288</v>
      </c>
      <c r="C29">
        <v>51.05</v>
      </c>
    </row>
    <row r="30" spans="1:3" x14ac:dyDescent="0.25">
      <c r="A30">
        <v>40175</v>
      </c>
      <c r="B30" s="1">
        <f>logtemperature__5[[#This Row],[seconds]]/60-665</f>
        <v>4.5833333333333712</v>
      </c>
      <c r="C30">
        <v>51.27</v>
      </c>
    </row>
    <row r="31" spans="1:3" x14ac:dyDescent="0.25">
      <c r="A31">
        <v>40185</v>
      </c>
      <c r="B31" s="1">
        <f>logtemperature__5[[#This Row],[seconds]]/60-665</f>
        <v>4.75</v>
      </c>
      <c r="C31">
        <v>52.24</v>
      </c>
    </row>
    <row r="32" spans="1:3" x14ac:dyDescent="0.25">
      <c r="A32">
        <v>40195</v>
      </c>
      <c r="B32" s="1">
        <f>logtemperature__5[[#This Row],[seconds]]/60-665</f>
        <v>4.9166666666666288</v>
      </c>
      <c r="C32">
        <v>51.94</v>
      </c>
    </row>
    <row r="33" spans="1:3" x14ac:dyDescent="0.25">
      <c r="A33">
        <v>40205</v>
      </c>
      <c r="B33" s="1">
        <f>logtemperature__5[[#This Row],[seconds]]/60-665</f>
        <v>5.0833333333333712</v>
      </c>
      <c r="C33">
        <v>52.64</v>
      </c>
    </row>
    <row r="34" spans="1:3" x14ac:dyDescent="0.25">
      <c r="A34">
        <v>40215</v>
      </c>
      <c r="B34" s="1">
        <f>logtemperature__5[[#This Row],[seconds]]/60-665</f>
        <v>5.25</v>
      </c>
      <c r="C34">
        <v>52.85</v>
      </c>
    </row>
    <row r="35" spans="1:3" x14ac:dyDescent="0.25">
      <c r="A35">
        <v>40225</v>
      </c>
      <c r="B35" s="1">
        <f>logtemperature__5[[#This Row],[seconds]]/60-665</f>
        <v>5.4166666666666288</v>
      </c>
      <c r="C35">
        <v>53.51</v>
      </c>
    </row>
    <row r="36" spans="1:3" x14ac:dyDescent="0.25">
      <c r="A36">
        <v>40235</v>
      </c>
      <c r="B36" s="1">
        <f>logtemperature__5[[#This Row],[seconds]]/60-665</f>
        <v>5.5833333333333712</v>
      </c>
      <c r="C36">
        <v>53.9</v>
      </c>
    </row>
    <row r="37" spans="1:3" x14ac:dyDescent="0.25">
      <c r="A37">
        <v>40245</v>
      </c>
      <c r="B37" s="1">
        <f>logtemperature__5[[#This Row],[seconds]]/60-665</f>
        <v>5.75</v>
      </c>
      <c r="C37">
        <v>54.62</v>
      </c>
    </row>
    <row r="38" spans="1:3" x14ac:dyDescent="0.25">
      <c r="A38">
        <v>40255</v>
      </c>
      <c r="B38" s="1">
        <f>logtemperature__5[[#This Row],[seconds]]/60-665</f>
        <v>5.9166666666666288</v>
      </c>
      <c r="C38">
        <v>56</v>
      </c>
    </row>
    <row r="39" spans="1:3" x14ac:dyDescent="0.25">
      <c r="A39">
        <v>40265</v>
      </c>
      <c r="B39" s="1">
        <f>logtemperature__5[[#This Row],[seconds]]/60-665</f>
        <v>6.0833333333333712</v>
      </c>
      <c r="C39">
        <v>55.37</v>
      </c>
    </row>
    <row r="40" spans="1:3" x14ac:dyDescent="0.25">
      <c r="A40">
        <v>40275</v>
      </c>
      <c r="B40" s="1">
        <f>logtemperature__5[[#This Row],[seconds]]/60-665</f>
        <v>6.25</v>
      </c>
      <c r="C40">
        <v>55.43</v>
      </c>
    </row>
    <row r="41" spans="1:3" x14ac:dyDescent="0.25">
      <c r="A41">
        <v>40285</v>
      </c>
      <c r="B41" s="1">
        <f>logtemperature__5[[#This Row],[seconds]]/60-665</f>
        <v>6.4166666666666288</v>
      </c>
      <c r="C41">
        <v>55.94</v>
      </c>
    </row>
    <row r="42" spans="1:3" x14ac:dyDescent="0.25">
      <c r="A42">
        <v>40295</v>
      </c>
      <c r="B42" s="1">
        <f>logtemperature__5[[#This Row],[seconds]]/60-665</f>
        <v>6.5833333333333712</v>
      </c>
      <c r="C42">
        <v>56.7</v>
      </c>
    </row>
    <row r="43" spans="1:3" x14ac:dyDescent="0.25">
      <c r="A43">
        <v>40305</v>
      </c>
      <c r="B43" s="1">
        <f>logtemperature__5[[#This Row],[seconds]]/60-665</f>
        <v>6.75</v>
      </c>
      <c r="C43">
        <v>58.26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A0822-4E02-44EA-8580-1B542D6E8250}">
  <dimension ref="A1:C92"/>
  <sheetViews>
    <sheetView workbookViewId="0">
      <selection activeCell="X14" sqref="X14"/>
    </sheetView>
  </sheetViews>
  <sheetFormatPr defaultRowHeight="15" x14ac:dyDescent="0.25"/>
  <cols>
    <col min="1" max="1" width="11.42578125" bestFit="1" customWidth="1"/>
    <col min="2" max="2" width="11.42578125" customWidth="1"/>
    <col min="3" max="3" width="11.42578125" bestFit="1" customWidth="1"/>
  </cols>
  <sheetData>
    <row r="1" spans="1:3" x14ac:dyDescent="0.25">
      <c r="A1" t="s">
        <v>8</v>
      </c>
      <c r="B1" t="s">
        <v>7</v>
      </c>
      <c r="C1" t="s">
        <v>6</v>
      </c>
    </row>
    <row r="2" spans="1:3" x14ac:dyDescent="0.25">
      <c r="A2">
        <v>348</v>
      </c>
      <c r="B2" s="1">
        <f>(logtemperature__6[[#This Row],[seconds]]-348)/60</f>
        <v>0</v>
      </c>
      <c r="C2" s="1">
        <v>23.65</v>
      </c>
    </row>
    <row r="3" spans="1:3" x14ac:dyDescent="0.25">
      <c r="A3">
        <v>358</v>
      </c>
      <c r="B3" s="1">
        <f>(logtemperature__6[[#This Row],[seconds]]-348)/60</f>
        <v>0.16666666666666666</v>
      </c>
      <c r="C3" s="1">
        <v>23.84</v>
      </c>
    </row>
    <row r="4" spans="1:3" x14ac:dyDescent="0.25">
      <c r="A4">
        <v>368</v>
      </c>
      <c r="B4" s="1">
        <f>(logtemperature__6[[#This Row],[seconds]]-348)/60</f>
        <v>0.33333333333333331</v>
      </c>
      <c r="C4" s="1">
        <v>25.12</v>
      </c>
    </row>
    <row r="5" spans="1:3" x14ac:dyDescent="0.25">
      <c r="A5">
        <v>378</v>
      </c>
      <c r="B5" s="1">
        <f>(logtemperature__6[[#This Row],[seconds]]-348)/60</f>
        <v>0.5</v>
      </c>
      <c r="C5" s="1">
        <v>27</v>
      </c>
    </row>
    <row r="6" spans="1:3" x14ac:dyDescent="0.25">
      <c r="A6">
        <v>388</v>
      </c>
      <c r="B6" s="1">
        <f>(logtemperature__6[[#This Row],[seconds]]-348)/60</f>
        <v>0.66666666666666663</v>
      </c>
      <c r="C6" s="1">
        <v>29.98</v>
      </c>
    </row>
    <row r="7" spans="1:3" x14ac:dyDescent="0.25">
      <c r="A7">
        <v>398</v>
      </c>
      <c r="B7" s="1">
        <f>(logtemperature__6[[#This Row],[seconds]]-348)/60</f>
        <v>0.83333333333333337</v>
      </c>
      <c r="C7" s="1">
        <v>31.73</v>
      </c>
    </row>
    <row r="8" spans="1:3" x14ac:dyDescent="0.25">
      <c r="A8">
        <v>408</v>
      </c>
      <c r="B8" s="1">
        <f>(logtemperature__6[[#This Row],[seconds]]-348)/60</f>
        <v>1</v>
      </c>
      <c r="C8" s="1">
        <v>33.43</v>
      </c>
    </row>
    <row r="9" spans="1:3" x14ac:dyDescent="0.25">
      <c r="A9">
        <v>418</v>
      </c>
      <c r="B9" s="1">
        <f>(logtemperature__6[[#This Row],[seconds]]-348)/60</f>
        <v>1.1666666666666667</v>
      </c>
      <c r="C9" s="1">
        <v>34.81</v>
      </c>
    </row>
    <row r="10" spans="1:3" x14ac:dyDescent="0.25">
      <c r="A10">
        <v>428</v>
      </c>
      <c r="B10" s="1">
        <f>(logtemperature__6[[#This Row],[seconds]]-348)/60</f>
        <v>1.3333333333333333</v>
      </c>
      <c r="C10" s="1">
        <v>36.619999999999997</v>
      </c>
    </row>
    <row r="11" spans="1:3" x14ac:dyDescent="0.25">
      <c r="A11">
        <v>438</v>
      </c>
      <c r="B11" s="1">
        <f>(logtemperature__6[[#This Row],[seconds]]-348)/60</f>
        <v>1.5</v>
      </c>
      <c r="C11" s="1">
        <v>37.729999999999997</v>
      </c>
    </row>
    <row r="12" spans="1:3" x14ac:dyDescent="0.25">
      <c r="A12">
        <v>448</v>
      </c>
      <c r="B12" s="1">
        <f>(logtemperature__6[[#This Row],[seconds]]-348)/60</f>
        <v>1.6666666666666667</v>
      </c>
      <c r="C12" s="1">
        <v>38.97</v>
      </c>
    </row>
    <row r="13" spans="1:3" x14ac:dyDescent="0.25">
      <c r="A13">
        <v>458</v>
      </c>
      <c r="B13" s="1">
        <f>(logtemperature__6[[#This Row],[seconds]]-348)/60</f>
        <v>1.8333333333333333</v>
      </c>
      <c r="C13" s="1">
        <v>40.200000000000003</v>
      </c>
    </row>
    <row r="14" spans="1:3" x14ac:dyDescent="0.25">
      <c r="A14">
        <v>468</v>
      </c>
      <c r="B14" s="1">
        <f>(logtemperature__6[[#This Row],[seconds]]-348)/60</f>
        <v>2</v>
      </c>
      <c r="C14" s="1">
        <v>40.76</v>
      </c>
    </row>
    <row r="15" spans="1:3" x14ac:dyDescent="0.25">
      <c r="A15">
        <v>478</v>
      </c>
      <c r="B15" s="1">
        <f>(logtemperature__6[[#This Row],[seconds]]-348)/60</f>
        <v>2.1666666666666665</v>
      </c>
      <c r="C15" s="1">
        <v>40.46</v>
      </c>
    </row>
    <row r="16" spans="1:3" x14ac:dyDescent="0.25">
      <c r="A16">
        <v>488</v>
      </c>
      <c r="B16" s="1">
        <f>(logtemperature__6[[#This Row],[seconds]]-348)/60</f>
        <v>2.3333333333333335</v>
      </c>
      <c r="C16" s="1">
        <v>41.28</v>
      </c>
    </row>
    <row r="17" spans="1:3" x14ac:dyDescent="0.25">
      <c r="A17">
        <v>498</v>
      </c>
      <c r="B17" s="1">
        <f>(logtemperature__6[[#This Row],[seconds]]-348)/60</f>
        <v>2.5</v>
      </c>
      <c r="C17" s="1">
        <v>43.08</v>
      </c>
    </row>
    <row r="18" spans="1:3" x14ac:dyDescent="0.25">
      <c r="A18">
        <v>508</v>
      </c>
      <c r="B18" s="1">
        <f>(logtemperature__6[[#This Row],[seconds]]-348)/60</f>
        <v>2.6666666666666665</v>
      </c>
      <c r="C18" s="1">
        <v>43.55</v>
      </c>
    </row>
    <row r="19" spans="1:3" x14ac:dyDescent="0.25">
      <c r="A19">
        <v>518</v>
      </c>
      <c r="B19" s="1">
        <f>(logtemperature__6[[#This Row],[seconds]]-348)/60</f>
        <v>2.8333333333333335</v>
      </c>
      <c r="C19" s="1">
        <v>44.33</v>
      </c>
    </row>
    <row r="20" spans="1:3" x14ac:dyDescent="0.25">
      <c r="A20">
        <v>528</v>
      </c>
      <c r="B20" s="1">
        <f>(logtemperature__6[[#This Row],[seconds]]-348)/60</f>
        <v>3</v>
      </c>
      <c r="C20" s="1">
        <v>45.01</v>
      </c>
    </row>
    <row r="21" spans="1:3" x14ac:dyDescent="0.25">
      <c r="A21">
        <v>538</v>
      </c>
      <c r="B21" s="1">
        <f>(logtemperature__6[[#This Row],[seconds]]-348)/60</f>
        <v>3.1666666666666665</v>
      </c>
      <c r="C21" s="1">
        <v>45.45</v>
      </c>
    </row>
    <row r="22" spans="1:3" x14ac:dyDescent="0.25">
      <c r="A22">
        <v>548</v>
      </c>
      <c r="B22" s="1">
        <f>(logtemperature__6[[#This Row],[seconds]]-348)/60</f>
        <v>3.3333333333333335</v>
      </c>
      <c r="C22" s="1">
        <v>46.08</v>
      </c>
    </row>
    <row r="23" spans="1:3" x14ac:dyDescent="0.25">
      <c r="A23">
        <v>558</v>
      </c>
      <c r="B23" s="1">
        <f>(logtemperature__6[[#This Row],[seconds]]-348)/60</f>
        <v>3.5</v>
      </c>
      <c r="C23" s="1">
        <v>46.5</v>
      </c>
    </row>
    <row r="24" spans="1:3" x14ac:dyDescent="0.25">
      <c r="A24">
        <v>568</v>
      </c>
      <c r="B24" s="1">
        <f>(logtemperature__6[[#This Row],[seconds]]-348)/60</f>
        <v>3.6666666666666665</v>
      </c>
      <c r="C24" s="1">
        <v>46.77</v>
      </c>
    </row>
    <row r="25" spans="1:3" x14ac:dyDescent="0.25">
      <c r="A25">
        <v>578</v>
      </c>
      <c r="B25" s="1">
        <f>(logtemperature__6[[#This Row],[seconds]]-348)/60</f>
        <v>3.8333333333333335</v>
      </c>
      <c r="C25" s="1">
        <v>48.12</v>
      </c>
    </row>
    <row r="26" spans="1:3" x14ac:dyDescent="0.25">
      <c r="A26">
        <v>588</v>
      </c>
      <c r="B26" s="1">
        <f>(logtemperature__6[[#This Row],[seconds]]-348)/60</f>
        <v>4</v>
      </c>
      <c r="C26" s="1">
        <v>48.08</v>
      </c>
    </row>
    <row r="27" spans="1:3" x14ac:dyDescent="0.25">
      <c r="A27">
        <v>598</v>
      </c>
      <c r="B27" s="1">
        <f>(logtemperature__6[[#This Row],[seconds]]-348)/60</f>
        <v>4.166666666666667</v>
      </c>
      <c r="C27" s="1">
        <v>48.57</v>
      </c>
    </row>
    <row r="28" spans="1:3" x14ac:dyDescent="0.25">
      <c r="A28">
        <v>608</v>
      </c>
      <c r="B28" s="1">
        <f>(logtemperature__6[[#This Row],[seconds]]-348)/60</f>
        <v>4.333333333333333</v>
      </c>
      <c r="C28" s="1">
        <v>49.4</v>
      </c>
    </row>
    <row r="29" spans="1:3" x14ac:dyDescent="0.25">
      <c r="A29">
        <v>618</v>
      </c>
      <c r="B29" s="1">
        <f>(logtemperature__6[[#This Row],[seconds]]-348)/60</f>
        <v>4.5</v>
      </c>
      <c r="C29" s="1">
        <v>49.87</v>
      </c>
    </row>
    <row r="30" spans="1:3" x14ac:dyDescent="0.25">
      <c r="A30">
        <v>628</v>
      </c>
      <c r="B30" s="1">
        <f>(logtemperature__6[[#This Row],[seconds]]-348)/60</f>
        <v>4.666666666666667</v>
      </c>
      <c r="C30" s="1">
        <v>50.46</v>
      </c>
    </row>
    <row r="31" spans="1:3" x14ac:dyDescent="0.25">
      <c r="A31">
        <v>638</v>
      </c>
      <c r="B31" s="1">
        <f>(logtemperature__6[[#This Row],[seconds]]-348)/60</f>
        <v>4.833333333333333</v>
      </c>
      <c r="C31" s="1">
        <v>50.86</v>
      </c>
    </row>
    <row r="32" spans="1:3" x14ac:dyDescent="0.25">
      <c r="A32">
        <v>648</v>
      </c>
      <c r="B32" s="1">
        <f>(logtemperature__6[[#This Row],[seconds]]-348)/60</f>
        <v>5</v>
      </c>
      <c r="C32" s="1">
        <v>49.91</v>
      </c>
    </row>
    <row r="33" spans="1:3" x14ac:dyDescent="0.25">
      <c r="A33">
        <v>658</v>
      </c>
      <c r="B33" s="1">
        <f>(logtemperature__6[[#This Row],[seconds]]-348)/60</f>
        <v>5.166666666666667</v>
      </c>
      <c r="C33" s="1">
        <v>50.8</v>
      </c>
    </row>
    <row r="34" spans="1:3" x14ac:dyDescent="0.25">
      <c r="A34">
        <v>668</v>
      </c>
      <c r="B34" s="1">
        <f>(logtemperature__6[[#This Row],[seconds]]-348)/60</f>
        <v>5.333333333333333</v>
      </c>
      <c r="C34" s="1">
        <v>51.67</v>
      </c>
    </row>
    <row r="35" spans="1:3" x14ac:dyDescent="0.25">
      <c r="A35">
        <v>678</v>
      </c>
      <c r="B35" s="1">
        <f>(logtemperature__6[[#This Row],[seconds]]-348)/60</f>
        <v>5.5</v>
      </c>
      <c r="C35" s="1">
        <v>51.81</v>
      </c>
    </row>
    <row r="36" spans="1:3" x14ac:dyDescent="0.25">
      <c r="A36">
        <v>688</v>
      </c>
      <c r="B36" s="1">
        <f>(logtemperature__6[[#This Row],[seconds]]-348)/60</f>
        <v>5.666666666666667</v>
      </c>
      <c r="C36" s="1">
        <v>52.38</v>
      </c>
    </row>
    <row r="37" spans="1:3" x14ac:dyDescent="0.25">
      <c r="A37">
        <v>698</v>
      </c>
      <c r="B37" s="1">
        <f>(logtemperature__6[[#This Row],[seconds]]-348)/60</f>
        <v>5.833333333333333</v>
      </c>
      <c r="C37" s="1">
        <v>53.17</v>
      </c>
    </row>
    <row r="38" spans="1:3" x14ac:dyDescent="0.25">
      <c r="A38">
        <v>708</v>
      </c>
      <c r="B38" s="1">
        <f>(logtemperature__6[[#This Row],[seconds]]-348)/60</f>
        <v>6</v>
      </c>
      <c r="C38" s="1">
        <v>53.35</v>
      </c>
    </row>
    <row r="39" spans="1:3" x14ac:dyDescent="0.25">
      <c r="A39">
        <v>718</v>
      </c>
      <c r="B39" s="1">
        <f>(logtemperature__6[[#This Row],[seconds]]-348)/60</f>
        <v>6.166666666666667</v>
      </c>
      <c r="C39" s="1">
        <v>52.78</v>
      </c>
    </row>
    <row r="40" spans="1:3" x14ac:dyDescent="0.25">
      <c r="A40">
        <v>728</v>
      </c>
      <c r="B40" s="1">
        <f>(logtemperature__6[[#This Row],[seconds]]-348)/60</f>
        <v>6.333333333333333</v>
      </c>
      <c r="C40" s="1">
        <v>52.79</v>
      </c>
    </row>
    <row r="41" spans="1:3" x14ac:dyDescent="0.25">
      <c r="A41">
        <v>738</v>
      </c>
      <c r="B41" s="1">
        <f>(logtemperature__6[[#This Row],[seconds]]-348)/60</f>
        <v>6.5</v>
      </c>
      <c r="C41" s="1">
        <v>52.92</v>
      </c>
    </row>
    <row r="42" spans="1:3" x14ac:dyDescent="0.25">
      <c r="A42">
        <v>748</v>
      </c>
      <c r="B42" s="1">
        <f>(logtemperature__6[[#This Row],[seconds]]-348)/60</f>
        <v>6.666666666666667</v>
      </c>
      <c r="C42" s="1">
        <v>54.07</v>
      </c>
    </row>
    <row r="43" spans="1:3" x14ac:dyDescent="0.25">
      <c r="A43">
        <v>758</v>
      </c>
      <c r="B43" s="1">
        <f>(logtemperature__6[[#This Row],[seconds]]-348)/60</f>
        <v>6.833333333333333</v>
      </c>
      <c r="C43" s="1">
        <v>54.04</v>
      </c>
    </row>
    <row r="44" spans="1:3" x14ac:dyDescent="0.25">
      <c r="A44">
        <v>768</v>
      </c>
      <c r="B44" s="1">
        <f>(logtemperature__6[[#This Row],[seconds]]-348)/60</f>
        <v>7</v>
      </c>
      <c r="C44" s="1">
        <v>54.09</v>
      </c>
    </row>
    <row r="45" spans="1:3" x14ac:dyDescent="0.25">
      <c r="A45">
        <v>778</v>
      </c>
      <c r="B45" s="1">
        <f>(logtemperature__6[[#This Row],[seconds]]-348)/60</f>
        <v>7.166666666666667</v>
      </c>
      <c r="C45" s="1">
        <v>54.72</v>
      </c>
    </row>
    <row r="46" spans="1:3" x14ac:dyDescent="0.25">
      <c r="A46">
        <v>788</v>
      </c>
      <c r="B46" s="1">
        <f>(logtemperature__6[[#This Row],[seconds]]-348)/60</f>
        <v>7.333333333333333</v>
      </c>
      <c r="C46" s="1">
        <v>54.73</v>
      </c>
    </row>
    <row r="47" spans="1:3" x14ac:dyDescent="0.25">
      <c r="A47">
        <v>798</v>
      </c>
      <c r="B47" s="1">
        <f>(logtemperature__6[[#This Row],[seconds]]-348)/60</f>
        <v>7.5</v>
      </c>
      <c r="C47" s="1">
        <v>55.45</v>
      </c>
    </row>
    <row r="48" spans="1:3" x14ac:dyDescent="0.25">
      <c r="A48">
        <v>808</v>
      </c>
      <c r="B48" s="1">
        <f>(logtemperature__6[[#This Row],[seconds]]-348)/60</f>
        <v>7.666666666666667</v>
      </c>
      <c r="C48" s="1">
        <v>55.99</v>
      </c>
    </row>
    <row r="49" spans="1:3" x14ac:dyDescent="0.25">
      <c r="A49">
        <v>819</v>
      </c>
      <c r="B49" s="1">
        <f>(logtemperature__6[[#This Row],[seconds]]-348)/60</f>
        <v>7.85</v>
      </c>
      <c r="C49" s="1">
        <v>56.72</v>
      </c>
    </row>
    <row r="50" spans="1:3" x14ac:dyDescent="0.25">
      <c r="A50">
        <v>829</v>
      </c>
      <c r="B50" s="1">
        <f>(logtemperature__6[[#This Row],[seconds]]-348)/60</f>
        <v>8.0166666666666675</v>
      </c>
      <c r="C50" s="1">
        <v>56.37</v>
      </c>
    </row>
    <row r="51" spans="1:3" x14ac:dyDescent="0.25">
      <c r="A51">
        <v>839</v>
      </c>
      <c r="B51" s="1">
        <f>(logtemperature__6[[#This Row],[seconds]]-348)/60</f>
        <v>8.1833333333333336</v>
      </c>
      <c r="C51" s="1">
        <v>55.48</v>
      </c>
    </row>
    <row r="52" spans="1:3" x14ac:dyDescent="0.25">
      <c r="A52">
        <v>849</v>
      </c>
      <c r="B52" s="1">
        <f>(logtemperature__6[[#This Row],[seconds]]-348)/60</f>
        <v>8.35</v>
      </c>
      <c r="C52" s="1">
        <v>56.69</v>
      </c>
    </row>
    <row r="53" spans="1:3" x14ac:dyDescent="0.25">
      <c r="A53">
        <v>859</v>
      </c>
      <c r="B53" s="1">
        <f>(logtemperature__6[[#This Row],[seconds]]-348)/60</f>
        <v>8.5166666666666675</v>
      </c>
      <c r="C53" s="1">
        <v>57.12</v>
      </c>
    </row>
    <row r="54" spans="1:3" x14ac:dyDescent="0.25">
      <c r="A54">
        <v>869</v>
      </c>
      <c r="B54" s="1">
        <f>(logtemperature__6[[#This Row],[seconds]]-348)/60</f>
        <v>8.6833333333333336</v>
      </c>
      <c r="C54" s="1">
        <v>56.99</v>
      </c>
    </row>
    <row r="55" spans="1:3" x14ac:dyDescent="0.25">
      <c r="A55">
        <v>879</v>
      </c>
      <c r="B55" s="1">
        <f>(logtemperature__6[[#This Row],[seconds]]-348)/60</f>
        <v>8.85</v>
      </c>
      <c r="C55" s="1">
        <v>57.87</v>
      </c>
    </row>
    <row r="56" spans="1:3" x14ac:dyDescent="0.25">
      <c r="A56">
        <v>889</v>
      </c>
      <c r="B56" s="1">
        <f>(logtemperature__6[[#This Row],[seconds]]-348)/60</f>
        <v>9.0166666666666675</v>
      </c>
      <c r="C56" s="1">
        <v>58.8</v>
      </c>
    </row>
    <row r="57" spans="1:3" x14ac:dyDescent="0.25">
      <c r="A57">
        <v>899</v>
      </c>
      <c r="B57" s="1">
        <f>(logtemperature__6[[#This Row],[seconds]]-348)/60</f>
        <v>9.1833333333333336</v>
      </c>
      <c r="C57" s="1">
        <v>57.42</v>
      </c>
    </row>
    <row r="58" spans="1:3" x14ac:dyDescent="0.25">
      <c r="A58">
        <v>909</v>
      </c>
      <c r="B58" s="1">
        <f>(logtemperature__6[[#This Row],[seconds]]-348)/60</f>
        <v>9.35</v>
      </c>
      <c r="C58" s="1">
        <v>58.65</v>
      </c>
    </row>
    <row r="59" spans="1:3" x14ac:dyDescent="0.25">
      <c r="A59">
        <v>919</v>
      </c>
      <c r="B59" s="1">
        <f>(logtemperature__6[[#This Row],[seconds]]-348)/60</f>
        <v>9.5166666666666675</v>
      </c>
      <c r="C59" s="1">
        <v>57.2</v>
      </c>
    </row>
    <row r="60" spans="1:3" x14ac:dyDescent="0.25">
      <c r="A60">
        <v>929</v>
      </c>
      <c r="B60" s="1">
        <f>(logtemperature__6[[#This Row],[seconds]]-348)/60</f>
        <v>9.6833333333333336</v>
      </c>
      <c r="C60" s="1">
        <v>58.7</v>
      </c>
    </row>
    <row r="61" spans="1:3" x14ac:dyDescent="0.25">
      <c r="A61">
        <v>939</v>
      </c>
      <c r="B61" s="1">
        <f>(logtemperature__6[[#This Row],[seconds]]-348)/60</f>
        <v>9.85</v>
      </c>
      <c r="C61" s="1">
        <v>59.59</v>
      </c>
    </row>
    <row r="62" spans="1:3" x14ac:dyDescent="0.25">
      <c r="A62">
        <v>949</v>
      </c>
      <c r="B62" s="1">
        <f>(logtemperature__6[[#This Row],[seconds]]-348)/60</f>
        <v>10.016666666666667</v>
      </c>
      <c r="C62" s="1">
        <v>59.74</v>
      </c>
    </row>
    <row r="63" spans="1:3" x14ac:dyDescent="0.25">
      <c r="A63">
        <v>959</v>
      </c>
      <c r="B63" s="1">
        <f>(logtemperature__6[[#This Row],[seconds]]-348)/60</f>
        <v>10.183333333333334</v>
      </c>
      <c r="C63" s="1">
        <v>61.17</v>
      </c>
    </row>
    <row r="64" spans="1:3" x14ac:dyDescent="0.25">
      <c r="A64">
        <v>969</v>
      </c>
      <c r="B64" s="1">
        <f>(logtemperature__6[[#This Row],[seconds]]-348)/60</f>
        <v>10.35</v>
      </c>
      <c r="C64" s="1">
        <v>61.39</v>
      </c>
    </row>
    <row r="65" spans="1:3" x14ac:dyDescent="0.25">
      <c r="A65">
        <v>979</v>
      </c>
      <c r="B65" s="1">
        <f>(logtemperature__6[[#This Row],[seconds]]-348)/60</f>
        <v>10.516666666666667</v>
      </c>
      <c r="C65" s="1">
        <v>60.65</v>
      </c>
    </row>
    <row r="66" spans="1:3" x14ac:dyDescent="0.25">
      <c r="A66">
        <v>989</v>
      </c>
      <c r="B66" s="1">
        <f>(logtemperature__6[[#This Row],[seconds]]-348)/60</f>
        <v>10.683333333333334</v>
      </c>
      <c r="C66" s="1">
        <v>59.51</v>
      </c>
    </row>
    <row r="67" spans="1:3" x14ac:dyDescent="0.25">
      <c r="A67">
        <v>999</v>
      </c>
      <c r="B67" s="1">
        <f>(logtemperature__6[[#This Row],[seconds]]-348)/60</f>
        <v>10.85</v>
      </c>
      <c r="C67" s="1">
        <v>60.41</v>
      </c>
    </row>
    <row r="68" spans="1:3" x14ac:dyDescent="0.25">
      <c r="A68">
        <v>1009</v>
      </c>
      <c r="B68" s="1">
        <f>(logtemperature__6[[#This Row],[seconds]]-348)/60</f>
        <v>11.016666666666667</v>
      </c>
      <c r="C68" s="1">
        <v>60.41</v>
      </c>
    </row>
    <row r="69" spans="1:3" x14ac:dyDescent="0.25">
      <c r="A69">
        <v>1019</v>
      </c>
      <c r="B69" s="1">
        <f>(logtemperature__6[[#This Row],[seconds]]-348)/60</f>
        <v>11.183333333333334</v>
      </c>
      <c r="C69" s="1">
        <v>60.46</v>
      </c>
    </row>
    <row r="70" spans="1:3" x14ac:dyDescent="0.25">
      <c r="A70">
        <v>1029</v>
      </c>
      <c r="B70" s="1">
        <f>(logtemperature__6[[#This Row],[seconds]]-348)/60</f>
        <v>11.35</v>
      </c>
      <c r="C70" s="1">
        <v>60.2</v>
      </c>
    </row>
    <row r="71" spans="1:3" x14ac:dyDescent="0.25">
      <c r="A71">
        <v>1039</v>
      </c>
      <c r="B71" s="1">
        <f>(logtemperature__6[[#This Row],[seconds]]-348)/60</f>
        <v>11.516666666666667</v>
      </c>
      <c r="C71" s="1">
        <v>61.32</v>
      </c>
    </row>
    <row r="72" spans="1:3" x14ac:dyDescent="0.25">
      <c r="A72">
        <v>1049</v>
      </c>
      <c r="B72" s="1">
        <f>(logtemperature__6[[#This Row],[seconds]]-348)/60</f>
        <v>11.683333333333334</v>
      </c>
      <c r="C72" s="1">
        <v>60.87</v>
      </c>
    </row>
    <row r="73" spans="1:3" x14ac:dyDescent="0.25">
      <c r="A73">
        <v>1059</v>
      </c>
      <c r="B73" s="1">
        <f>(logtemperature__6[[#This Row],[seconds]]-348)/60</f>
        <v>11.85</v>
      </c>
      <c r="C73" s="1">
        <v>61.65</v>
      </c>
    </row>
    <row r="74" spans="1:3" x14ac:dyDescent="0.25">
      <c r="A74">
        <v>1069</v>
      </c>
      <c r="B74" s="1">
        <f>(logtemperature__6[[#This Row],[seconds]]-348)/60</f>
        <v>12.016666666666667</v>
      </c>
      <c r="C74" s="1">
        <v>61.32</v>
      </c>
    </row>
    <row r="75" spans="1:3" x14ac:dyDescent="0.25">
      <c r="A75">
        <v>1079</v>
      </c>
      <c r="B75" s="1">
        <f>(logtemperature__6[[#This Row],[seconds]]-348)/60</f>
        <v>12.183333333333334</v>
      </c>
      <c r="C75" s="1">
        <v>62.45</v>
      </c>
    </row>
    <row r="76" spans="1:3" x14ac:dyDescent="0.25">
      <c r="A76">
        <v>1089</v>
      </c>
      <c r="B76" s="1">
        <f>(logtemperature__6[[#This Row],[seconds]]-348)/60</f>
        <v>12.35</v>
      </c>
      <c r="C76" s="1">
        <v>62.51</v>
      </c>
    </row>
    <row r="77" spans="1:3" x14ac:dyDescent="0.25">
      <c r="A77">
        <v>1099</v>
      </c>
      <c r="B77" s="1">
        <f>(logtemperature__6[[#This Row],[seconds]]-348)/60</f>
        <v>12.516666666666667</v>
      </c>
      <c r="C77" s="1">
        <v>63.11</v>
      </c>
    </row>
    <row r="78" spans="1:3" x14ac:dyDescent="0.25">
      <c r="A78">
        <v>1109</v>
      </c>
      <c r="B78" s="1">
        <f>(logtemperature__6[[#This Row],[seconds]]-348)/60</f>
        <v>12.683333333333334</v>
      </c>
      <c r="C78" s="1">
        <v>62.63</v>
      </c>
    </row>
    <row r="79" spans="1:3" x14ac:dyDescent="0.25">
      <c r="A79">
        <v>1119</v>
      </c>
      <c r="B79" s="1">
        <f>(logtemperature__6[[#This Row],[seconds]]-348)/60</f>
        <v>12.85</v>
      </c>
      <c r="C79" s="1">
        <v>61.93</v>
      </c>
    </row>
    <row r="80" spans="1:3" x14ac:dyDescent="0.25">
      <c r="A80">
        <v>1129</v>
      </c>
      <c r="B80" s="1">
        <f>(logtemperature__6[[#This Row],[seconds]]-348)/60</f>
        <v>13.016666666666667</v>
      </c>
      <c r="C80" s="1">
        <v>63.34</v>
      </c>
    </row>
    <row r="81" spans="1:3" x14ac:dyDescent="0.25">
      <c r="A81">
        <v>1139</v>
      </c>
      <c r="B81" s="1">
        <f>(logtemperature__6[[#This Row],[seconds]]-348)/60</f>
        <v>13.183333333333334</v>
      </c>
      <c r="C81" s="1">
        <v>62.88</v>
      </c>
    </row>
    <row r="82" spans="1:3" x14ac:dyDescent="0.25">
      <c r="A82">
        <v>1149</v>
      </c>
      <c r="B82" s="1">
        <f>(logtemperature__6[[#This Row],[seconds]]-348)/60</f>
        <v>13.35</v>
      </c>
      <c r="C82" s="1">
        <v>63.9</v>
      </c>
    </row>
    <row r="83" spans="1:3" x14ac:dyDescent="0.25">
      <c r="A83">
        <v>1159</v>
      </c>
      <c r="B83" s="1">
        <f>(logtemperature__6[[#This Row],[seconds]]-348)/60</f>
        <v>13.516666666666667</v>
      </c>
      <c r="C83" s="1">
        <v>64.069999999999993</v>
      </c>
    </row>
    <row r="84" spans="1:3" x14ac:dyDescent="0.25">
      <c r="A84">
        <v>1169</v>
      </c>
      <c r="B84" s="1">
        <f>(logtemperature__6[[#This Row],[seconds]]-348)/60</f>
        <v>13.683333333333334</v>
      </c>
      <c r="C84" s="1">
        <v>63.88</v>
      </c>
    </row>
    <row r="85" spans="1:3" x14ac:dyDescent="0.25">
      <c r="A85">
        <v>1179</v>
      </c>
      <c r="B85" s="1">
        <f>(logtemperature__6[[#This Row],[seconds]]-348)/60</f>
        <v>13.85</v>
      </c>
      <c r="C85" s="1">
        <v>64.98</v>
      </c>
    </row>
    <row r="86" spans="1:3" x14ac:dyDescent="0.25">
      <c r="A86">
        <v>1189</v>
      </c>
      <c r="B86" s="1">
        <f>(logtemperature__6[[#This Row],[seconds]]-348)/60</f>
        <v>14.016666666666667</v>
      </c>
      <c r="C86" s="1">
        <v>64.2</v>
      </c>
    </row>
    <row r="87" spans="1:3" x14ac:dyDescent="0.25">
      <c r="A87">
        <v>1199</v>
      </c>
      <c r="B87" s="1">
        <f>(logtemperature__6[[#This Row],[seconds]]-348)/60</f>
        <v>14.183333333333334</v>
      </c>
      <c r="C87" s="1">
        <v>64.16</v>
      </c>
    </row>
    <row r="88" spans="1:3" x14ac:dyDescent="0.25">
      <c r="A88">
        <v>1209</v>
      </c>
      <c r="B88" s="1">
        <f>(logtemperature__6[[#This Row],[seconds]]-348)/60</f>
        <v>14.35</v>
      </c>
      <c r="C88" s="1">
        <v>65.14</v>
      </c>
    </row>
    <row r="89" spans="1:3" x14ac:dyDescent="0.25">
      <c r="A89">
        <v>1219</v>
      </c>
      <c r="B89" s="1">
        <f>(logtemperature__6[[#This Row],[seconds]]-348)/60</f>
        <v>14.516666666666667</v>
      </c>
      <c r="C89" s="1">
        <v>65.459999999999994</v>
      </c>
    </row>
    <row r="90" spans="1:3" x14ac:dyDescent="0.25">
      <c r="A90">
        <v>1229</v>
      </c>
      <c r="B90" s="1">
        <f>(logtemperature__6[[#This Row],[seconds]]-348)/60</f>
        <v>14.683333333333334</v>
      </c>
      <c r="C90" s="1">
        <v>65.8</v>
      </c>
    </row>
    <row r="91" spans="1:3" x14ac:dyDescent="0.25">
      <c r="A91">
        <v>1239</v>
      </c>
      <c r="B91" s="1">
        <f>(logtemperature__6[[#This Row],[seconds]]-348)/60</f>
        <v>14.85</v>
      </c>
      <c r="C91" s="1">
        <v>66.64</v>
      </c>
    </row>
    <row r="92" spans="1:3" x14ac:dyDescent="0.25">
      <c r="A92">
        <v>1249</v>
      </c>
      <c r="B92" s="1">
        <f>(logtemperature__6[[#This Row],[seconds]]-348)/60</f>
        <v>15.016666666666667</v>
      </c>
      <c r="C92" s="1">
        <v>66.760000000000005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6F739-1190-486A-8214-624DE2DC0AB7}">
  <dimension ref="A1:C140"/>
  <sheetViews>
    <sheetView workbookViewId="0">
      <selection activeCell="W28" sqref="W28"/>
    </sheetView>
  </sheetViews>
  <sheetFormatPr defaultRowHeight="15" x14ac:dyDescent="0.25"/>
  <cols>
    <col min="1" max="1" width="11.42578125" bestFit="1" customWidth="1"/>
    <col min="2" max="2" width="11.42578125" customWidth="1"/>
    <col min="3" max="3" width="11.42578125" bestFit="1" customWidth="1"/>
  </cols>
  <sheetData>
    <row r="1" spans="1:3" x14ac:dyDescent="0.25">
      <c r="A1" t="s">
        <v>8</v>
      </c>
      <c r="B1" t="s">
        <v>7</v>
      </c>
      <c r="C1" t="s">
        <v>9</v>
      </c>
    </row>
    <row r="2" spans="1:3" x14ac:dyDescent="0.25">
      <c r="A2">
        <v>28264</v>
      </c>
      <c r="B2" s="1">
        <f>(logtemperature__7[[#This Row],[seconds]]-28264)/60</f>
        <v>0</v>
      </c>
      <c r="C2" s="1">
        <v>25.85</v>
      </c>
    </row>
    <row r="3" spans="1:3" x14ac:dyDescent="0.25">
      <c r="A3">
        <v>28274</v>
      </c>
      <c r="B3" s="1">
        <f>(logtemperature__7[[#This Row],[seconds]]-28264)/60</f>
        <v>0.16666666666666666</v>
      </c>
      <c r="C3" s="1">
        <v>25.85</v>
      </c>
    </row>
    <row r="4" spans="1:3" x14ac:dyDescent="0.25">
      <c r="A4">
        <v>28284</v>
      </c>
      <c r="B4" s="1">
        <f>(logtemperature__7[[#This Row],[seconds]]-28264)/60</f>
        <v>0.33333333333333331</v>
      </c>
      <c r="C4" s="1">
        <v>25.8</v>
      </c>
    </row>
    <row r="5" spans="1:3" x14ac:dyDescent="0.25">
      <c r="A5">
        <v>28294</v>
      </c>
      <c r="B5" s="1">
        <f>(logtemperature__7[[#This Row],[seconds]]-28264)/60</f>
        <v>0.5</v>
      </c>
      <c r="C5" s="1">
        <v>25.86</v>
      </c>
    </row>
    <row r="6" spans="1:3" x14ac:dyDescent="0.25">
      <c r="A6">
        <v>28304</v>
      </c>
      <c r="B6" s="1">
        <f>(logtemperature__7[[#This Row],[seconds]]-28264)/60</f>
        <v>0.66666666666666663</v>
      </c>
      <c r="C6" s="1">
        <v>25.82</v>
      </c>
    </row>
    <row r="7" spans="1:3" x14ac:dyDescent="0.25">
      <c r="A7">
        <v>28314</v>
      </c>
      <c r="B7" s="1">
        <f>(logtemperature__7[[#This Row],[seconds]]-28264)/60</f>
        <v>0.83333333333333337</v>
      </c>
      <c r="C7" s="1">
        <v>25.86</v>
      </c>
    </row>
    <row r="8" spans="1:3" x14ac:dyDescent="0.25">
      <c r="A8">
        <v>28324</v>
      </c>
      <c r="B8" s="1">
        <f>(logtemperature__7[[#This Row],[seconds]]-28264)/60</f>
        <v>1</v>
      </c>
      <c r="C8" s="1">
        <v>25.79</v>
      </c>
    </row>
    <row r="9" spans="1:3" x14ac:dyDescent="0.25">
      <c r="A9">
        <v>28334</v>
      </c>
      <c r="B9" s="1">
        <f>(logtemperature__7[[#This Row],[seconds]]-28264)/60</f>
        <v>1.1666666666666667</v>
      </c>
      <c r="C9" s="1">
        <v>25.77</v>
      </c>
    </row>
    <row r="10" spans="1:3" x14ac:dyDescent="0.25">
      <c r="A10">
        <v>28344</v>
      </c>
      <c r="B10" s="1">
        <f>(logtemperature__7[[#This Row],[seconds]]-28264)/60</f>
        <v>1.3333333333333333</v>
      </c>
      <c r="C10" s="1">
        <v>25.79</v>
      </c>
    </row>
    <row r="11" spans="1:3" x14ac:dyDescent="0.25">
      <c r="A11">
        <v>28354</v>
      </c>
      <c r="B11" s="1">
        <f>(logtemperature__7[[#This Row],[seconds]]-28264)/60</f>
        <v>1.5</v>
      </c>
      <c r="C11" s="1">
        <v>25.85</v>
      </c>
    </row>
    <row r="12" spans="1:3" x14ac:dyDescent="0.25">
      <c r="A12">
        <v>28364</v>
      </c>
      <c r="B12" s="1">
        <f>(logtemperature__7[[#This Row],[seconds]]-28264)/60</f>
        <v>1.6666666666666667</v>
      </c>
      <c r="C12" s="1">
        <v>26.52</v>
      </c>
    </row>
    <row r="13" spans="1:3" x14ac:dyDescent="0.25">
      <c r="A13">
        <v>28374</v>
      </c>
      <c r="B13" s="1">
        <f>(logtemperature__7[[#This Row],[seconds]]-28264)/60</f>
        <v>1.8333333333333333</v>
      </c>
      <c r="C13" s="1">
        <v>29.96</v>
      </c>
    </row>
    <row r="14" spans="1:3" x14ac:dyDescent="0.25">
      <c r="A14">
        <v>28384</v>
      </c>
      <c r="B14" s="1">
        <f>(logtemperature__7[[#This Row],[seconds]]-28264)/60</f>
        <v>2</v>
      </c>
      <c r="C14" s="1">
        <v>33.85</v>
      </c>
    </row>
    <row r="15" spans="1:3" x14ac:dyDescent="0.25">
      <c r="A15">
        <v>28394</v>
      </c>
      <c r="B15" s="1">
        <f>(logtemperature__7[[#This Row],[seconds]]-28264)/60</f>
        <v>2.1666666666666665</v>
      </c>
      <c r="C15" s="1">
        <v>36.83</v>
      </c>
    </row>
    <row r="16" spans="1:3" x14ac:dyDescent="0.25">
      <c r="A16">
        <v>28404</v>
      </c>
      <c r="B16" s="1">
        <f>(logtemperature__7[[#This Row],[seconds]]-28264)/60</f>
        <v>2.3333333333333335</v>
      </c>
      <c r="C16" s="1">
        <v>39.659999999999997</v>
      </c>
    </row>
    <row r="17" spans="1:3" x14ac:dyDescent="0.25">
      <c r="A17">
        <v>28414</v>
      </c>
      <c r="B17" s="1">
        <f>(logtemperature__7[[#This Row],[seconds]]-28264)/60</f>
        <v>2.5</v>
      </c>
      <c r="C17" s="1">
        <v>41.64</v>
      </c>
    </row>
    <row r="18" spans="1:3" x14ac:dyDescent="0.25">
      <c r="A18">
        <v>28424</v>
      </c>
      <c r="B18" s="1">
        <f>(logtemperature__7[[#This Row],[seconds]]-28264)/60</f>
        <v>2.6666666666666665</v>
      </c>
      <c r="C18" s="1">
        <v>43.64</v>
      </c>
    </row>
    <row r="19" spans="1:3" x14ac:dyDescent="0.25">
      <c r="A19">
        <v>28434</v>
      </c>
      <c r="B19" s="1">
        <f>(logtemperature__7[[#This Row],[seconds]]-28264)/60</f>
        <v>2.8333333333333335</v>
      </c>
      <c r="C19" s="1">
        <v>45.85</v>
      </c>
    </row>
    <row r="20" spans="1:3" x14ac:dyDescent="0.25">
      <c r="A20">
        <v>28444</v>
      </c>
      <c r="B20" s="1">
        <f>(logtemperature__7[[#This Row],[seconds]]-28264)/60</f>
        <v>3</v>
      </c>
      <c r="C20" s="1">
        <v>47.54</v>
      </c>
    </row>
    <row r="21" spans="1:3" x14ac:dyDescent="0.25">
      <c r="A21">
        <v>28454</v>
      </c>
      <c r="B21" s="1">
        <f>(logtemperature__7[[#This Row],[seconds]]-28264)/60</f>
        <v>3.1666666666666665</v>
      </c>
      <c r="C21" s="1">
        <v>48.58</v>
      </c>
    </row>
    <row r="22" spans="1:3" x14ac:dyDescent="0.25">
      <c r="A22">
        <v>28464</v>
      </c>
      <c r="B22" s="1">
        <f>(logtemperature__7[[#This Row],[seconds]]-28264)/60</f>
        <v>3.3333333333333335</v>
      </c>
      <c r="C22" s="1">
        <v>50.2</v>
      </c>
    </row>
    <row r="23" spans="1:3" x14ac:dyDescent="0.25">
      <c r="A23">
        <v>28474</v>
      </c>
      <c r="B23" s="1">
        <f>(logtemperature__7[[#This Row],[seconds]]-28264)/60</f>
        <v>3.5</v>
      </c>
      <c r="C23" s="1">
        <v>50.93</v>
      </c>
    </row>
    <row r="24" spans="1:3" x14ac:dyDescent="0.25">
      <c r="A24">
        <v>28484</v>
      </c>
      <c r="B24" s="1">
        <f>(logtemperature__7[[#This Row],[seconds]]-28264)/60</f>
        <v>3.6666666666666665</v>
      </c>
      <c r="C24" s="1">
        <v>51.8</v>
      </c>
    </row>
    <row r="25" spans="1:3" x14ac:dyDescent="0.25">
      <c r="A25">
        <v>28494</v>
      </c>
      <c r="B25" s="1">
        <f>(logtemperature__7[[#This Row],[seconds]]-28264)/60</f>
        <v>3.8333333333333335</v>
      </c>
      <c r="C25" s="1">
        <v>52.63</v>
      </c>
    </row>
    <row r="26" spans="1:3" x14ac:dyDescent="0.25">
      <c r="A26">
        <v>28504</v>
      </c>
      <c r="B26" s="1">
        <f>(logtemperature__7[[#This Row],[seconds]]-28264)/60</f>
        <v>4</v>
      </c>
      <c r="C26" s="1">
        <v>53.69</v>
      </c>
    </row>
    <row r="27" spans="1:3" x14ac:dyDescent="0.25">
      <c r="A27">
        <v>28514</v>
      </c>
      <c r="B27" s="1">
        <f>(logtemperature__7[[#This Row],[seconds]]-28264)/60</f>
        <v>4.166666666666667</v>
      </c>
      <c r="C27" s="1">
        <v>54.38</v>
      </c>
    </row>
    <row r="28" spans="1:3" x14ac:dyDescent="0.25">
      <c r="A28">
        <v>28524</v>
      </c>
      <c r="B28" s="1">
        <f>(logtemperature__7[[#This Row],[seconds]]-28264)/60</f>
        <v>4.333333333333333</v>
      </c>
      <c r="C28" s="1">
        <v>55.09</v>
      </c>
    </row>
    <row r="29" spans="1:3" x14ac:dyDescent="0.25">
      <c r="A29">
        <v>28534</v>
      </c>
      <c r="B29" s="1">
        <f>(logtemperature__7[[#This Row],[seconds]]-28264)/60</f>
        <v>4.5</v>
      </c>
      <c r="C29" s="1">
        <v>56.1</v>
      </c>
    </row>
    <row r="30" spans="1:3" x14ac:dyDescent="0.25">
      <c r="A30">
        <v>28544</v>
      </c>
      <c r="B30" s="1">
        <f>(logtemperature__7[[#This Row],[seconds]]-28264)/60</f>
        <v>4.666666666666667</v>
      </c>
      <c r="C30" s="1">
        <v>56.93</v>
      </c>
    </row>
    <row r="31" spans="1:3" x14ac:dyDescent="0.25">
      <c r="A31">
        <v>28554</v>
      </c>
      <c r="B31" s="1">
        <f>(logtemperature__7[[#This Row],[seconds]]-28264)/60</f>
        <v>4.833333333333333</v>
      </c>
      <c r="C31" s="1">
        <v>58.39</v>
      </c>
    </row>
    <row r="32" spans="1:3" x14ac:dyDescent="0.25">
      <c r="A32">
        <v>28564</v>
      </c>
      <c r="B32" s="1">
        <f>(logtemperature__7[[#This Row],[seconds]]-28264)/60</f>
        <v>5</v>
      </c>
      <c r="C32" s="1">
        <v>58.86</v>
      </c>
    </row>
    <row r="33" spans="1:3" x14ac:dyDescent="0.25">
      <c r="A33">
        <v>28574</v>
      </c>
      <c r="B33" s="1">
        <f>(logtemperature__7[[#This Row],[seconds]]-28264)/60</f>
        <v>5.166666666666667</v>
      </c>
      <c r="C33" s="1">
        <v>59.8</v>
      </c>
    </row>
    <row r="34" spans="1:3" x14ac:dyDescent="0.25">
      <c r="A34">
        <v>28584</v>
      </c>
      <c r="B34" s="1">
        <f>(logtemperature__7[[#This Row],[seconds]]-28264)/60</f>
        <v>5.333333333333333</v>
      </c>
      <c r="C34" s="1">
        <v>60.58</v>
      </c>
    </row>
    <row r="35" spans="1:3" x14ac:dyDescent="0.25">
      <c r="A35">
        <v>28594</v>
      </c>
      <c r="B35" s="1">
        <f>(logtemperature__7[[#This Row],[seconds]]-28264)/60</f>
        <v>5.5</v>
      </c>
      <c r="C35" s="1">
        <v>61.02</v>
      </c>
    </row>
    <row r="36" spans="1:3" x14ac:dyDescent="0.25">
      <c r="A36">
        <v>28604</v>
      </c>
      <c r="B36" s="1">
        <f>(logtemperature__7[[#This Row],[seconds]]-28264)/60</f>
        <v>5.666666666666667</v>
      </c>
      <c r="C36" s="1">
        <v>61.57</v>
      </c>
    </row>
    <row r="37" spans="1:3" x14ac:dyDescent="0.25">
      <c r="A37">
        <v>28614</v>
      </c>
      <c r="B37" s="1">
        <f>(logtemperature__7[[#This Row],[seconds]]-28264)/60</f>
        <v>5.833333333333333</v>
      </c>
      <c r="C37" s="1">
        <v>62.18</v>
      </c>
    </row>
    <row r="38" spans="1:3" x14ac:dyDescent="0.25">
      <c r="A38">
        <v>28624</v>
      </c>
      <c r="B38" s="1">
        <f>(logtemperature__7[[#This Row],[seconds]]-28264)/60</f>
        <v>6</v>
      </c>
      <c r="C38" s="1">
        <v>62.09</v>
      </c>
    </row>
    <row r="39" spans="1:3" x14ac:dyDescent="0.25">
      <c r="A39">
        <v>28634</v>
      </c>
      <c r="B39" s="1">
        <f>(logtemperature__7[[#This Row],[seconds]]-28264)/60</f>
        <v>6.166666666666667</v>
      </c>
      <c r="C39" s="1">
        <v>63.57</v>
      </c>
    </row>
    <row r="40" spans="1:3" x14ac:dyDescent="0.25">
      <c r="A40">
        <v>28644</v>
      </c>
      <c r="B40" s="1">
        <f>(logtemperature__7[[#This Row],[seconds]]-28264)/60</f>
        <v>6.333333333333333</v>
      </c>
      <c r="C40" s="1">
        <v>64.22</v>
      </c>
    </row>
    <row r="41" spans="1:3" x14ac:dyDescent="0.25">
      <c r="A41">
        <v>28654</v>
      </c>
      <c r="B41" s="1">
        <f>(logtemperature__7[[#This Row],[seconds]]-28264)/60</f>
        <v>6.5</v>
      </c>
      <c r="C41" s="1">
        <v>64.84</v>
      </c>
    </row>
    <row r="42" spans="1:3" x14ac:dyDescent="0.25">
      <c r="A42">
        <v>28664</v>
      </c>
      <c r="B42" s="1">
        <f>(logtemperature__7[[#This Row],[seconds]]-28264)/60</f>
        <v>6.666666666666667</v>
      </c>
      <c r="C42" s="1">
        <v>65.09</v>
      </c>
    </row>
    <row r="43" spans="1:3" x14ac:dyDescent="0.25">
      <c r="A43">
        <v>28674</v>
      </c>
      <c r="B43" s="1">
        <f>(logtemperature__7[[#This Row],[seconds]]-28264)/60</f>
        <v>6.833333333333333</v>
      </c>
      <c r="C43" s="1">
        <v>65.91</v>
      </c>
    </row>
    <row r="44" spans="1:3" x14ac:dyDescent="0.25">
      <c r="A44">
        <v>28684</v>
      </c>
      <c r="B44" s="1">
        <f>(logtemperature__7[[#This Row],[seconds]]-28264)/60</f>
        <v>7</v>
      </c>
      <c r="C44" s="1">
        <v>66.37</v>
      </c>
    </row>
    <row r="45" spans="1:3" x14ac:dyDescent="0.25">
      <c r="A45">
        <v>28694</v>
      </c>
      <c r="B45" s="1">
        <f>(logtemperature__7[[#This Row],[seconds]]-28264)/60</f>
        <v>7.166666666666667</v>
      </c>
      <c r="C45" s="1">
        <v>66.33</v>
      </c>
    </row>
    <row r="46" spans="1:3" x14ac:dyDescent="0.25">
      <c r="A46">
        <v>28704</v>
      </c>
      <c r="B46" s="1">
        <f>(logtemperature__7[[#This Row],[seconds]]-28264)/60</f>
        <v>7.333333333333333</v>
      </c>
      <c r="C46" s="1">
        <v>66.62</v>
      </c>
    </row>
    <row r="47" spans="1:3" x14ac:dyDescent="0.25">
      <c r="A47">
        <v>28714</v>
      </c>
      <c r="B47" s="1">
        <f>(logtemperature__7[[#This Row],[seconds]]-28264)/60</f>
        <v>7.5</v>
      </c>
      <c r="C47" s="1">
        <v>67.83</v>
      </c>
    </row>
    <row r="48" spans="1:3" x14ac:dyDescent="0.25">
      <c r="A48">
        <v>28724</v>
      </c>
      <c r="B48" s="1">
        <f>(logtemperature__7[[#This Row],[seconds]]-28264)/60</f>
        <v>7.666666666666667</v>
      </c>
      <c r="C48" s="1">
        <v>68.959999999999994</v>
      </c>
    </row>
    <row r="49" spans="1:3" x14ac:dyDescent="0.25">
      <c r="A49">
        <v>28734</v>
      </c>
      <c r="B49" s="1">
        <f>(logtemperature__7[[#This Row],[seconds]]-28264)/60</f>
        <v>7.833333333333333</v>
      </c>
      <c r="C49" s="1">
        <v>68.930000000000007</v>
      </c>
    </row>
    <row r="50" spans="1:3" x14ac:dyDescent="0.25">
      <c r="A50">
        <v>28745</v>
      </c>
      <c r="B50" s="1">
        <f>(logtemperature__7[[#This Row],[seconds]]-28264)/60</f>
        <v>8.0166666666666675</v>
      </c>
      <c r="C50" s="1">
        <v>70.13</v>
      </c>
    </row>
    <row r="51" spans="1:3" x14ac:dyDescent="0.25">
      <c r="A51">
        <v>28755</v>
      </c>
      <c r="B51" s="1">
        <f>(logtemperature__7[[#This Row],[seconds]]-28264)/60</f>
        <v>8.1833333333333336</v>
      </c>
      <c r="C51" s="1">
        <v>71.319999999999993</v>
      </c>
    </row>
    <row r="52" spans="1:3" x14ac:dyDescent="0.25">
      <c r="A52">
        <v>28765</v>
      </c>
      <c r="B52" s="1">
        <f>(logtemperature__7[[#This Row],[seconds]]-28264)/60</f>
        <v>8.35</v>
      </c>
      <c r="C52" s="1">
        <v>71.260000000000005</v>
      </c>
    </row>
    <row r="53" spans="1:3" x14ac:dyDescent="0.25">
      <c r="A53">
        <v>28775</v>
      </c>
      <c r="B53" s="1">
        <f>(logtemperature__7[[#This Row],[seconds]]-28264)/60</f>
        <v>8.5166666666666675</v>
      </c>
      <c r="C53" s="1">
        <v>72</v>
      </c>
    </row>
    <row r="54" spans="1:3" x14ac:dyDescent="0.25">
      <c r="A54">
        <v>28785</v>
      </c>
      <c r="B54" s="1">
        <f>(logtemperature__7[[#This Row],[seconds]]-28264)/60</f>
        <v>8.6833333333333336</v>
      </c>
      <c r="C54" s="1">
        <v>72.209999999999994</v>
      </c>
    </row>
    <row r="55" spans="1:3" x14ac:dyDescent="0.25">
      <c r="A55">
        <v>28795</v>
      </c>
      <c r="B55" s="1">
        <f>(logtemperature__7[[#This Row],[seconds]]-28264)/60</f>
        <v>8.85</v>
      </c>
      <c r="C55" s="1">
        <v>73.680000000000007</v>
      </c>
    </row>
    <row r="56" spans="1:3" x14ac:dyDescent="0.25">
      <c r="A56">
        <v>28805</v>
      </c>
      <c r="B56" s="1">
        <f>(logtemperature__7[[#This Row],[seconds]]-28264)/60</f>
        <v>9.0166666666666675</v>
      </c>
      <c r="C56" s="1">
        <v>74.099999999999994</v>
      </c>
    </row>
    <row r="57" spans="1:3" x14ac:dyDescent="0.25">
      <c r="A57">
        <v>28815</v>
      </c>
      <c r="B57" s="1">
        <f>(logtemperature__7[[#This Row],[seconds]]-28264)/60</f>
        <v>9.1833333333333336</v>
      </c>
      <c r="C57" s="1">
        <v>73.94</v>
      </c>
    </row>
    <row r="58" spans="1:3" x14ac:dyDescent="0.25">
      <c r="A58">
        <v>28825</v>
      </c>
      <c r="B58" s="1">
        <f>(logtemperature__7[[#This Row],[seconds]]-28264)/60</f>
        <v>9.35</v>
      </c>
      <c r="C58" s="1">
        <v>74.849999999999994</v>
      </c>
    </row>
    <row r="59" spans="1:3" x14ac:dyDescent="0.25">
      <c r="A59">
        <v>28835</v>
      </c>
      <c r="B59" s="1">
        <f>(logtemperature__7[[#This Row],[seconds]]-28264)/60</f>
        <v>9.5166666666666675</v>
      </c>
      <c r="C59" s="1">
        <v>74.569999999999993</v>
      </c>
    </row>
    <row r="60" spans="1:3" x14ac:dyDescent="0.25">
      <c r="A60">
        <v>28845</v>
      </c>
      <c r="B60" s="1">
        <f>(logtemperature__7[[#This Row],[seconds]]-28264)/60</f>
        <v>9.6833333333333336</v>
      </c>
      <c r="C60" s="1">
        <v>75.14</v>
      </c>
    </row>
    <row r="61" spans="1:3" x14ac:dyDescent="0.25">
      <c r="A61">
        <v>28855</v>
      </c>
      <c r="B61" s="1">
        <f>(logtemperature__7[[#This Row],[seconds]]-28264)/60</f>
        <v>9.85</v>
      </c>
      <c r="C61" s="1">
        <v>75.25</v>
      </c>
    </row>
    <row r="62" spans="1:3" x14ac:dyDescent="0.25">
      <c r="A62">
        <v>28865</v>
      </c>
      <c r="B62" s="1">
        <f>(logtemperature__7[[#This Row],[seconds]]-28264)/60</f>
        <v>10.016666666666667</v>
      </c>
      <c r="C62" s="1">
        <v>75.66</v>
      </c>
    </row>
    <row r="63" spans="1:3" x14ac:dyDescent="0.25">
      <c r="A63">
        <v>28875</v>
      </c>
      <c r="B63" s="1">
        <f>(logtemperature__7[[#This Row],[seconds]]-28264)/60</f>
        <v>10.183333333333334</v>
      </c>
      <c r="C63" s="1">
        <v>76.67</v>
      </c>
    </row>
    <row r="64" spans="1:3" x14ac:dyDescent="0.25">
      <c r="A64">
        <v>28885</v>
      </c>
      <c r="B64" s="1">
        <f>(logtemperature__7[[#This Row],[seconds]]-28264)/60</f>
        <v>10.35</v>
      </c>
      <c r="C64" s="1">
        <v>77.150000000000006</v>
      </c>
    </row>
    <row r="65" spans="1:3" x14ac:dyDescent="0.25">
      <c r="A65">
        <v>28895</v>
      </c>
      <c r="B65" s="1">
        <f>(logtemperature__7[[#This Row],[seconds]]-28264)/60</f>
        <v>10.516666666666667</v>
      </c>
      <c r="C65" s="1">
        <v>77.930000000000007</v>
      </c>
    </row>
    <row r="66" spans="1:3" x14ac:dyDescent="0.25">
      <c r="A66">
        <v>28905</v>
      </c>
      <c r="B66" s="1">
        <f>(logtemperature__7[[#This Row],[seconds]]-28264)/60</f>
        <v>10.683333333333334</v>
      </c>
      <c r="C66" s="1">
        <v>79.03</v>
      </c>
    </row>
    <row r="67" spans="1:3" x14ac:dyDescent="0.25">
      <c r="A67">
        <v>28915</v>
      </c>
      <c r="B67" s="1">
        <f>(logtemperature__7[[#This Row],[seconds]]-28264)/60</f>
        <v>10.85</v>
      </c>
      <c r="C67" s="1">
        <v>78.760000000000005</v>
      </c>
    </row>
    <row r="68" spans="1:3" x14ac:dyDescent="0.25">
      <c r="A68">
        <v>28925</v>
      </c>
      <c r="B68" s="1">
        <f>(logtemperature__7[[#This Row],[seconds]]-28264)/60</f>
        <v>11.016666666666667</v>
      </c>
      <c r="C68" s="1">
        <v>79.040000000000006</v>
      </c>
    </row>
    <row r="69" spans="1:3" x14ac:dyDescent="0.25">
      <c r="A69">
        <v>28935</v>
      </c>
      <c r="B69" s="1">
        <f>(logtemperature__7[[#This Row],[seconds]]-28264)/60</f>
        <v>11.183333333333334</v>
      </c>
      <c r="C69" s="1">
        <v>79.400000000000006</v>
      </c>
    </row>
    <row r="70" spans="1:3" x14ac:dyDescent="0.25">
      <c r="A70">
        <v>28945</v>
      </c>
      <c r="B70" s="1">
        <f>(logtemperature__7[[#This Row],[seconds]]-28264)/60</f>
        <v>11.35</v>
      </c>
      <c r="C70" s="1">
        <v>79.36</v>
      </c>
    </row>
    <row r="71" spans="1:3" x14ac:dyDescent="0.25">
      <c r="A71">
        <v>28955</v>
      </c>
      <c r="B71" s="1">
        <f>(logtemperature__7[[#This Row],[seconds]]-28264)/60</f>
        <v>11.516666666666667</v>
      </c>
      <c r="C71" s="1">
        <v>80.19</v>
      </c>
    </row>
    <row r="72" spans="1:3" x14ac:dyDescent="0.25">
      <c r="A72">
        <v>28965</v>
      </c>
      <c r="B72" s="1">
        <f>(logtemperature__7[[#This Row],[seconds]]-28264)/60</f>
        <v>11.683333333333334</v>
      </c>
      <c r="C72" s="1">
        <v>81.599999999999994</v>
      </c>
    </row>
    <row r="73" spans="1:3" x14ac:dyDescent="0.25">
      <c r="A73">
        <v>28975</v>
      </c>
      <c r="B73" s="1">
        <f>(logtemperature__7[[#This Row],[seconds]]-28264)/60</f>
        <v>11.85</v>
      </c>
      <c r="C73" s="1">
        <v>81.73</v>
      </c>
    </row>
    <row r="74" spans="1:3" x14ac:dyDescent="0.25">
      <c r="A74">
        <v>28985</v>
      </c>
      <c r="B74" s="1">
        <f>(logtemperature__7[[#This Row],[seconds]]-28264)/60</f>
        <v>12.016666666666667</v>
      </c>
      <c r="C74" s="1">
        <v>82.41</v>
      </c>
    </row>
    <row r="75" spans="1:3" x14ac:dyDescent="0.25">
      <c r="A75">
        <v>28995</v>
      </c>
      <c r="B75" s="1">
        <f>(logtemperature__7[[#This Row],[seconds]]-28264)/60</f>
        <v>12.183333333333334</v>
      </c>
      <c r="C75" s="1">
        <v>83.32</v>
      </c>
    </row>
    <row r="76" spans="1:3" x14ac:dyDescent="0.25">
      <c r="A76">
        <v>29005</v>
      </c>
      <c r="B76" s="1">
        <f>(logtemperature__7[[#This Row],[seconds]]-28264)/60</f>
        <v>12.35</v>
      </c>
      <c r="C76" s="1">
        <v>82.54</v>
      </c>
    </row>
    <row r="77" spans="1:3" x14ac:dyDescent="0.25">
      <c r="A77">
        <v>29015</v>
      </c>
      <c r="B77" s="1">
        <f>(logtemperature__7[[#This Row],[seconds]]-28264)/60</f>
        <v>12.516666666666667</v>
      </c>
      <c r="C77" s="1">
        <v>83.27</v>
      </c>
    </row>
    <row r="78" spans="1:3" x14ac:dyDescent="0.25">
      <c r="A78">
        <v>29025</v>
      </c>
      <c r="B78" s="1">
        <f>(logtemperature__7[[#This Row],[seconds]]-28264)/60</f>
        <v>12.683333333333334</v>
      </c>
      <c r="C78" s="1">
        <v>83.75</v>
      </c>
    </row>
    <row r="79" spans="1:3" x14ac:dyDescent="0.25">
      <c r="A79">
        <v>29035</v>
      </c>
      <c r="B79" s="1">
        <f>(logtemperature__7[[#This Row],[seconds]]-28264)/60</f>
        <v>12.85</v>
      </c>
      <c r="C79" s="1">
        <v>83.78</v>
      </c>
    </row>
    <row r="80" spans="1:3" x14ac:dyDescent="0.25">
      <c r="A80">
        <v>29045</v>
      </c>
      <c r="B80" s="1">
        <f>(logtemperature__7[[#This Row],[seconds]]-28264)/60</f>
        <v>13.016666666666667</v>
      </c>
      <c r="C80" s="1">
        <v>84.59</v>
      </c>
    </row>
    <row r="81" spans="1:3" x14ac:dyDescent="0.25">
      <c r="A81">
        <v>29055</v>
      </c>
      <c r="B81" s="1">
        <f>(logtemperature__7[[#This Row],[seconds]]-28264)/60</f>
        <v>13.183333333333334</v>
      </c>
      <c r="C81" s="1">
        <v>85.11</v>
      </c>
    </row>
    <row r="82" spans="1:3" x14ac:dyDescent="0.25">
      <c r="A82">
        <v>29065</v>
      </c>
      <c r="B82" s="1">
        <f>(logtemperature__7[[#This Row],[seconds]]-28264)/60</f>
        <v>13.35</v>
      </c>
      <c r="C82" s="1">
        <v>85.19</v>
      </c>
    </row>
    <row r="83" spans="1:3" x14ac:dyDescent="0.25">
      <c r="A83">
        <v>29075</v>
      </c>
      <c r="B83" s="1">
        <f>(logtemperature__7[[#This Row],[seconds]]-28264)/60</f>
        <v>13.516666666666667</v>
      </c>
      <c r="C83" s="1">
        <v>85.55</v>
      </c>
    </row>
    <row r="84" spans="1:3" x14ac:dyDescent="0.25">
      <c r="A84">
        <v>29085</v>
      </c>
      <c r="B84" s="1">
        <f>(logtemperature__7[[#This Row],[seconds]]-28264)/60</f>
        <v>13.683333333333334</v>
      </c>
      <c r="C84" s="1">
        <v>86.12</v>
      </c>
    </row>
    <row r="85" spans="1:3" x14ac:dyDescent="0.25">
      <c r="A85">
        <v>29095</v>
      </c>
      <c r="B85" s="1">
        <f>(logtemperature__7[[#This Row],[seconds]]-28264)/60</f>
        <v>13.85</v>
      </c>
      <c r="C85" s="1">
        <v>86.64</v>
      </c>
    </row>
    <row r="86" spans="1:3" x14ac:dyDescent="0.25">
      <c r="A86">
        <v>29105</v>
      </c>
      <c r="B86" s="1">
        <f>(logtemperature__7[[#This Row],[seconds]]-28264)/60</f>
        <v>14.016666666666667</v>
      </c>
      <c r="C86" s="1">
        <v>87.24</v>
      </c>
    </row>
    <row r="87" spans="1:3" x14ac:dyDescent="0.25">
      <c r="A87">
        <v>29115</v>
      </c>
      <c r="B87" s="1">
        <f>(logtemperature__7[[#This Row],[seconds]]-28264)/60</f>
        <v>14.183333333333334</v>
      </c>
      <c r="C87" s="1">
        <v>87.05</v>
      </c>
    </row>
    <row r="88" spans="1:3" x14ac:dyDescent="0.25">
      <c r="A88">
        <v>29125</v>
      </c>
      <c r="B88" s="1">
        <f>(logtemperature__7[[#This Row],[seconds]]-28264)/60</f>
        <v>14.35</v>
      </c>
      <c r="C88" s="1">
        <v>86.99</v>
      </c>
    </row>
    <row r="89" spans="1:3" x14ac:dyDescent="0.25">
      <c r="A89">
        <v>29135</v>
      </c>
      <c r="B89" s="1">
        <f>(logtemperature__7[[#This Row],[seconds]]-28264)/60</f>
        <v>14.516666666666667</v>
      </c>
      <c r="C89" s="1">
        <v>87.09</v>
      </c>
    </row>
    <row r="90" spans="1:3" x14ac:dyDescent="0.25">
      <c r="A90">
        <v>29145</v>
      </c>
      <c r="B90" s="1">
        <f>(logtemperature__7[[#This Row],[seconds]]-28264)/60</f>
        <v>14.683333333333334</v>
      </c>
      <c r="C90" s="1">
        <v>87.38</v>
      </c>
    </row>
    <row r="91" spans="1:3" x14ac:dyDescent="0.25">
      <c r="A91">
        <v>29155</v>
      </c>
      <c r="B91" s="1">
        <f>(logtemperature__7[[#This Row],[seconds]]-28264)/60</f>
        <v>14.85</v>
      </c>
      <c r="C91" s="1">
        <v>87.63</v>
      </c>
    </row>
    <row r="92" spans="1:3" x14ac:dyDescent="0.25">
      <c r="A92">
        <v>29165</v>
      </c>
      <c r="B92" s="1">
        <f>(logtemperature__7[[#This Row],[seconds]]-28264)/60</f>
        <v>15.016666666666667</v>
      </c>
      <c r="C92" s="1">
        <v>88.16</v>
      </c>
    </row>
    <row r="93" spans="1:3" x14ac:dyDescent="0.25">
      <c r="A93">
        <v>29175</v>
      </c>
      <c r="B93" s="1">
        <f>(logtemperature__7[[#This Row],[seconds]]-28264)/60</f>
        <v>15.183333333333334</v>
      </c>
      <c r="C93" s="1">
        <v>88.23</v>
      </c>
    </row>
    <row r="94" spans="1:3" x14ac:dyDescent="0.25">
      <c r="A94">
        <v>29185</v>
      </c>
      <c r="B94" s="1">
        <f>(logtemperature__7[[#This Row],[seconds]]-28264)/60</f>
        <v>15.35</v>
      </c>
      <c r="C94" s="1">
        <v>88.92</v>
      </c>
    </row>
    <row r="95" spans="1:3" x14ac:dyDescent="0.25">
      <c r="A95">
        <v>29195</v>
      </c>
      <c r="B95" s="1">
        <f>(logtemperature__7[[#This Row],[seconds]]-28264)/60</f>
        <v>15.516666666666667</v>
      </c>
      <c r="C95" s="1">
        <v>89.61</v>
      </c>
    </row>
    <row r="96" spans="1:3" x14ac:dyDescent="0.25">
      <c r="A96">
        <v>29205</v>
      </c>
      <c r="B96" s="1">
        <f>(logtemperature__7[[#This Row],[seconds]]-28264)/60</f>
        <v>15.683333333333334</v>
      </c>
      <c r="C96" s="1">
        <v>89.52</v>
      </c>
    </row>
    <row r="97" spans="1:3" x14ac:dyDescent="0.25">
      <c r="A97">
        <v>29215</v>
      </c>
      <c r="B97" s="1">
        <f>(logtemperature__7[[#This Row],[seconds]]-28264)/60</f>
        <v>15.85</v>
      </c>
      <c r="C97" s="1">
        <v>89.37</v>
      </c>
    </row>
    <row r="98" spans="1:3" x14ac:dyDescent="0.25">
      <c r="A98">
        <v>29226</v>
      </c>
      <c r="B98" s="1">
        <f>(logtemperature__7[[#This Row],[seconds]]-28264)/60</f>
        <v>16.033333333333335</v>
      </c>
      <c r="C98" s="1">
        <v>89.61</v>
      </c>
    </row>
    <row r="99" spans="1:3" x14ac:dyDescent="0.25">
      <c r="A99">
        <v>29236</v>
      </c>
      <c r="B99" s="1">
        <f>(logtemperature__7[[#This Row],[seconds]]-28264)/60</f>
        <v>16.2</v>
      </c>
      <c r="C99" s="1">
        <v>89.78</v>
      </c>
    </row>
    <row r="100" spans="1:3" x14ac:dyDescent="0.25">
      <c r="A100">
        <v>29246</v>
      </c>
      <c r="B100" s="1">
        <f>(logtemperature__7[[#This Row],[seconds]]-28264)/60</f>
        <v>16.366666666666667</v>
      </c>
      <c r="C100" s="1">
        <v>90.51</v>
      </c>
    </row>
    <row r="101" spans="1:3" x14ac:dyDescent="0.25">
      <c r="A101">
        <v>29256</v>
      </c>
      <c r="B101" s="1">
        <f>(logtemperature__7[[#This Row],[seconds]]-28264)/60</f>
        <v>16.533333333333335</v>
      </c>
      <c r="C101" s="1">
        <v>91.32</v>
      </c>
    </row>
    <row r="102" spans="1:3" x14ac:dyDescent="0.25">
      <c r="A102">
        <v>29266</v>
      </c>
      <c r="B102" s="1">
        <f>(logtemperature__7[[#This Row],[seconds]]-28264)/60</f>
        <v>16.7</v>
      </c>
      <c r="C102" s="1">
        <v>91.69</v>
      </c>
    </row>
    <row r="103" spans="1:3" x14ac:dyDescent="0.25">
      <c r="A103">
        <v>29276</v>
      </c>
      <c r="B103" s="1">
        <f>(logtemperature__7[[#This Row],[seconds]]-28264)/60</f>
        <v>16.866666666666667</v>
      </c>
      <c r="C103" s="1">
        <v>91.88</v>
      </c>
    </row>
    <row r="104" spans="1:3" x14ac:dyDescent="0.25">
      <c r="A104">
        <v>29286</v>
      </c>
      <c r="B104" s="1">
        <f>(logtemperature__7[[#This Row],[seconds]]-28264)/60</f>
        <v>17.033333333333335</v>
      </c>
      <c r="C104" s="1">
        <v>92.54</v>
      </c>
    </row>
    <row r="105" spans="1:3" x14ac:dyDescent="0.25">
      <c r="A105">
        <v>29296</v>
      </c>
      <c r="B105" s="1">
        <f>(logtemperature__7[[#This Row],[seconds]]-28264)/60</f>
        <v>17.2</v>
      </c>
      <c r="C105" s="1">
        <v>92.95</v>
      </c>
    </row>
    <row r="106" spans="1:3" x14ac:dyDescent="0.25">
      <c r="A106">
        <v>29306</v>
      </c>
      <c r="B106" s="1">
        <f>(logtemperature__7[[#This Row],[seconds]]-28264)/60</f>
        <v>17.366666666666667</v>
      </c>
      <c r="C106" s="1">
        <v>92.99</v>
      </c>
    </row>
    <row r="107" spans="1:3" x14ac:dyDescent="0.25">
      <c r="A107">
        <v>29316</v>
      </c>
      <c r="B107" s="1">
        <f>(logtemperature__7[[#This Row],[seconds]]-28264)/60</f>
        <v>17.533333333333335</v>
      </c>
      <c r="C107" s="1">
        <v>92.28</v>
      </c>
    </row>
    <row r="108" spans="1:3" x14ac:dyDescent="0.25">
      <c r="A108">
        <v>29326</v>
      </c>
      <c r="B108" s="1">
        <f>(logtemperature__7[[#This Row],[seconds]]-28264)/60</f>
        <v>17.7</v>
      </c>
      <c r="C108" s="1">
        <v>92.47</v>
      </c>
    </row>
    <row r="109" spans="1:3" x14ac:dyDescent="0.25">
      <c r="A109">
        <v>29336</v>
      </c>
      <c r="B109" s="1">
        <f>(logtemperature__7[[#This Row],[seconds]]-28264)/60</f>
        <v>17.866666666666667</v>
      </c>
      <c r="C109" s="1">
        <v>93.02</v>
      </c>
    </row>
    <row r="110" spans="1:3" x14ac:dyDescent="0.25">
      <c r="A110">
        <v>29346</v>
      </c>
      <c r="B110" s="1">
        <f>(logtemperature__7[[#This Row],[seconds]]-28264)/60</f>
        <v>18.033333333333335</v>
      </c>
      <c r="C110" s="1">
        <v>92.99</v>
      </c>
    </row>
    <row r="111" spans="1:3" x14ac:dyDescent="0.25">
      <c r="A111">
        <v>29356</v>
      </c>
      <c r="B111" s="1">
        <f>(logtemperature__7[[#This Row],[seconds]]-28264)/60</f>
        <v>18.2</v>
      </c>
      <c r="C111" s="1">
        <v>93.85</v>
      </c>
    </row>
    <row r="112" spans="1:3" x14ac:dyDescent="0.25">
      <c r="A112">
        <v>29366</v>
      </c>
      <c r="B112" s="1">
        <f>(logtemperature__7[[#This Row],[seconds]]-28264)/60</f>
        <v>18.366666666666667</v>
      </c>
      <c r="C112" s="1">
        <v>94.32</v>
      </c>
    </row>
    <row r="113" spans="1:3" x14ac:dyDescent="0.25">
      <c r="A113">
        <v>29376</v>
      </c>
      <c r="B113" s="1">
        <f>(logtemperature__7[[#This Row],[seconds]]-28264)/60</f>
        <v>18.533333333333335</v>
      </c>
      <c r="C113" s="1">
        <v>94.52</v>
      </c>
    </row>
    <row r="114" spans="1:3" x14ac:dyDescent="0.25">
      <c r="A114">
        <v>29386</v>
      </c>
      <c r="B114" s="1">
        <f>(logtemperature__7[[#This Row],[seconds]]-28264)/60</f>
        <v>18.7</v>
      </c>
      <c r="C114" s="1">
        <v>93.87</v>
      </c>
    </row>
    <row r="115" spans="1:3" x14ac:dyDescent="0.25">
      <c r="A115">
        <v>29396</v>
      </c>
      <c r="B115" s="1">
        <f>(logtemperature__7[[#This Row],[seconds]]-28264)/60</f>
        <v>18.866666666666667</v>
      </c>
      <c r="C115" s="1">
        <v>94.25</v>
      </c>
    </row>
    <row r="116" spans="1:3" x14ac:dyDescent="0.25">
      <c r="A116">
        <v>29406</v>
      </c>
      <c r="B116" s="1">
        <f>(logtemperature__7[[#This Row],[seconds]]-28264)/60</f>
        <v>19.033333333333335</v>
      </c>
      <c r="C116" s="1">
        <v>95.02</v>
      </c>
    </row>
    <row r="117" spans="1:3" x14ac:dyDescent="0.25">
      <c r="A117">
        <v>29416</v>
      </c>
      <c r="B117" s="1">
        <f>(logtemperature__7[[#This Row],[seconds]]-28264)/60</f>
        <v>19.2</v>
      </c>
      <c r="C117" s="1">
        <v>95.13</v>
      </c>
    </row>
    <row r="118" spans="1:3" x14ac:dyDescent="0.25">
      <c r="A118">
        <v>29426</v>
      </c>
      <c r="B118" s="1">
        <f>(logtemperature__7[[#This Row],[seconds]]-28264)/60</f>
        <v>19.366666666666667</v>
      </c>
      <c r="C118" s="1">
        <v>95.56</v>
      </c>
    </row>
    <row r="119" spans="1:3" x14ac:dyDescent="0.25">
      <c r="A119">
        <v>29436</v>
      </c>
      <c r="B119" s="1">
        <f>(logtemperature__7[[#This Row],[seconds]]-28264)/60</f>
        <v>19.533333333333335</v>
      </c>
      <c r="C119" s="1">
        <v>96.15</v>
      </c>
    </row>
    <row r="120" spans="1:3" x14ac:dyDescent="0.25">
      <c r="A120">
        <v>29446</v>
      </c>
      <c r="B120" s="1">
        <f>(logtemperature__7[[#This Row],[seconds]]-28264)/60</f>
        <v>19.7</v>
      </c>
      <c r="C120" s="1">
        <v>96.6</v>
      </c>
    </row>
    <row r="121" spans="1:3" x14ac:dyDescent="0.25">
      <c r="A121">
        <v>29456</v>
      </c>
      <c r="B121" s="1">
        <f>(logtemperature__7[[#This Row],[seconds]]-28264)/60</f>
        <v>19.866666666666667</v>
      </c>
      <c r="C121" s="1">
        <v>96.63</v>
      </c>
    </row>
    <row r="122" spans="1:3" x14ac:dyDescent="0.25">
      <c r="A122">
        <v>29466</v>
      </c>
      <c r="B122" s="1">
        <f>(logtemperature__7[[#This Row],[seconds]]-28264)/60</f>
        <v>20.033333333333335</v>
      </c>
      <c r="C122" s="1">
        <v>97</v>
      </c>
    </row>
    <row r="123" spans="1:3" x14ac:dyDescent="0.25">
      <c r="A123">
        <v>29476</v>
      </c>
      <c r="B123" s="1">
        <f>(logtemperature__7[[#This Row],[seconds]]-28264)/60</f>
        <v>20.2</v>
      </c>
      <c r="C123" s="1">
        <v>97.41</v>
      </c>
    </row>
    <row r="124" spans="1:3" x14ac:dyDescent="0.25">
      <c r="A124">
        <v>29486</v>
      </c>
      <c r="B124" s="1">
        <f>(logtemperature__7[[#This Row],[seconds]]-28264)/60</f>
        <v>20.366666666666667</v>
      </c>
      <c r="C124" s="1">
        <v>97.44</v>
      </c>
    </row>
    <row r="125" spans="1:3" x14ac:dyDescent="0.25">
      <c r="A125">
        <v>29496</v>
      </c>
      <c r="B125" s="1">
        <f>(logtemperature__7[[#This Row],[seconds]]-28264)/60</f>
        <v>20.533333333333335</v>
      </c>
      <c r="C125" s="1">
        <v>97.71</v>
      </c>
    </row>
    <row r="126" spans="1:3" x14ac:dyDescent="0.25">
      <c r="A126">
        <v>29506</v>
      </c>
      <c r="B126" s="1">
        <f>(logtemperature__7[[#This Row],[seconds]]-28264)/60</f>
        <v>20.7</v>
      </c>
      <c r="C126" s="1">
        <v>97.94</v>
      </c>
    </row>
    <row r="127" spans="1:3" x14ac:dyDescent="0.25">
      <c r="A127">
        <v>29516</v>
      </c>
      <c r="B127" s="1">
        <f>(logtemperature__7[[#This Row],[seconds]]-28264)/60</f>
        <v>20.866666666666667</v>
      </c>
      <c r="C127" s="1">
        <v>99.06</v>
      </c>
    </row>
    <row r="128" spans="1:3" x14ac:dyDescent="0.25">
      <c r="A128">
        <v>29526</v>
      </c>
      <c r="B128" s="1">
        <f>(logtemperature__7[[#This Row],[seconds]]-28264)/60</f>
        <v>21.033333333333335</v>
      </c>
      <c r="C128" s="1">
        <v>98.56</v>
      </c>
    </row>
    <row r="129" spans="1:3" x14ac:dyDescent="0.25">
      <c r="A129">
        <v>29536</v>
      </c>
      <c r="B129" s="1">
        <f>(logtemperature__7[[#This Row],[seconds]]-28264)/60</f>
        <v>21.2</v>
      </c>
      <c r="C129" s="1">
        <v>98.82</v>
      </c>
    </row>
    <row r="130" spans="1:3" x14ac:dyDescent="0.25">
      <c r="A130">
        <v>29546</v>
      </c>
      <c r="B130" s="1">
        <f>(logtemperature__7[[#This Row],[seconds]]-28264)/60</f>
        <v>21.366666666666667</v>
      </c>
      <c r="C130" s="1">
        <v>99.46</v>
      </c>
    </row>
    <row r="131" spans="1:3" x14ac:dyDescent="0.25">
      <c r="A131">
        <v>29556</v>
      </c>
      <c r="B131" s="1">
        <f>(logtemperature__7[[#This Row],[seconds]]-28264)/60</f>
        <v>21.533333333333335</v>
      </c>
      <c r="C131" s="1">
        <v>99.71</v>
      </c>
    </row>
    <row r="132" spans="1:3" x14ac:dyDescent="0.25">
      <c r="A132">
        <v>29566</v>
      </c>
      <c r="B132" s="1">
        <f>(logtemperature__7[[#This Row],[seconds]]-28264)/60</f>
        <v>21.7</v>
      </c>
      <c r="C132" s="1">
        <v>99.12</v>
      </c>
    </row>
    <row r="133" spans="1:3" x14ac:dyDescent="0.25">
      <c r="A133">
        <v>29576</v>
      </c>
      <c r="B133" s="1">
        <f>(logtemperature__7[[#This Row],[seconds]]-28264)/60</f>
        <v>21.866666666666667</v>
      </c>
      <c r="C133" s="1">
        <v>99.38</v>
      </c>
    </row>
    <row r="134" spans="1:3" x14ac:dyDescent="0.25">
      <c r="A134">
        <v>29586</v>
      </c>
      <c r="B134" s="1">
        <f>(logtemperature__7[[#This Row],[seconds]]-28264)/60</f>
        <v>22.033333333333335</v>
      </c>
      <c r="C134" s="1">
        <v>99.5</v>
      </c>
    </row>
    <row r="135" spans="1:3" x14ac:dyDescent="0.25">
      <c r="A135">
        <v>29596</v>
      </c>
      <c r="B135" s="1">
        <f>(logtemperature__7[[#This Row],[seconds]]-28264)/60</f>
        <v>22.2</v>
      </c>
      <c r="C135" s="1">
        <v>99.66</v>
      </c>
    </row>
    <row r="136" spans="1:3" x14ac:dyDescent="0.25">
      <c r="A136">
        <v>29606</v>
      </c>
      <c r="B136" s="1">
        <f>(logtemperature__7[[#This Row],[seconds]]-28264)/60</f>
        <v>22.366666666666667</v>
      </c>
      <c r="C136" s="1">
        <v>99.54</v>
      </c>
    </row>
    <row r="137" spans="1:3" x14ac:dyDescent="0.25">
      <c r="A137">
        <v>29616</v>
      </c>
      <c r="B137" s="1">
        <f>(logtemperature__7[[#This Row],[seconds]]-28264)/60</f>
        <v>22.533333333333335</v>
      </c>
      <c r="C137" s="1">
        <v>99.98</v>
      </c>
    </row>
    <row r="138" spans="1:3" x14ac:dyDescent="0.25">
      <c r="A138">
        <v>29626</v>
      </c>
      <c r="B138" s="1">
        <f>(logtemperature__7[[#This Row],[seconds]]-28264)/60</f>
        <v>22.7</v>
      </c>
      <c r="C138" s="1">
        <v>100.83</v>
      </c>
    </row>
    <row r="139" spans="1:3" x14ac:dyDescent="0.25">
      <c r="A139">
        <v>29636</v>
      </c>
      <c r="B139" s="1">
        <f>(logtemperature__7[[#This Row],[seconds]]-28264)/60</f>
        <v>22.866666666666667</v>
      </c>
      <c r="C139" s="1">
        <v>100.65</v>
      </c>
    </row>
    <row r="140" spans="1:3" x14ac:dyDescent="0.25">
      <c r="A140">
        <v>29646</v>
      </c>
      <c r="B140" s="1">
        <f>(logtemperature__7[[#This Row],[seconds]]-28264)/60</f>
        <v>23.033333333333335</v>
      </c>
      <c r="C140" s="1">
        <v>99.51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3ADB9-A701-4743-A834-A1C2B2198B26}">
  <dimension ref="A1:C201"/>
  <sheetViews>
    <sheetView workbookViewId="0"/>
  </sheetViews>
  <sheetFormatPr defaultRowHeight="15" x14ac:dyDescent="0.25"/>
  <cols>
    <col min="1" max="1" width="11.42578125" bestFit="1" customWidth="1"/>
    <col min="2" max="2" width="11.42578125" customWidth="1"/>
    <col min="3" max="3" width="11.42578125" bestFit="1" customWidth="1"/>
  </cols>
  <sheetData>
    <row r="1" spans="1:3" x14ac:dyDescent="0.25">
      <c r="A1" t="s">
        <v>8</v>
      </c>
      <c r="B1" t="s">
        <v>7</v>
      </c>
      <c r="C1" t="s">
        <v>6</v>
      </c>
    </row>
    <row r="2" spans="1:3" x14ac:dyDescent="0.25">
      <c r="A2" s="1">
        <v>66</v>
      </c>
      <c r="B2" s="1">
        <f>(logtemperature__8[[#This Row],[seconds]]-66)/60</f>
        <v>0</v>
      </c>
      <c r="C2" s="1">
        <v>23.82</v>
      </c>
    </row>
    <row r="3" spans="1:3" x14ac:dyDescent="0.25">
      <c r="A3" s="1">
        <v>76</v>
      </c>
      <c r="B3" s="1">
        <f>(logtemperature__8[[#This Row],[seconds]]-66)/60</f>
        <v>0.16666666666666666</v>
      </c>
      <c r="C3" s="1">
        <v>23.87</v>
      </c>
    </row>
    <row r="4" spans="1:3" x14ac:dyDescent="0.25">
      <c r="A4" s="1">
        <v>86</v>
      </c>
      <c r="B4" s="1">
        <f>(logtemperature__8[[#This Row],[seconds]]-66)/60</f>
        <v>0.33333333333333331</v>
      </c>
      <c r="C4" s="1">
        <v>23.85</v>
      </c>
    </row>
    <row r="5" spans="1:3" x14ac:dyDescent="0.25">
      <c r="A5" s="1">
        <v>96</v>
      </c>
      <c r="B5" s="1">
        <f>(logtemperature__8[[#This Row],[seconds]]-66)/60</f>
        <v>0.5</v>
      </c>
      <c r="C5" s="1">
        <v>24.02</v>
      </c>
    </row>
    <row r="6" spans="1:3" x14ac:dyDescent="0.25">
      <c r="A6" s="1">
        <v>106</v>
      </c>
      <c r="B6" s="1">
        <f>(logtemperature__8[[#This Row],[seconds]]-66)/60</f>
        <v>0.66666666666666663</v>
      </c>
      <c r="C6" s="1">
        <v>24.14</v>
      </c>
    </row>
    <row r="7" spans="1:3" x14ac:dyDescent="0.25">
      <c r="A7" s="1">
        <v>116</v>
      </c>
      <c r="B7" s="1">
        <f>(logtemperature__8[[#This Row],[seconds]]-66)/60</f>
        <v>0.83333333333333337</v>
      </c>
      <c r="C7" s="1">
        <v>24.51</v>
      </c>
    </row>
    <row r="8" spans="1:3" x14ac:dyDescent="0.25">
      <c r="A8" s="1">
        <v>126</v>
      </c>
      <c r="B8" s="1">
        <f>(logtemperature__8[[#This Row],[seconds]]-66)/60</f>
        <v>1</v>
      </c>
      <c r="C8" s="1">
        <v>26.66</v>
      </c>
    </row>
    <row r="9" spans="1:3" x14ac:dyDescent="0.25">
      <c r="A9" s="1">
        <v>136</v>
      </c>
      <c r="B9" s="1">
        <f>(logtemperature__8[[#This Row],[seconds]]-66)/60</f>
        <v>1.1666666666666667</v>
      </c>
      <c r="C9" s="1">
        <v>30.51</v>
      </c>
    </row>
    <row r="10" spans="1:3" x14ac:dyDescent="0.25">
      <c r="A10" s="1">
        <v>146</v>
      </c>
      <c r="B10" s="1">
        <f>(logtemperature__8[[#This Row],[seconds]]-66)/60</f>
        <v>1.3333333333333333</v>
      </c>
      <c r="C10" s="1">
        <v>33.94</v>
      </c>
    </row>
    <row r="11" spans="1:3" x14ac:dyDescent="0.25">
      <c r="A11" s="1">
        <v>156</v>
      </c>
      <c r="B11" s="1">
        <f>(logtemperature__8[[#This Row],[seconds]]-66)/60</f>
        <v>1.5</v>
      </c>
      <c r="C11" s="1">
        <v>36.58</v>
      </c>
    </row>
    <row r="12" spans="1:3" x14ac:dyDescent="0.25">
      <c r="A12" s="1">
        <v>166</v>
      </c>
      <c r="B12" s="1">
        <f>(logtemperature__8[[#This Row],[seconds]]-66)/60</f>
        <v>1.6666666666666667</v>
      </c>
      <c r="C12" s="1">
        <v>38.69</v>
      </c>
    </row>
    <row r="13" spans="1:3" x14ac:dyDescent="0.25">
      <c r="A13" s="1">
        <v>176</v>
      </c>
      <c r="B13" s="1">
        <f>(logtemperature__8[[#This Row],[seconds]]-66)/60</f>
        <v>1.8333333333333333</v>
      </c>
      <c r="C13" s="1">
        <v>40.11</v>
      </c>
    </row>
    <row r="14" spans="1:3" x14ac:dyDescent="0.25">
      <c r="A14" s="1">
        <v>186</v>
      </c>
      <c r="B14" s="1">
        <f>(logtemperature__8[[#This Row],[seconds]]-66)/60</f>
        <v>2</v>
      </c>
      <c r="C14" s="1">
        <v>41.4</v>
      </c>
    </row>
    <row r="15" spans="1:3" x14ac:dyDescent="0.25">
      <c r="A15" s="1">
        <v>196</v>
      </c>
      <c r="B15" s="1">
        <f>(logtemperature__8[[#This Row],[seconds]]-66)/60</f>
        <v>2.1666666666666665</v>
      </c>
      <c r="C15" s="1">
        <v>43.29</v>
      </c>
    </row>
    <row r="16" spans="1:3" x14ac:dyDescent="0.25">
      <c r="A16" s="1">
        <v>206</v>
      </c>
      <c r="B16" s="1">
        <f>(logtemperature__8[[#This Row],[seconds]]-66)/60</f>
        <v>2.3333333333333335</v>
      </c>
      <c r="C16" s="1">
        <v>44.4</v>
      </c>
    </row>
    <row r="17" spans="1:3" x14ac:dyDescent="0.25">
      <c r="A17" s="1">
        <v>216</v>
      </c>
      <c r="B17" s="1">
        <f>(logtemperature__8[[#This Row],[seconds]]-66)/60</f>
        <v>2.5</v>
      </c>
      <c r="C17" s="1">
        <v>46.37</v>
      </c>
    </row>
    <row r="18" spans="1:3" x14ac:dyDescent="0.25">
      <c r="A18" s="1">
        <v>226</v>
      </c>
      <c r="B18" s="1">
        <f>(logtemperature__8[[#This Row],[seconds]]-66)/60</f>
        <v>2.6666666666666665</v>
      </c>
      <c r="C18" s="1">
        <v>45.76</v>
      </c>
    </row>
    <row r="19" spans="1:3" x14ac:dyDescent="0.25">
      <c r="A19" s="1">
        <v>236</v>
      </c>
      <c r="B19" s="1">
        <f>(logtemperature__8[[#This Row],[seconds]]-66)/60</f>
        <v>2.8333333333333335</v>
      </c>
      <c r="C19" s="1">
        <v>47.42</v>
      </c>
    </row>
    <row r="20" spans="1:3" x14ac:dyDescent="0.25">
      <c r="A20" s="1">
        <v>246</v>
      </c>
      <c r="B20" s="1">
        <f>(logtemperature__8[[#This Row],[seconds]]-66)/60</f>
        <v>3</v>
      </c>
      <c r="C20" s="1">
        <v>49.44</v>
      </c>
    </row>
    <row r="21" spans="1:3" x14ac:dyDescent="0.25">
      <c r="A21" s="1">
        <v>256</v>
      </c>
      <c r="B21" s="1">
        <f>(logtemperature__8[[#This Row],[seconds]]-66)/60</f>
        <v>3.1666666666666665</v>
      </c>
      <c r="C21" s="1">
        <v>50.43</v>
      </c>
    </row>
    <row r="22" spans="1:3" x14ac:dyDescent="0.25">
      <c r="A22" s="1">
        <v>266</v>
      </c>
      <c r="B22" s="1">
        <f>(logtemperature__8[[#This Row],[seconds]]-66)/60</f>
        <v>3.3333333333333335</v>
      </c>
      <c r="C22" s="1">
        <v>51.19</v>
      </c>
    </row>
    <row r="23" spans="1:3" x14ac:dyDescent="0.25">
      <c r="A23" s="1">
        <v>276</v>
      </c>
      <c r="B23" s="1">
        <f>(logtemperature__8[[#This Row],[seconds]]-66)/60</f>
        <v>3.5</v>
      </c>
      <c r="C23" s="1">
        <v>52.46</v>
      </c>
    </row>
    <row r="24" spans="1:3" x14ac:dyDescent="0.25">
      <c r="A24" s="1">
        <v>287</v>
      </c>
      <c r="B24" s="1">
        <f>(logtemperature__8[[#This Row],[seconds]]-66)/60</f>
        <v>3.6833333333333331</v>
      </c>
      <c r="C24" s="1">
        <v>52.26</v>
      </c>
    </row>
    <row r="25" spans="1:3" x14ac:dyDescent="0.25">
      <c r="A25" s="1">
        <v>297</v>
      </c>
      <c r="B25" s="1">
        <f>(logtemperature__8[[#This Row],[seconds]]-66)/60</f>
        <v>3.85</v>
      </c>
      <c r="C25" s="1">
        <v>54.14</v>
      </c>
    </row>
    <row r="26" spans="1:3" x14ac:dyDescent="0.25">
      <c r="A26" s="1">
        <v>307</v>
      </c>
      <c r="B26" s="1">
        <f>(logtemperature__8[[#This Row],[seconds]]-66)/60</f>
        <v>4.0166666666666666</v>
      </c>
      <c r="C26" s="1">
        <v>54.37</v>
      </c>
    </row>
    <row r="27" spans="1:3" x14ac:dyDescent="0.25">
      <c r="A27" s="1">
        <v>317</v>
      </c>
      <c r="B27" s="1">
        <f>(logtemperature__8[[#This Row],[seconds]]-66)/60</f>
        <v>4.1833333333333336</v>
      </c>
      <c r="C27" s="1">
        <v>53.97</v>
      </c>
    </row>
    <row r="28" spans="1:3" x14ac:dyDescent="0.25">
      <c r="A28" s="1">
        <v>327</v>
      </c>
      <c r="B28" s="1">
        <f>(logtemperature__8[[#This Row],[seconds]]-66)/60</f>
        <v>4.3499999999999996</v>
      </c>
      <c r="C28" s="1">
        <v>54.98</v>
      </c>
    </row>
    <row r="29" spans="1:3" x14ac:dyDescent="0.25">
      <c r="A29" s="1">
        <v>337</v>
      </c>
      <c r="B29" s="1">
        <f>(logtemperature__8[[#This Row],[seconds]]-66)/60</f>
        <v>4.5166666666666666</v>
      </c>
      <c r="C29" s="1">
        <v>55.06</v>
      </c>
    </row>
    <row r="30" spans="1:3" x14ac:dyDescent="0.25">
      <c r="A30" s="1">
        <v>347</v>
      </c>
      <c r="B30" s="1">
        <f>(logtemperature__8[[#This Row],[seconds]]-66)/60</f>
        <v>4.6833333333333336</v>
      </c>
      <c r="C30" s="1">
        <v>56.19</v>
      </c>
    </row>
    <row r="31" spans="1:3" x14ac:dyDescent="0.25">
      <c r="A31" s="1">
        <v>357</v>
      </c>
      <c r="B31" s="1">
        <f>(logtemperature__8[[#This Row],[seconds]]-66)/60</f>
        <v>4.8499999999999996</v>
      </c>
      <c r="C31" s="1">
        <v>56.23</v>
      </c>
    </row>
    <row r="32" spans="1:3" x14ac:dyDescent="0.25">
      <c r="A32" s="1">
        <v>367</v>
      </c>
      <c r="B32" s="1">
        <f>(logtemperature__8[[#This Row],[seconds]]-66)/60</f>
        <v>5.0166666666666666</v>
      </c>
      <c r="C32" s="1">
        <v>57.59</v>
      </c>
    </row>
    <row r="33" spans="1:3" x14ac:dyDescent="0.25">
      <c r="A33" s="1">
        <v>377</v>
      </c>
      <c r="B33" s="1">
        <f>(logtemperature__8[[#This Row],[seconds]]-66)/60</f>
        <v>5.1833333333333336</v>
      </c>
      <c r="C33" s="1">
        <v>58.06</v>
      </c>
    </row>
    <row r="34" spans="1:3" x14ac:dyDescent="0.25">
      <c r="A34" s="1">
        <v>387</v>
      </c>
      <c r="B34" s="1">
        <f>(logtemperature__8[[#This Row],[seconds]]-66)/60</f>
        <v>5.35</v>
      </c>
      <c r="C34" s="1">
        <v>58.41</v>
      </c>
    </row>
    <row r="35" spans="1:3" x14ac:dyDescent="0.25">
      <c r="A35" s="1">
        <v>397</v>
      </c>
      <c r="B35" s="1">
        <f>(logtemperature__8[[#This Row],[seconds]]-66)/60</f>
        <v>5.5166666666666666</v>
      </c>
      <c r="C35" s="1">
        <v>59.54</v>
      </c>
    </row>
    <row r="36" spans="1:3" x14ac:dyDescent="0.25">
      <c r="A36" s="1">
        <v>407</v>
      </c>
      <c r="B36" s="1">
        <f>(logtemperature__8[[#This Row],[seconds]]-66)/60</f>
        <v>5.6833333333333336</v>
      </c>
      <c r="C36" s="1">
        <v>60.24</v>
      </c>
    </row>
    <row r="37" spans="1:3" x14ac:dyDescent="0.25">
      <c r="A37" s="1">
        <v>417</v>
      </c>
      <c r="B37" s="1">
        <f>(logtemperature__8[[#This Row],[seconds]]-66)/60</f>
        <v>5.85</v>
      </c>
      <c r="C37" s="1">
        <v>62.2</v>
      </c>
    </row>
    <row r="38" spans="1:3" x14ac:dyDescent="0.25">
      <c r="A38" s="1">
        <v>427</v>
      </c>
      <c r="B38" s="1">
        <f>(logtemperature__8[[#This Row],[seconds]]-66)/60</f>
        <v>6.0166666666666666</v>
      </c>
      <c r="C38" s="1">
        <v>62.54</v>
      </c>
    </row>
    <row r="39" spans="1:3" x14ac:dyDescent="0.25">
      <c r="A39" s="1">
        <v>437</v>
      </c>
      <c r="B39" s="1">
        <f>(logtemperature__8[[#This Row],[seconds]]-66)/60</f>
        <v>6.1833333333333336</v>
      </c>
      <c r="C39" s="1">
        <v>63.64</v>
      </c>
    </row>
    <row r="40" spans="1:3" x14ac:dyDescent="0.25">
      <c r="A40" s="1">
        <v>447</v>
      </c>
      <c r="B40" s="1">
        <f>(logtemperature__8[[#This Row],[seconds]]-66)/60</f>
        <v>6.35</v>
      </c>
      <c r="C40" s="1">
        <v>64.040000000000006</v>
      </c>
    </row>
    <row r="41" spans="1:3" x14ac:dyDescent="0.25">
      <c r="A41" s="1">
        <v>457</v>
      </c>
      <c r="B41" s="1">
        <f>(logtemperature__8[[#This Row],[seconds]]-66)/60</f>
        <v>6.5166666666666666</v>
      </c>
      <c r="C41" s="1">
        <v>64.010000000000005</v>
      </c>
    </row>
    <row r="42" spans="1:3" x14ac:dyDescent="0.25">
      <c r="A42" s="1">
        <v>467</v>
      </c>
      <c r="B42" s="1">
        <f>(logtemperature__8[[#This Row],[seconds]]-66)/60</f>
        <v>6.6833333333333336</v>
      </c>
      <c r="C42" s="1">
        <v>64.98</v>
      </c>
    </row>
    <row r="43" spans="1:3" x14ac:dyDescent="0.25">
      <c r="A43" s="1">
        <v>477</v>
      </c>
      <c r="B43" s="1">
        <f>(logtemperature__8[[#This Row],[seconds]]-66)/60</f>
        <v>6.85</v>
      </c>
      <c r="C43" s="1">
        <v>66.069999999999993</v>
      </c>
    </row>
    <row r="44" spans="1:3" x14ac:dyDescent="0.25">
      <c r="A44" s="1">
        <v>487</v>
      </c>
      <c r="B44" s="1">
        <f>(logtemperature__8[[#This Row],[seconds]]-66)/60</f>
        <v>7.0166666666666666</v>
      </c>
      <c r="C44" s="1">
        <v>64.66</v>
      </c>
    </row>
    <row r="45" spans="1:3" x14ac:dyDescent="0.25">
      <c r="A45" s="1">
        <v>497</v>
      </c>
      <c r="B45" s="1">
        <f>(logtemperature__8[[#This Row],[seconds]]-66)/60</f>
        <v>7.1833333333333336</v>
      </c>
      <c r="C45" s="1">
        <v>64.959999999999994</v>
      </c>
    </row>
    <row r="46" spans="1:3" x14ac:dyDescent="0.25">
      <c r="A46" s="1">
        <v>507</v>
      </c>
      <c r="B46" s="1">
        <f>(logtemperature__8[[#This Row],[seconds]]-66)/60</f>
        <v>7.35</v>
      </c>
      <c r="C46" s="1">
        <v>65.53</v>
      </c>
    </row>
    <row r="47" spans="1:3" x14ac:dyDescent="0.25">
      <c r="A47" s="1">
        <v>517</v>
      </c>
      <c r="B47" s="1">
        <f>(logtemperature__8[[#This Row],[seconds]]-66)/60</f>
        <v>7.5166666666666666</v>
      </c>
      <c r="C47" s="1">
        <v>65.540000000000006</v>
      </c>
    </row>
    <row r="48" spans="1:3" x14ac:dyDescent="0.25">
      <c r="A48" s="1">
        <v>527</v>
      </c>
      <c r="B48" s="1">
        <f>(logtemperature__8[[#This Row],[seconds]]-66)/60</f>
        <v>7.6833333333333336</v>
      </c>
      <c r="C48" s="1">
        <v>67.849999999999994</v>
      </c>
    </row>
    <row r="49" spans="1:3" x14ac:dyDescent="0.25">
      <c r="A49" s="1">
        <v>537</v>
      </c>
      <c r="B49" s="1">
        <f>(logtemperature__8[[#This Row],[seconds]]-66)/60</f>
        <v>7.85</v>
      </c>
      <c r="C49" s="1">
        <v>67.38</v>
      </c>
    </row>
    <row r="50" spans="1:3" x14ac:dyDescent="0.25">
      <c r="A50" s="1">
        <v>547</v>
      </c>
      <c r="B50" s="1">
        <f>(logtemperature__8[[#This Row],[seconds]]-66)/60</f>
        <v>8.0166666666666675</v>
      </c>
      <c r="C50" s="1">
        <v>68.41</v>
      </c>
    </row>
    <row r="51" spans="1:3" x14ac:dyDescent="0.25">
      <c r="A51" s="1">
        <v>557</v>
      </c>
      <c r="B51" s="1">
        <f>(logtemperature__8[[#This Row],[seconds]]-66)/60</f>
        <v>8.1833333333333336</v>
      </c>
      <c r="C51" s="1">
        <v>69.06</v>
      </c>
    </row>
    <row r="52" spans="1:3" x14ac:dyDescent="0.25">
      <c r="A52" s="1">
        <v>567</v>
      </c>
      <c r="B52" s="1">
        <f>(logtemperature__8[[#This Row],[seconds]]-66)/60</f>
        <v>8.35</v>
      </c>
      <c r="C52" s="1">
        <v>70.59</v>
      </c>
    </row>
    <row r="53" spans="1:3" x14ac:dyDescent="0.25">
      <c r="A53" s="1">
        <v>577</v>
      </c>
      <c r="B53" s="1">
        <f>(logtemperature__8[[#This Row],[seconds]]-66)/60</f>
        <v>8.5166666666666675</v>
      </c>
      <c r="C53" s="1">
        <v>71.540000000000006</v>
      </c>
    </row>
    <row r="54" spans="1:3" x14ac:dyDescent="0.25">
      <c r="A54" s="1">
        <v>587</v>
      </c>
      <c r="B54" s="1">
        <f>(logtemperature__8[[#This Row],[seconds]]-66)/60</f>
        <v>8.6833333333333336</v>
      </c>
      <c r="C54" s="1">
        <v>72.31</v>
      </c>
    </row>
    <row r="55" spans="1:3" x14ac:dyDescent="0.25">
      <c r="A55" s="1">
        <v>597</v>
      </c>
      <c r="B55" s="1">
        <f>(logtemperature__8[[#This Row],[seconds]]-66)/60</f>
        <v>8.85</v>
      </c>
      <c r="C55" s="1">
        <v>73.33</v>
      </c>
    </row>
    <row r="56" spans="1:3" x14ac:dyDescent="0.25">
      <c r="A56" s="1">
        <v>607</v>
      </c>
      <c r="B56" s="1">
        <f>(logtemperature__8[[#This Row],[seconds]]-66)/60</f>
        <v>9.0166666666666675</v>
      </c>
      <c r="C56" s="1">
        <v>72.22</v>
      </c>
    </row>
    <row r="57" spans="1:3" x14ac:dyDescent="0.25">
      <c r="A57" s="1">
        <v>617</v>
      </c>
      <c r="B57" s="1">
        <f>(logtemperature__8[[#This Row],[seconds]]-66)/60</f>
        <v>9.1833333333333336</v>
      </c>
      <c r="C57" s="1">
        <v>72.66</v>
      </c>
    </row>
    <row r="58" spans="1:3" x14ac:dyDescent="0.25">
      <c r="A58" s="1">
        <v>627</v>
      </c>
      <c r="B58" s="1">
        <f>(logtemperature__8[[#This Row],[seconds]]-66)/60</f>
        <v>9.35</v>
      </c>
      <c r="C58" s="1">
        <v>73.14</v>
      </c>
    </row>
    <row r="59" spans="1:3" x14ac:dyDescent="0.25">
      <c r="A59" s="1">
        <v>637</v>
      </c>
      <c r="B59" s="1">
        <f>(logtemperature__8[[#This Row],[seconds]]-66)/60</f>
        <v>9.5166666666666675</v>
      </c>
      <c r="C59" s="1">
        <v>74.27</v>
      </c>
    </row>
    <row r="60" spans="1:3" x14ac:dyDescent="0.25">
      <c r="A60" s="1">
        <v>647</v>
      </c>
      <c r="B60" s="1">
        <f>(logtemperature__8[[#This Row],[seconds]]-66)/60</f>
        <v>9.6833333333333336</v>
      </c>
      <c r="C60" s="1">
        <v>75.11</v>
      </c>
    </row>
    <row r="61" spans="1:3" x14ac:dyDescent="0.25">
      <c r="A61" s="1">
        <v>657</v>
      </c>
      <c r="B61" s="1">
        <f>(logtemperature__8[[#This Row],[seconds]]-66)/60</f>
        <v>9.85</v>
      </c>
      <c r="C61" s="1">
        <v>74.7</v>
      </c>
    </row>
    <row r="62" spans="1:3" x14ac:dyDescent="0.25">
      <c r="A62" s="1">
        <v>667</v>
      </c>
      <c r="B62" s="1">
        <f>(logtemperature__8[[#This Row],[seconds]]-66)/60</f>
        <v>10.016666666666667</v>
      </c>
      <c r="C62" s="1">
        <v>75.66</v>
      </c>
    </row>
    <row r="63" spans="1:3" x14ac:dyDescent="0.25">
      <c r="A63" s="1">
        <v>677</v>
      </c>
      <c r="B63" s="1">
        <f>(logtemperature__8[[#This Row],[seconds]]-66)/60</f>
        <v>10.183333333333334</v>
      </c>
      <c r="C63" s="1">
        <v>74.73</v>
      </c>
    </row>
    <row r="64" spans="1:3" x14ac:dyDescent="0.25">
      <c r="A64" s="1">
        <v>687</v>
      </c>
      <c r="B64" s="1">
        <f>(logtemperature__8[[#This Row],[seconds]]-66)/60</f>
        <v>10.35</v>
      </c>
      <c r="C64" s="1">
        <v>75.7</v>
      </c>
    </row>
    <row r="65" spans="1:3" x14ac:dyDescent="0.25">
      <c r="A65" s="1">
        <v>697</v>
      </c>
      <c r="B65" s="1">
        <f>(logtemperature__8[[#This Row],[seconds]]-66)/60</f>
        <v>10.516666666666667</v>
      </c>
      <c r="C65" s="1">
        <v>76.819999999999993</v>
      </c>
    </row>
    <row r="66" spans="1:3" x14ac:dyDescent="0.25">
      <c r="A66" s="1">
        <v>707</v>
      </c>
      <c r="B66" s="1">
        <f>(logtemperature__8[[#This Row],[seconds]]-66)/60</f>
        <v>10.683333333333334</v>
      </c>
      <c r="C66" s="1">
        <v>76</v>
      </c>
    </row>
    <row r="67" spans="1:3" x14ac:dyDescent="0.25">
      <c r="A67" s="1">
        <v>717</v>
      </c>
      <c r="B67" s="1">
        <f>(logtemperature__8[[#This Row],[seconds]]-66)/60</f>
        <v>10.85</v>
      </c>
      <c r="C67" s="1">
        <v>75.09</v>
      </c>
    </row>
    <row r="68" spans="1:3" x14ac:dyDescent="0.25">
      <c r="A68" s="1">
        <v>727</v>
      </c>
      <c r="B68" s="1">
        <f>(logtemperature__8[[#This Row],[seconds]]-66)/60</f>
        <v>11.016666666666667</v>
      </c>
      <c r="C68" s="1">
        <v>74.510000000000005</v>
      </c>
    </row>
    <row r="69" spans="1:3" x14ac:dyDescent="0.25">
      <c r="A69" s="1">
        <v>737</v>
      </c>
      <c r="B69" s="1">
        <f>(logtemperature__8[[#This Row],[seconds]]-66)/60</f>
        <v>11.183333333333334</v>
      </c>
      <c r="C69" s="1">
        <v>75.959999999999994</v>
      </c>
    </row>
    <row r="70" spans="1:3" x14ac:dyDescent="0.25">
      <c r="A70" s="1">
        <v>747</v>
      </c>
      <c r="B70" s="1">
        <f>(logtemperature__8[[#This Row],[seconds]]-66)/60</f>
        <v>11.35</v>
      </c>
      <c r="C70" s="1">
        <v>77.47</v>
      </c>
    </row>
    <row r="71" spans="1:3" x14ac:dyDescent="0.25">
      <c r="A71" s="1">
        <v>757</v>
      </c>
      <c r="B71" s="1">
        <f>(logtemperature__8[[#This Row],[seconds]]-66)/60</f>
        <v>11.516666666666667</v>
      </c>
      <c r="C71" s="1">
        <v>77.88</v>
      </c>
    </row>
    <row r="72" spans="1:3" x14ac:dyDescent="0.25">
      <c r="A72" s="1">
        <v>768</v>
      </c>
      <c r="B72" s="1">
        <f>(logtemperature__8[[#This Row],[seconds]]-66)/60</f>
        <v>11.7</v>
      </c>
      <c r="C72" s="1">
        <v>78.069999999999993</v>
      </c>
    </row>
    <row r="73" spans="1:3" x14ac:dyDescent="0.25">
      <c r="A73" s="1">
        <v>778</v>
      </c>
      <c r="B73" s="1">
        <f>(logtemperature__8[[#This Row],[seconds]]-66)/60</f>
        <v>11.866666666666667</v>
      </c>
      <c r="C73" s="1">
        <v>78.63</v>
      </c>
    </row>
    <row r="74" spans="1:3" x14ac:dyDescent="0.25">
      <c r="A74" s="1">
        <v>788</v>
      </c>
      <c r="B74" s="1">
        <f>(logtemperature__8[[#This Row],[seconds]]-66)/60</f>
        <v>12.033333333333333</v>
      </c>
      <c r="C74" s="1">
        <v>78.569999999999993</v>
      </c>
    </row>
    <row r="75" spans="1:3" x14ac:dyDescent="0.25">
      <c r="A75" s="1">
        <v>798</v>
      </c>
      <c r="B75" s="1">
        <f>(logtemperature__8[[#This Row],[seconds]]-66)/60</f>
        <v>12.2</v>
      </c>
      <c r="C75" s="1">
        <v>79.98</v>
      </c>
    </row>
    <row r="76" spans="1:3" x14ac:dyDescent="0.25">
      <c r="A76" s="1">
        <v>808</v>
      </c>
      <c r="B76" s="1">
        <f>(logtemperature__8[[#This Row],[seconds]]-66)/60</f>
        <v>12.366666666666667</v>
      </c>
      <c r="C76" s="1">
        <v>81.25</v>
      </c>
    </row>
    <row r="77" spans="1:3" x14ac:dyDescent="0.25">
      <c r="A77" s="1">
        <v>818</v>
      </c>
      <c r="B77" s="1">
        <f>(logtemperature__8[[#This Row],[seconds]]-66)/60</f>
        <v>12.533333333333333</v>
      </c>
      <c r="C77" s="1">
        <v>80.28</v>
      </c>
    </row>
    <row r="78" spans="1:3" x14ac:dyDescent="0.25">
      <c r="A78" s="1">
        <v>828</v>
      </c>
      <c r="B78" s="1">
        <f>(logtemperature__8[[#This Row],[seconds]]-66)/60</f>
        <v>12.7</v>
      </c>
      <c r="C78" s="1">
        <v>81.53</v>
      </c>
    </row>
    <row r="79" spans="1:3" x14ac:dyDescent="0.25">
      <c r="A79" s="1">
        <v>838</v>
      </c>
      <c r="B79" s="1">
        <f>(logtemperature__8[[#This Row],[seconds]]-66)/60</f>
        <v>12.866666666666667</v>
      </c>
      <c r="C79" s="1">
        <v>80.03</v>
      </c>
    </row>
    <row r="80" spans="1:3" x14ac:dyDescent="0.25">
      <c r="A80" s="1">
        <v>848</v>
      </c>
      <c r="B80" s="1">
        <f>(logtemperature__8[[#This Row],[seconds]]-66)/60</f>
        <v>13.033333333333333</v>
      </c>
      <c r="C80" s="1">
        <v>80.72</v>
      </c>
    </row>
    <row r="81" spans="1:3" x14ac:dyDescent="0.25">
      <c r="A81" s="1">
        <v>858</v>
      </c>
      <c r="B81" s="1">
        <f>(logtemperature__8[[#This Row],[seconds]]-66)/60</f>
        <v>13.2</v>
      </c>
      <c r="C81" s="1">
        <v>81.38</v>
      </c>
    </row>
    <row r="82" spans="1:3" x14ac:dyDescent="0.25">
      <c r="A82" s="1">
        <v>868</v>
      </c>
      <c r="B82" s="1">
        <f>(logtemperature__8[[#This Row],[seconds]]-66)/60</f>
        <v>13.366666666666667</v>
      </c>
      <c r="C82" s="1">
        <v>82.45</v>
      </c>
    </row>
    <row r="83" spans="1:3" x14ac:dyDescent="0.25">
      <c r="A83" s="1">
        <v>878</v>
      </c>
      <c r="B83" s="1">
        <f>(logtemperature__8[[#This Row],[seconds]]-66)/60</f>
        <v>13.533333333333333</v>
      </c>
      <c r="C83" s="1">
        <v>82.05</v>
      </c>
    </row>
    <row r="84" spans="1:3" x14ac:dyDescent="0.25">
      <c r="A84" s="1">
        <v>888</v>
      </c>
      <c r="B84" s="1">
        <f>(logtemperature__8[[#This Row],[seconds]]-66)/60</f>
        <v>13.7</v>
      </c>
      <c r="C84" s="1">
        <v>82.17</v>
      </c>
    </row>
    <row r="85" spans="1:3" x14ac:dyDescent="0.25">
      <c r="A85" s="1">
        <v>898</v>
      </c>
      <c r="B85" s="1">
        <f>(logtemperature__8[[#This Row],[seconds]]-66)/60</f>
        <v>13.866666666666667</v>
      </c>
      <c r="C85" s="1">
        <v>82.33</v>
      </c>
    </row>
    <row r="86" spans="1:3" x14ac:dyDescent="0.25">
      <c r="A86" s="1">
        <v>908</v>
      </c>
      <c r="B86" s="1">
        <f>(logtemperature__8[[#This Row],[seconds]]-66)/60</f>
        <v>14.033333333333333</v>
      </c>
      <c r="C86" s="1">
        <v>82.63</v>
      </c>
    </row>
    <row r="87" spans="1:3" x14ac:dyDescent="0.25">
      <c r="A87" s="1">
        <v>918</v>
      </c>
      <c r="B87" s="1">
        <f>(logtemperature__8[[#This Row],[seconds]]-66)/60</f>
        <v>14.2</v>
      </c>
      <c r="C87" s="1">
        <v>83.61</v>
      </c>
    </row>
    <row r="88" spans="1:3" x14ac:dyDescent="0.25">
      <c r="A88" s="1">
        <v>928</v>
      </c>
      <c r="B88" s="1">
        <f>(logtemperature__8[[#This Row],[seconds]]-66)/60</f>
        <v>14.366666666666667</v>
      </c>
      <c r="C88" s="1">
        <v>84.3</v>
      </c>
    </row>
    <row r="89" spans="1:3" x14ac:dyDescent="0.25">
      <c r="A89" s="1">
        <v>938</v>
      </c>
      <c r="B89" s="1">
        <f>(logtemperature__8[[#This Row],[seconds]]-66)/60</f>
        <v>14.533333333333333</v>
      </c>
      <c r="C89" s="1">
        <v>84.2</v>
      </c>
    </row>
    <row r="90" spans="1:3" x14ac:dyDescent="0.25">
      <c r="A90" s="1">
        <v>948</v>
      </c>
      <c r="B90" s="1">
        <f>(logtemperature__8[[#This Row],[seconds]]-66)/60</f>
        <v>14.7</v>
      </c>
      <c r="C90" s="1">
        <v>83.97</v>
      </c>
    </row>
    <row r="91" spans="1:3" x14ac:dyDescent="0.25">
      <c r="A91" s="1">
        <v>958</v>
      </c>
      <c r="B91" s="1">
        <f>(logtemperature__8[[#This Row],[seconds]]-66)/60</f>
        <v>14.866666666666667</v>
      </c>
      <c r="C91" s="1">
        <v>84.94</v>
      </c>
    </row>
    <row r="92" spans="1:3" x14ac:dyDescent="0.25">
      <c r="A92" s="1">
        <v>968</v>
      </c>
      <c r="B92" s="1">
        <f>(logtemperature__8[[#This Row],[seconds]]-66)/60</f>
        <v>15.033333333333333</v>
      </c>
      <c r="C92" s="1">
        <v>84.44</v>
      </c>
    </row>
    <row r="93" spans="1:3" x14ac:dyDescent="0.25">
      <c r="A93" s="1">
        <v>978</v>
      </c>
      <c r="B93" s="1">
        <f>(logtemperature__8[[#This Row],[seconds]]-66)/60</f>
        <v>15.2</v>
      </c>
      <c r="C93" s="1">
        <v>86.36</v>
      </c>
    </row>
    <row r="94" spans="1:3" x14ac:dyDescent="0.25">
      <c r="A94" s="1">
        <v>988</v>
      </c>
      <c r="B94" s="1">
        <f>(logtemperature__8[[#This Row],[seconds]]-66)/60</f>
        <v>15.366666666666667</v>
      </c>
      <c r="C94" s="1">
        <v>84.27</v>
      </c>
    </row>
    <row r="95" spans="1:3" x14ac:dyDescent="0.25">
      <c r="A95" s="1">
        <v>998</v>
      </c>
      <c r="B95" s="1">
        <f>(logtemperature__8[[#This Row],[seconds]]-66)/60</f>
        <v>15.533333333333333</v>
      </c>
      <c r="C95" s="1">
        <v>85.09</v>
      </c>
    </row>
    <row r="96" spans="1:3" x14ac:dyDescent="0.25">
      <c r="A96" s="1">
        <v>1008</v>
      </c>
      <c r="B96" s="1">
        <f>(logtemperature__8[[#This Row],[seconds]]-66)/60</f>
        <v>15.7</v>
      </c>
      <c r="C96" s="1">
        <v>86.6</v>
      </c>
    </row>
    <row r="97" spans="1:3" x14ac:dyDescent="0.25">
      <c r="A97" s="1">
        <v>1018</v>
      </c>
      <c r="B97" s="1">
        <f>(logtemperature__8[[#This Row],[seconds]]-66)/60</f>
        <v>15.866666666666667</v>
      </c>
      <c r="C97" s="1">
        <v>86.67</v>
      </c>
    </row>
    <row r="98" spans="1:3" x14ac:dyDescent="0.25">
      <c r="A98" s="1">
        <v>1028</v>
      </c>
      <c r="B98" s="1">
        <f>(logtemperature__8[[#This Row],[seconds]]-66)/60</f>
        <v>16.033333333333335</v>
      </c>
      <c r="C98" s="1">
        <v>87.06</v>
      </c>
    </row>
    <row r="99" spans="1:3" x14ac:dyDescent="0.25">
      <c r="A99" s="1">
        <v>1038</v>
      </c>
      <c r="B99" s="1">
        <f>(logtemperature__8[[#This Row],[seconds]]-66)/60</f>
        <v>16.2</v>
      </c>
      <c r="C99" s="1">
        <v>86.49</v>
      </c>
    </row>
    <row r="100" spans="1:3" x14ac:dyDescent="0.25">
      <c r="A100" s="1">
        <v>1048</v>
      </c>
      <c r="B100" s="1">
        <f>(logtemperature__8[[#This Row],[seconds]]-66)/60</f>
        <v>16.366666666666667</v>
      </c>
      <c r="C100" s="1">
        <v>86.28</v>
      </c>
    </row>
    <row r="101" spans="1:3" x14ac:dyDescent="0.25">
      <c r="A101" s="1">
        <v>1058</v>
      </c>
      <c r="B101" s="1">
        <f>(logtemperature__8[[#This Row],[seconds]]-66)/60</f>
        <v>16.533333333333335</v>
      </c>
      <c r="C101" s="1">
        <v>87.31</v>
      </c>
    </row>
    <row r="102" spans="1:3" x14ac:dyDescent="0.25">
      <c r="A102" s="1">
        <v>1068</v>
      </c>
      <c r="B102" s="1">
        <f>(logtemperature__8[[#This Row],[seconds]]-66)/60</f>
        <v>16.7</v>
      </c>
      <c r="C102" s="1">
        <v>87.12</v>
      </c>
    </row>
    <row r="103" spans="1:3" x14ac:dyDescent="0.25">
      <c r="A103" s="1">
        <v>1078</v>
      </c>
      <c r="B103" s="1">
        <f>(logtemperature__8[[#This Row],[seconds]]-66)/60</f>
        <v>16.866666666666667</v>
      </c>
      <c r="C103" s="1">
        <v>88.5</v>
      </c>
    </row>
    <row r="104" spans="1:3" x14ac:dyDescent="0.25">
      <c r="A104" s="1">
        <v>1088</v>
      </c>
      <c r="B104" s="1">
        <f>(logtemperature__8[[#This Row],[seconds]]-66)/60</f>
        <v>17.033333333333335</v>
      </c>
      <c r="C104" s="1">
        <v>88.63</v>
      </c>
    </row>
    <row r="105" spans="1:3" x14ac:dyDescent="0.25">
      <c r="A105" s="1">
        <v>1098</v>
      </c>
      <c r="B105" s="1">
        <f>(logtemperature__8[[#This Row],[seconds]]-66)/60</f>
        <v>17.2</v>
      </c>
      <c r="C105" s="1">
        <v>89.53</v>
      </c>
    </row>
    <row r="106" spans="1:3" x14ac:dyDescent="0.25">
      <c r="A106" s="1">
        <v>1108</v>
      </c>
      <c r="B106" s="1">
        <f>(logtemperature__8[[#This Row],[seconds]]-66)/60</f>
        <v>17.366666666666667</v>
      </c>
      <c r="C106" s="1">
        <v>89.95</v>
      </c>
    </row>
    <row r="107" spans="1:3" x14ac:dyDescent="0.25">
      <c r="A107" s="1">
        <v>1118</v>
      </c>
      <c r="B107" s="1">
        <f>(logtemperature__8[[#This Row],[seconds]]-66)/60</f>
        <v>17.533333333333335</v>
      </c>
      <c r="C107" s="1">
        <v>89.65</v>
      </c>
    </row>
    <row r="108" spans="1:3" x14ac:dyDescent="0.25">
      <c r="A108" s="1">
        <v>1128</v>
      </c>
      <c r="B108" s="1">
        <f>(logtemperature__8[[#This Row],[seconds]]-66)/60</f>
        <v>17.7</v>
      </c>
      <c r="C108" s="1">
        <v>90.49</v>
      </c>
    </row>
    <row r="109" spans="1:3" x14ac:dyDescent="0.25">
      <c r="A109" s="1">
        <v>1138</v>
      </c>
      <c r="B109" s="1">
        <f>(logtemperature__8[[#This Row],[seconds]]-66)/60</f>
        <v>17.866666666666667</v>
      </c>
      <c r="C109" s="1">
        <v>90.33</v>
      </c>
    </row>
    <row r="110" spans="1:3" x14ac:dyDescent="0.25">
      <c r="A110" s="1">
        <v>1148</v>
      </c>
      <c r="B110" s="1">
        <f>(logtemperature__8[[#This Row],[seconds]]-66)/60</f>
        <v>18.033333333333335</v>
      </c>
      <c r="C110" s="1">
        <v>90.46</v>
      </c>
    </row>
    <row r="111" spans="1:3" x14ac:dyDescent="0.25">
      <c r="A111" s="1">
        <v>1158</v>
      </c>
      <c r="B111" s="1">
        <f>(logtemperature__8[[#This Row],[seconds]]-66)/60</f>
        <v>18.2</v>
      </c>
      <c r="C111" s="1">
        <v>90.47</v>
      </c>
    </row>
    <row r="112" spans="1:3" x14ac:dyDescent="0.25">
      <c r="A112" s="1">
        <v>1168</v>
      </c>
      <c r="B112" s="1">
        <f>(logtemperature__8[[#This Row],[seconds]]-66)/60</f>
        <v>18.366666666666667</v>
      </c>
      <c r="C112" s="1">
        <v>90.92</v>
      </c>
    </row>
    <row r="113" spans="1:3" x14ac:dyDescent="0.25">
      <c r="A113" s="1">
        <v>1178</v>
      </c>
      <c r="B113" s="1">
        <f>(logtemperature__8[[#This Row],[seconds]]-66)/60</f>
        <v>18.533333333333335</v>
      </c>
      <c r="C113" s="1">
        <v>91.62</v>
      </c>
    </row>
    <row r="114" spans="1:3" x14ac:dyDescent="0.25">
      <c r="A114" s="1">
        <v>1188</v>
      </c>
      <c r="B114" s="1">
        <f>(logtemperature__8[[#This Row],[seconds]]-66)/60</f>
        <v>18.7</v>
      </c>
      <c r="C114" s="1">
        <v>90.03</v>
      </c>
    </row>
    <row r="115" spans="1:3" x14ac:dyDescent="0.25">
      <c r="A115" s="1">
        <v>1198</v>
      </c>
      <c r="B115" s="1">
        <f>(logtemperature__8[[#This Row],[seconds]]-66)/60</f>
        <v>18.866666666666667</v>
      </c>
      <c r="C115" s="1">
        <v>90.97</v>
      </c>
    </row>
    <row r="116" spans="1:3" x14ac:dyDescent="0.25">
      <c r="A116" s="1">
        <v>1208</v>
      </c>
      <c r="B116" s="1">
        <f>(logtemperature__8[[#This Row],[seconds]]-66)/60</f>
        <v>19.033333333333335</v>
      </c>
      <c r="C116" s="1">
        <v>92.67</v>
      </c>
    </row>
    <row r="117" spans="1:3" x14ac:dyDescent="0.25">
      <c r="A117" s="1">
        <v>1218</v>
      </c>
      <c r="B117" s="1">
        <f>(logtemperature__8[[#This Row],[seconds]]-66)/60</f>
        <v>19.2</v>
      </c>
      <c r="C117" s="1">
        <v>92.32</v>
      </c>
    </row>
    <row r="118" spans="1:3" x14ac:dyDescent="0.25">
      <c r="A118" s="1">
        <v>1228</v>
      </c>
      <c r="B118" s="1">
        <f>(logtemperature__8[[#This Row],[seconds]]-66)/60</f>
        <v>19.366666666666667</v>
      </c>
      <c r="C118" s="1">
        <v>92.36</v>
      </c>
    </row>
    <row r="119" spans="1:3" x14ac:dyDescent="0.25">
      <c r="A119" s="1">
        <v>1238</v>
      </c>
      <c r="B119" s="1">
        <f>(logtemperature__8[[#This Row],[seconds]]-66)/60</f>
        <v>19.533333333333335</v>
      </c>
      <c r="C119" s="1">
        <v>93.33</v>
      </c>
    </row>
    <row r="120" spans="1:3" x14ac:dyDescent="0.25">
      <c r="A120" s="1">
        <v>1248</v>
      </c>
      <c r="B120" s="1">
        <f>(logtemperature__8[[#This Row],[seconds]]-66)/60</f>
        <v>19.7</v>
      </c>
      <c r="C120" s="1">
        <v>94.24</v>
      </c>
    </row>
    <row r="121" spans="1:3" x14ac:dyDescent="0.25">
      <c r="A121" s="1">
        <v>1259</v>
      </c>
      <c r="B121" s="1">
        <f>(logtemperature__8[[#This Row],[seconds]]-66)/60</f>
        <v>19.883333333333333</v>
      </c>
      <c r="C121" s="1">
        <v>93.94</v>
      </c>
    </row>
    <row r="122" spans="1:3" x14ac:dyDescent="0.25">
      <c r="A122" s="1">
        <v>1269</v>
      </c>
      <c r="B122" s="1">
        <f>(logtemperature__8[[#This Row],[seconds]]-66)/60</f>
        <v>20.05</v>
      </c>
      <c r="C122" s="1">
        <v>93.85</v>
      </c>
    </row>
    <row r="123" spans="1:3" x14ac:dyDescent="0.25">
      <c r="A123" s="1">
        <v>1279</v>
      </c>
      <c r="B123" s="1">
        <f>(logtemperature__8[[#This Row],[seconds]]-66)/60</f>
        <v>20.216666666666665</v>
      </c>
      <c r="C123" s="1">
        <v>94.42</v>
      </c>
    </row>
    <row r="124" spans="1:3" x14ac:dyDescent="0.25">
      <c r="A124" s="1">
        <v>1289</v>
      </c>
      <c r="B124" s="1">
        <f>(logtemperature__8[[#This Row],[seconds]]-66)/60</f>
        <v>20.383333333333333</v>
      </c>
      <c r="C124" s="1">
        <v>94.07</v>
      </c>
    </row>
    <row r="125" spans="1:3" x14ac:dyDescent="0.25">
      <c r="A125" s="1">
        <v>1299</v>
      </c>
      <c r="B125" s="1">
        <f>(logtemperature__8[[#This Row],[seconds]]-66)/60</f>
        <v>20.55</v>
      </c>
      <c r="C125" s="1">
        <v>94.75</v>
      </c>
    </row>
    <row r="126" spans="1:3" x14ac:dyDescent="0.25">
      <c r="A126" s="1">
        <v>1309</v>
      </c>
      <c r="B126" s="1">
        <f>(logtemperature__8[[#This Row],[seconds]]-66)/60</f>
        <v>20.716666666666665</v>
      </c>
      <c r="C126" s="1">
        <v>95.46</v>
      </c>
    </row>
    <row r="127" spans="1:3" x14ac:dyDescent="0.25">
      <c r="A127" s="1">
        <v>1319</v>
      </c>
      <c r="B127" s="1">
        <f>(logtemperature__8[[#This Row],[seconds]]-66)/60</f>
        <v>20.883333333333333</v>
      </c>
      <c r="C127" s="1">
        <v>94.46</v>
      </c>
    </row>
    <row r="128" spans="1:3" x14ac:dyDescent="0.25">
      <c r="A128" s="1">
        <v>1329</v>
      </c>
      <c r="B128" s="1">
        <f>(logtemperature__8[[#This Row],[seconds]]-66)/60</f>
        <v>21.05</v>
      </c>
      <c r="C128" s="1">
        <v>94.83</v>
      </c>
    </row>
    <row r="129" spans="1:3" x14ac:dyDescent="0.25">
      <c r="A129" s="1">
        <v>1339</v>
      </c>
      <c r="B129" s="1">
        <f>(logtemperature__8[[#This Row],[seconds]]-66)/60</f>
        <v>21.216666666666665</v>
      </c>
      <c r="C129" s="1">
        <v>95.36</v>
      </c>
    </row>
    <row r="130" spans="1:3" x14ac:dyDescent="0.25">
      <c r="A130" s="1">
        <v>1349</v>
      </c>
      <c r="B130" s="1">
        <f>(logtemperature__8[[#This Row],[seconds]]-66)/60</f>
        <v>21.383333333333333</v>
      </c>
      <c r="C130" s="1">
        <v>95.81</v>
      </c>
    </row>
    <row r="131" spans="1:3" x14ac:dyDescent="0.25">
      <c r="A131" s="1">
        <v>1359</v>
      </c>
      <c r="B131" s="1">
        <f>(logtemperature__8[[#This Row],[seconds]]-66)/60</f>
        <v>21.55</v>
      </c>
      <c r="C131" s="1">
        <v>95.97</v>
      </c>
    </row>
    <row r="132" spans="1:3" x14ac:dyDescent="0.25">
      <c r="A132" s="1">
        <v>1369</v>
      </c>
      <c r="B132" s="1">
        <f>(logtemperature__8[[#This Row],[seconds]]-66)/60</f>
        <v>21.716666666666665</v>
      </c>
      <c r="C132" s="1">
        <v>96.52</v>
      </c>
    </row>
    <row r="133" spans="1:3" x14ac:dyDescent="0.25">
      <c r="A133" s="1">
        <v>1379</v>
      </c>
      <c r="B133" s="1">
        <f>(logtemperature__8[[#This Row],[seconds]]-66)/60</f>
        <v>21.883333333333333</v>
      </c>
      <c r="C133" s="1">
        <v>96.09</v>
      </c>
    </row>
    <row r="134" spans="1:3" x14ac:dyDescent="0.25">
      <c r="A134" s="1">
        <v>1389</v>
      </c>
      <c r="B134" s="1">
        <f>(logtemperature__8[[#This Row],[seconds]]-66)/60</f>
        <v>22.05</v>
      </c>
      <c r="C134" s="1">
        <v>96.72</v>
      </c>
    </row>
    <row r="135" spans="1:3" x14ac:dyDescent="0.25">
      <c r="A135" s="1">
        <v>1399</v>
      </c>
      <c r="B135" s="1">
        <f>(logtemperature__8[[#This Row],[seconds]]-66)/60</f>
        <v>22.216666666666665</v>
      </c>
      <c r="C135" s="1">
        <v>96.69</v>
      </c>
    </row>
    <row r="136" spans="1:3" x14ac:dyDescent="0.25">
      <c r="A136" s="1">
        <v>1409</v>
      </c>
      <c r="B136" s="1">
        <f>(logtemperature__8[[#This Row],[seconds]]-66)/60</f>
        <v>22.383333333333333</v>
      </c>
      <c r="C136" s="1">
        <v>97.57</v>
      </c>
    </row>
    <row r="137" spans="1:3" x14ac:dyDescent="0.25">
      <c r="A137" s="1">
        <v>1419</v>
      </c>
      <c r="B137" s="1">
        <f>(logtemperature__8[[#This Row],[seconds]]-66)/60</f>
        <v>22.55</v>
      </c>
      <c r="C137" s="1">
        <v>98.47</v>
      </c>
    </row>
    <row r="138" spans="1:3" x14ac:dyDescent="0.25">
      <c r="A138" s="1">
        <v>1429</v>
      </c>
      <c r="B138" s="1">
        <f>(logtemperature__8[[#This Row],[seconds]]-66)/60</f>
        <v>22.716666666666665</v>
      </c>
      <c r="C138" s="1">
        <v>97.33</v>
      </c>
    </row>
    <row r="139" spans="1:3" x14ac:dyDescent="0.25">
      <c r="A139" s="1">
        <v>1439</v>
      </c>
      <c r="B139" s="1">
        <f>(logtemperature__8[[#This Row],[seconds]]-66)/60</f>
        <v>22.883333333333333</v>
      </c>
      <c r="C139" s="1">
        <v>98.01</v>
      </c>
    </row>
    <row r="140" spans="1:3" x14ac:dyDescent="0.25">
      <c r="A140" s="1">
        <v>1449</v>
      </c>
      <c r="B140" s="1">
        <f>(logtemperature__8[[#This Row],[seconds]]-66)/60</f>
        <v>23.05</v>
      </c>
      <c r="C140" s="1">
        <v>97.39</v>
      </c>
    </row>
    <row r="141" spans="1:3" x14ac:dyDescent="0.25">
      <c r="A141" s="1">
        <v>1459</v>
      </c>
      <c r="B141" s="1">
        <f>(logtemperature__8[[#This Row],[seconds]]-66)/60</f>
        <v>23.216666666666665</v>
      </c>
      <c r="C141" s="1">
        <v>98.72</v>
      </c>
    </row>
    <row r="142" spans="1:3" x14ac:dyDescent="0.25">
      <c r="A142" s="1">
        <v>1469</v>
      </c>
      <c r="B142" s="1">
        <f>(logtemperature__8[[#This Row],[seconds]]-66)/60</f>
        <v>23.383333333333333</v>
      </c>
      <c r="C142" s="1">
        <v>99.31</v>
      </c>
    </row>
    <row r="143" spans="1:3" x14ac:dyDescent="0.25">
      <c r="A143" s="1">
        <v>1479</v>
      </c>
      <c r="B143" s="1">
        <f>(logtemperature__8[[#This Row],[seconds]]-66)/60</f>
        <v>23.55</v>
      </c>
      <c r="C143" s="1">
        <v>99.15</v>
      </c>
    </row>
    <row r="144" spans="1:3" x14ac:dyDescent="0.25">
      <c r="A144" s="1">
        <v>1489</v>
      </c>
      <c r="B144" s="1">
        <f>(logtemperature__8[[#This Row],[seconds]]-66)/60</f>
        <v>23.716666666666665</v>
      </c>
      <c r="C144" s="1">
        <v>100</v>
      </c>
    </row>
    <row r="145" spans="1:3" x14ac:dyDescent="0.25">
      <c r="A145" s="1">
        <v>1499</v>
      </c>
      <c r="B145" s="1">
        <f>(logtemperature__8[[#This Row],[seconds]]-66)/60</f>
        <v>23.883333333333333</v>
      </c>
      <c r="C145" s="1">
        <v>100.39</v>
      </c>
    </row>
    <row r="146" spans="1:3" x14ac:dyDescent="0.25">
      <c r="A146" s="1">
        <v>1509</v>
      </c>
      <c r="B146" s="1">
        <f>(logtemperature__8[[#This Row],[seconds]]-66)/60</f>
        <v>24.05</v>
      </c>
      <c r="C146" s="1">
        <v>100.98</v>
      </c>
    </row>
    <row r="147" spans="1:3" x14ac:dyDescent="0.25">
      <c r="A147" s="1">
        <v>1519</v>
      </c>
      <c r="B147" s="1">
        <f>(logtemperature__8[[#This Row],[seconds]]-66)/60</f>
        <v>24.216666666666665</v>
      </c>
      <c r="C147" s="1">
        <v>99.86</v>
      </c>
    </row>
    <row r="148" spans="1:3" x14ac:dyDescent="0.25">
      <c r="A148" s="1">
        <v>1529</v>
      </c>
      <c r="B148" s="1">
        <f>(logtemperature__8[[#This Row],[seconds]]-66)/60</f>
        <v>24.383333333333333</v>
      </c>
      <c r="C148" s="1">
        <v>100.1</v>
      </c>
    </row>
    <row r="149" spans="1:3" x14ac:dyDescent="0.25">
      <c r="A149" s="1">
        <v>1539</v>
      </c>
      <c r="B149" s="1">
        <f>(logtemperature__8[[#This Row],[seconds]]-66)/60</f>
        <v>24.55</v>
      </c>
      <c r="C149" s="1">
        <v>100.76</v>
      </c>
    </row>
    <row r="150" spans="1:3" x14ac:dyDescent="0.25">
      <c r="A150" s="1">
        <v>1549</v>
      </c>
      <c r="B150" s="1">
        <f>(logtemperature__8[[#This Row],[seconds]]-66)/60</f>
        <v>24.716666666666665</v>
      </c>
      <c r="C150" s="1">
        <v>101.11</v>
      </c>
    </row>
    <row r="151" spans="1:3" x14ac:dyDescent="0.25">
      <c r="A151" s="1">
        <v>1559</v>
      </c>
      <c r="B151" s="1">
        <f>(logtemperature__8[[#This Row],[seconds]]-66)/60</f>
        <v>24.883333333333333</v>
      </c>
      <c r="C151" s="1">
        <v>101.25</v>
      </c>
    </row>
    <row r="152" spans="1:3" x14ac:dyDescent="0.25">
      <c r="A152" s="1">
        <v>1569</v>
      </c>
      <c r="B152" s="1">
        <f>(logtemperature__8[[#This Row],[seconds]]-66)/60</f>
        <v>25.05</v>
      </c>
      <c r="C152" s="1">
        <v>101.55</v>
      </c>
    </row>
    <row r="153" spans="1:3" x14ac:dyDescent="0.25">
      <c r="A153" s="1">
        <v>1579</v>
      </c>
      <c r="B153" s="1">
        <f>(logtemperature__8[[#This Row],[seconds]]-66)/60</f>
        <v>25.216666666666665</v>
      </c>
      <c r="C153" s="1">
        <v>102.39</v>
      </c>
    </row>
    <row r="154" spans="1:3" x14ac:dyDescent="0.25">
      <c r="A154" s="1">
        <v>1589</v>
      </c>
      <c r="B154" s="1">
        <f>(logtemperature__8[[#This Row],[seconds]]-66)/60</f>
        <v>25.383333333333333</v>
      </c>
      <c r="C154" s="1">
        <v>100.52</v>
      </c>
    </row>
    <row r="155" spans="1:3" x14ac:dyDescent="0.25">
      <c r="A155" s="1">
        <v>1599</v>
      </c>
      <c r="B155" s="1">
        <f>(logtemperature__8[[#This Row],[seconds]]-66)/60</f>
        <v>25.55</v>
      </c>
      <c r="C155" s="1">
        <v>99.92</v>
      </c>
    </row>
    <row r="156" spans="1:3" x14ac:dyDescent="0.25">
      <c r="A156" s="1">
        <v>1609</v>
      </c>
      <c r="B156" s="1">
        <f>(logtemperature__8[[#This Row],[seconds]]-66)/60</f>
        <v>25.716666666666665</v>
      </c>
      <c r="C156" s="1">
        <v>101.5</v>
      </c>
    </row>
    <row r="157" spans="1:3" x14ac:dyDescent="0.25">
      <c r="A157" s="1">
        <v>1619</v>
      </c>
      <c r="B157" s="1">
        <f>(logtemperature__8[[#This Row],[seconds]]-66)/60</f>
        <v>25.883333333333333</v>
      </c>
      <c r="C157" s="1">
        <v>102.28</v>
      </c>
    </row>
    <row r="158" spans="1:3" x14ac:dyDescent="0.25">
      <c r="A158" s="1">
        <v>1629</v>
      </c>
      <c r="B158" s="1">
        <f>(logtemperature__8[[#This Row],[seconds]]-66)/60</f>
        <v>26.05</v>
      </c>
      <c r="C158" s="1">
        <v>102.94</v>
      </c>
    </row>
    <row r="159" spans="1:3" x14ac:dyDescent="0.25">
      <c r="A159" s="1">
        <v>1639</v>
      </c>
      <c r="B159" s="1">
        <f>(logtemperature__8[[#This Row],[seconds]]-66)/60</f>
        <v>26.216666666666665</v>
      </c>
      <c r="C159" s="1">
        <v>103.79</v>
      </c>
    </row>
    <row r="160" spans="1:3" x14ac:dyDescent="0.25">
      <c r="A160" s="1">
        <v>1649</v>
      </c>
      <c r="B160" s="1">
        <f>(logtemperature__8[[#This Row],[seconds]]-66)/60</f>
        <v>26.383333333333333</v>
      </c>
      <c r="C160" s="1">
        <v>103.26</v>
      </c>
    </row>
    <row r="161" spans="1:3" x14ac:dyDescent="0.25">
      <c r="A161" s="1">
        <v>1659</v>
      </c>
      <c r="B161" s="1">
        <f>(logtemperature__8[[#This Row],[seconds]]-66)/60</f>
        <v>26.55</v>
      </c>
      <c r="C161" s="1">
        <v>103.25</v>
      </c>
    </row>
    <row r="162" spans="1:3" x14ac:dyDescent="0.25">
      <c r="A162" s="1">
        <v>1669</v>
      </c>
      <c r="B162" s="1">
        <f>(logtemperature__8[[#This Row],[seconds]]-66)/60</f>
        <v>26.716666666666665</v>
      </c>
      <c r="C162" s="1">
        <v>103.48</v>
      </c>
    </row>
    <row r="163" spans="1:3" x14ac:dyDescent="0.25">
      <c r="A163" s="1">
        <v>1679</v>
      </c>
      <c r="B163" s="1">
        <f>(logtemperature__8[[#This Row],[seconds]]-66)/60</f>
        <v>26.883333333333333</v>
      </c>
      <c r="C163" s="1">
        <v>103.6</v>
      </c>
    </row>
    <row r="164" spans="1:3" x14ac:dyDescent="0.25">
      <c r="A164" s="1">
        <v>1689</v>
      </c>
      <c r="B164" s="1">
        <f>(logtemperature__8[[#This Row],[seconds]]-66)/60</f>
        <v>27.05</v>
      </c>
      <c r="C164" s="1">
        <v>104.75</v>
      </c>
    </row>
    <row r="165" spans="1:3" x14ac:dyDescent="0.25">
      <c r="A165" s="1">
        <v>1699</v>
      </c>
      <c r="B165" s="1">
        <f>(logtemperature__8[[#This Row],[seconds]]-66)/60</f>
        <v>27.216666666666665</v>
      </c>
      <c r="C165" s="1">
        <v>104.1</v>
      </c>
    </row>
    <row r="166" spans="1:3" x14ac:dyDescent="0.25">
      <c r="A166" s="1">
        <v>1709</v>
      </c>
      <c r="B166" s="1">
        <f>(logtemperature__8[[#This Row],[seconds]]-66)/60</f>
        <v>27.383333333333333</v>
      </c>
      <c r="C166" s="1">
        <v>104.52</v>
      </c>
    </row>
    <row r="167" spans="1:3" x14ac:dyDescent="0.25">
      <c r="A167" s="1">
        <v>1719</v>
      </c>
      <c r="B167" s="1">
        <f>(logtemperature__8[[#This Row],[seconds]]-66)/60</f>
        <v>27.55</v>
      </c>
      <c r="C167" s="1">
        <v>103.91</v>
      </c>
    </row>
    <row r="168" spans="1:3" x14ac:dyDescent="0.25">
      <c r="A168" s="1">
        <v>1729</v>
      </c>
      <c r="B168" s="1">
        <f>(logtemperature__8[[#This Row],[seconds]]-66)/60</f>
        <v>27.716666666666665</v>
      </c>
      <c r="C168" s="1">
        <v>103.42</v>
      </c>
    </row>
    <row r="169" spans="1:3" x14ac:dyDescent="0.25">
      <c r="A169" s="1">
        <v>1739</v>
      </c>
      <c r="B169" s="1">
        <f>(logtemperature__8[[#This Row],[seconds]]-66)/60</f>
        <v>27.883333333333333</v>
      </c>
      <c r="C169" s="1">
        <v>103.84</v>
      </c>
    </row>
    <row r="170" spans="1:3" x14ac:dyDescent="0.25">
      <c r="A170" s="1">
        <v>1750</v>
      </c>
      <c r="B170" s="1">
        <f>(logtemperature__8[[#This Row],[seconds]]-66)/60</f>
        <v>28.066666666666666</v>
      </c>
      <c r="C170" s="1">
        <v>104.61</v>
      </c>
    </row>
    <row r="171" spans="1:3" x14ac:dyDescent="0.25">
      <c r="A171" s="1">
        <v>1760</v>
      </c>
      <c r="B171" s="1">
        <f>(logtemperature__8[[#This Row],[seconds]]-66)/60</f>
        <v>28.233333333333334</v>
      </c>
      <c r="C171" s="1">
        <v>104.84</v>
      </c>
    </row>
    <row r="172" spans="1:3" x14ac:dyDescent="0.25">
      <c r="A172" s="1">
        <v>1770</v>
      </c>
      <c r="B172" s="1">
        <f>(logtemperature__8[[#This Row],[seconds]]-66)/60</f>
        <v>28.4</v>
      </c>
      <c r="C172" s="1">
        <v>103.25</v>
      </c>
    </row>
    <row r="173" spans="1:3" x14ac:dyDescent="0.25">
      <c r="A173" s="1">
        <v>1780</v>
      </c>
      <c r="B173" s="1">
        <f>(logtemperature__8[[#This Row],[seconds]]-66)/60</f>
        <v>28.566666666666666</v>
      </c>
      <c r="C173" s="1">
        <v>104.34</v>
      </c>
    </row>
    <row r="174" spans="1:3" x14ac:dyDescent="0.25">
      <c r="A174" s="1">
        <v>1790</v>
      </c>
      <c r="B174" s="1">
        <f>(logtemperature__8[[#This Row],[seconds]]-66)/60</f>
        <v>28.733333333333334</v>
      </c>
      <c r="C174" s="1">
        <v>105.6</v>
      </c>
    </row>
    <row r="175" spans="1:3" x14ac:dyDescent="0.25">
      <c r="A175" s="1">
        <v>1800</v>
      </c>
      <c r="B175" s="1">
        <f>(logtemperature__8[[#This Row],[seconds]]-66)/60</f>
        <v>28.9</v>
      </c>
      <c r="C175" s="1">
        <v>105.14</v>
      </c>
    </row>
    <row r="176" spans="1:3" x14ac:dyDescent="0.25">
      <c r="A176" s="1">
        <v>1810</v>
      </c>
      <c r="B176" s="1">
        <f>(logtemperature__8[[#This Row],[seconds]]-66)/60</f>
        <v>29.066666666666666</v>
      </c>
      <c r="C176" s="1">
        <v>105.01</v>
      </c>
    </row>
    <row r="177" spans="1:3" x14ac:dyDescent="0.25">
      <c r="A177" s="1">
        <v>1820</v>
      </c>
      <c r="B177" s="1">
        <f>(logtemperature__8[[#This Row],[seconds]]-66)/60</f>
        <v>29.233333333333334</v>
      </c>
      <c r="C177" s="1">
        <v>104.85</v>
      </c>
    </row>
    <row r="178" spans="1:3" x14ac:dyDescent="0.25">
      <c r="A178" s="1">
        <v>1830</v>
      </c>
      <c r="B178" s="1">
        <f>(logtemperature__8[[#This Row],[seconds]]-66)/60</f>
        <v>29.4</v>
      </c>
      <c r="C178" s="1">
        <v>105.92</v>
      </c>
    </row>
    <row r="179" spans="1:3" x14ac:dyDescent="0.25">
      <c r="A179" s="1">
        <v>1840</v>
      </c>
      <c r="B179" s="1">
        <f>(logtemperature__8[[#This Row],[seconds]]-66)/60</f>
        <v>29.566666666666666</v>
      </c>
      <c r="C179" s="1">
        <v>106.9</v>
      </c>
    </row>
    <row r="180" spans="1:3" x14ac:dyDescent="0.25">
      <c r="A180" s="1">
        <v>1850</v>
      </c>
      <c r="B180" s="1">
        <f>(logtemperature__8[[#This Row],[seconds]]-66)/60</f>
        <v>29.733333333333334</v>
      </c>
      <c r="C180" s="1">
        <v>107.31</v>
      </c>
    </row>
    <row r="181" spans="1:3" x14ac:dyDescent="0.25">
      <c r="A181" s="1">
        <v>1860</v>
      </c>
      <c r="B181" s="1">
        <f>(logtemperature__8[[#This Row],[seconds]]-66)/60</f>
        <v>29.9</v>
      </c>
      <c r="C181" s="1">
        <v>107.3</v>
      </c>
    </row>
    <row r="182" spans="1:3" x14ac:dyDescent="0.25">
      <c r="A182" s="1">
        <v>1870</v>
      </c>
      <c r="B182" s="1">
        <f>(logtemperature__8[[#This Row],[seconds]]-66)/60</f>
        <v>30.066666666666666</v>
      </c>
      <c r="C182" s="1">
        <v>106.42</v>
      </c>
    </row>
    <row r="183" spans="1:3" x14ac:dyDescent="0.25">
      <c r="A183" s="1">
        <v>1880</v>
      </c>
      <c r="B183" s="1">
        <f>(logtemperature__8[[#This Row],[seconds]]-66)/60</f>
        <v>30.233333333333334</v>
      </c>
      <c r="C183" s="1">
        <v>106.48</v>
      </c>
    </row>
    <row r="184" spans="1:3" x14ac:dyDescent="0.25">
      <c r="A184" s="1">
        <v>1890</v>
      </c>
      <c r="B184" s="1">
        <f>(logtemperature__8[[#This Row],[seconds]]-66)/60</f>
        <v>30.4</v>
      </c>
      <c r="C184" s="1">
        <v>107.19</v>
      </c>
    </row>
    <row r="185" spans="1:3" x14ac:dyDescent="0.25">
      <c r="A185" s="1">
        <v>1900</v>
      </c>
      <c r="B185" s="1">
        <f>(logtemperature__8[[#This Row],[seconds]]-66)/60</f>
        <v>30.566666666666666</v>
      </c>
      <c r="C185" s="1">
        <v>107</v>
      </c>
    </row>
    <row r="186" spans="1:3" x14ac:dyDescent="0.25">
      <c r="A186" s="1">
        <v>1910</v>
      </c>
      <c r="B186" s="1">
        <f>(logtemperature__8[[#This Row],[seconds]]-66)/60</f>
        <v>30.733333333333334</v>
      </c>
      <c r="C186" s="1">
        <v>106.65</v>
      </c>
    </row>
    <row r="187" spans="1:3" x14ac:dyDescent="0.25">
      <c r="A187" s="1">
        <v>1920</v>
      </c>
      <c r="B187" s="1">
        <f>(logtemperature__8[[#This Row],[seconds]]-66)/60</f>
        <v>30.9</v>
      </c>
      <c r="C187" s="1">
        <v>107.57</v>
      </c>
    </row>
    <row r="188" spans="1:3" x14ac:dyDescent="0.25">
      <c r="A188" s="1">
        <v>1930</v>
      </c>
      <c r="B188" s="1">
        <f>(logtemperature__8[[#This Row],[seconds]]-66)/60</f>
        <v>31.066666666666666</v>
      </c>
      <c r="C188" s="1">
        <v>107.72</v>
      </c>
    </row>
    <row r="189" spans="1:3" x14ac:dyDescent="0.25">
      <c r="A189" s="1">
        <v>1940</v>
      </c>
      <c r="B189" s="1">
        <f>(logtemperature__8[[#This Row],[seconds]]-66)/60</f>
        <v>31.233333333333334</v>
      </c>
      <c r="C189" s="1">
        <v>107.89</v>
      </c>
    </row>
    <row r="190" spans="1:3" x14ac:dyDescent="0.25">
      <c r="A190" s="1">
        <v>1950</v>
      </c>
      <c r="B190" s="1">
        <f>(logtemperature__8[[#This Row],[seconds]]-66)/60</f>
        <v>31.4</v>
      </c>
      <c r="C190" s="1">
        <v>108.09</v>
      </c>
    </row>
    <row r="191" spans="1:3" x14ac:dyDescent="0.25">
      <c r="A191" s="1">
        <v>1960</v>
      </c>
      <c r="B191" s="1">
        <f>(logtemperature__8[[#This Row],[seconds]]-66)/60</f>
        <v>31.566666666666666</v>
      </c>
      <c r="C191" s="1">
        <v>108.99</v>
      </c>
    </row>
    <row r="192" spans="1:3" x14ac:dyDescent="0.25">
      <c r="A192" s="1">
        <v>1970</v>
      </c>
      <c r="B192" s="1">
        <f>(logtemperature__8[[#This Row],[seconds]]-66)/60</f>
        <v>31.733333333333334</v>
      </c>
      <c r="C192" s="1">
        <v>108.91</v>
      </c>
    </row>
    <row r="193" spans="1:3" x14ac:dyDescent="0.25">
      <c r="A193" s="1">
        <v>1980</v>
      </c>
      <c r="B193" s="1">
        <f>(logtemperature__8[[#This Row],[seconds]]-66)/60</f>
        <v>31.9</v>
      </c>
      <c r="C193" s="1">
        <v>108.65</v>
      </c>
    </row>
    <row r="194" spans="1:3" x14ac:dyDescent="0.25">
      <c r="A194" s="1">
        <v>1990</v>
      </c>
      <c r="B194" s="1">
        <f>(logtemperature__8[[#This Row],[seconds]]-66)/60</f>
        <v>32.06666666666667</v>
      </c>
      <c r="C194" s="1">
        <v>108.64</v>
      </c>
    </row>
    <row r="195" spans="1:3" x14ac:dyDescent="0.25">
      <c r="A195" s="1">
        <v>2000</v>
      </c>
      <c r="B195" s="1">
        <f>(logtemperature__8[[#This Row],[seconds]]-66)/60</f>
        <v>32.233333333333334</v>
      </c>
      <c r="C195" s="1">
        <v>108.58</v>
      </c>
    </row>
    <row r="196" spans="1:3" x14ac:dyDescent="0.25">
      <c r="A196" s="1">
        <v>2010</v>
      </c>
      <c r="B196" s="1">
        <f>(logtemperature__8[[#This Row],[seconds]]-66)/60</f>
        <v>32.4</v>
      </c>
      <c r="C196" s="1">
        <v>109.23</v>
      </c>
    </row>
    <row r="197" spans="1:3" x14ac:dyDescent="0.25">
      <c r="A197" s="1">
        <v>2020</v>
      </c>
      <c r="B197" s="1">
        <f>(logtemperature__8[[#This Row],[seconds]]-66)/60</f>
        <v>32.56666666666667</v>
      </c>
      <c r="C197" s="1">
        <v>109.2</v>
      </c>
    </row>
    <row r="198" spans="1:3" x14ac:dyDescent="0.25">
      <c r="A198" s="1">
        <v>2030</v>
      </c>
      <c r="B198" s="1">
        <f>(logtemperature__8[[#This Row],[seconds]]-66)/60</f>
        <v>32.733333333333334</v>
      </c>
      <c r="C198" s="1">
        <v>109.95</v>
      </c>
    </row>
    <row r="199" spans="1:3" x14ac:dyDescent="0.25">
      <c r="A199" s="1">
        <v>2040</v>
      </c>
      <c r="B199" s="1">
        <f>(logtemperature__8[[#This Row],[seconds]]-66)/60</f>
        <v>32.9</v>
      </c>
      <c r="C199" s="1">
        <v>110</v>
      </c>
    </row>
    <row r="200" spans="1:3" x14ac:dyDescent="0.25">
      <c r="A200" s="1">
        <v>2050</v>
      </c>
      <c r="B200" s="1">
        <f>(logtemperature__8[[#This Row],[seconds]]-66)/60</f>
        <v>33.06666666666667</v>
      </c>
      <c r="C200" s="1">
        <v>110.14</v>
      </c>
    </row>
    <row r="201" spans="1:3" x14ac:dyDescent="0.25">
      <c r="A201" s="1"/>
      <c r="B201" s="1"/>
      <c r="C201" s="1"/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3AC28-95C2-4975-B3E6-7AA7C28F8296}">
  <dimension ref="A1:D114"/>
  <sheetViews>
    <sheetView workbookViewId="0">
      <selection activeCell="O8" sqref="O8"/>
    </sheetView>
  </sheetViews>
  <sheetFormatPr defaultRowHeight="15" x14ac:dyDescent="0.25"/>
  <cols>
    <col min="1" max="1" width="7.42578125" bestFit="1" customWidth="1"/>
    <col min="2" max="2" width="7.42578125" customWidth="1"/>
    <col min="3" max="3" width="5" bestFit="1" customWidth="1"/>
    <col min="4" max="4" width="7.85546875" bestFit="1" customWidth="1"/>
  </cols>
  <sheetData>
    <row r="1" spans="1:4" x14ac:dyDescent="0.25">
      <c r="A1" t="s">
        <v>5</v>
      </c>
      <c r="B1" t="s">
        <v>7</v>
      </c>
      <c r="C1" t="s">
        <v>10</v>
      </c>
      <c r="D1" t="s">
        <v>11</v>
      </c>
    </row>
    <row r="2" spans="1:4" x14ac:dyDescent="0.25">
      <c r="A2">
        <v>13</v>
      </c>
      <c r="B2">
        <f>logtemperature__9[[#This Row],[time]]-13</f>
        <v>0</v>
      </c>
      <c r="C2">
        <v>24.1</v>
      </c>
      <c r="D2">
        <v>18.5</v>
      </c>
    </row>
    <row r="3" spans="1:4" x14ac:dyDescent="0.25">
      <c r="A3">
        <v>13</v>
      </c>
      <c r="B3">
        <f>logtemperature__9[[#This Row],[time]]-13</f>
        <v>0</v>
      </c>
      <c r="C3">
        <v>24.1</v>
      </c>
      <c r="D3">
        <v>89.5</v>
      </c>
    </row>
    <row r="4" spans="1:4" x14ac:dyDescent="0.25">
      <c r="A4">
        <v>13</v>
      </c>
      <c r="B4">
        <f>logtemperature__9[[#This Row],[time]]-13</f>
        <v>0</v>
      </c>
      <c r="C4">
        <v>24.2</v>
      </c>
      <c r="D4">
        <v>98.6</v>
      </c>
    </row>
    <row r="5" spans="1:4" x14ac:dyDescent="0.25">
      <c r="A5">
        <v>14</v>
      </c>
      <c r="B5">
        <f>logtemperature__9[[#This Row],[time]]-13</f>
        <v>1</v>
      </c>
      <c r="C5">
        <v>28.2</v>
      </c>
      <c r="D5">
        <v>99.8</v>
      </c>
    </row>
    <row r="6" spans="1:4" x14ac:dyDescent="0.25">
      <c r="A6">
        <v>14</v>
      </c>
      <c r="B6">
        <f>logtemperature__9[[#This Row],[time]]-13</f>
        <v>1</v>
      </c>
      <c r="C6">
        <v>33.200000000000003</v>
      </c>
      <c r="D6">
        <v>99.9</v>
      </c>
    </row>
    <row r="7" spans="1:4" x14ac:dyDescent="0.25">
      <c r="A7">
        <v>14</v>
      </c>
      <c r="B7">
        <f>logtemperature__9[[#This Row],[time]]-13</f>
        <v>1</v>
      </c>
      <c r="C7">
        <v>36</v>
      </c>
      <c r="D7">
        <v>99.9</v>
      </c>
    </row>
    <row r="8" spans="1:4" x14ac:dyDescent="0.25">
      <c r="A8">
        <v>14</v>
      </c>
      <c r="B8">
        <f>logtemperature__9[[#This Row],[time]]-13</f>
        <v>1</v>
      </c>
      <c r="C8">
        <v>38.200000000000003</v>
      </c>
      <c r="D8">
        <v>99.9</v>
      </c>
    </row>
    <row r="9" spans="1:4" x14ac:dyDescent="0.25">
      <c r="A9">
        <v>14</v>
      </c>
      <c r="B9">
        <f>logtemperature__9[[#This Row],[time]]-13</f>
        <v>1</v>
      </c>
      <c r="C9">
        <v>39.700000000000003</v>
      </c>
      <c r="D9">
        <v>99.9</v>
      </c>
    </row>
    <row r="10" spans="1:4" x14ac:dyDescent="0.25">
      <c r="A10">
        <v>14</v>
      </c>
      <c r="B10">
        <f>logtemperature__9[[#This Row],[time]]-13</f>
        <v>1</v>
      </c>
      <c r="C10">
        <v>41.2</v>
      </c>
      <c r="D10">
        <v>99.9</v>
      </c>
    </row>
    <row r="11" spans="1:4" x14ac:dyDescent="0.25">
      <c r="A11">
        <v>15</v>
      </c>
      <c r="B11">
        <f>logtemperature__9[[#This Row],[time]]-13</f>
        <v>2</v>
      </c>
      <c r="C11">
        <v>42.4</v>
      </c>
      <c r="D11">
        <v>99.9</v>
      </c>
    </row>
    <row r="12" spans="1:4" x14ac:dyDescent="0.25">
      <c r="A12">
        <v>15</v>
      </c>
      <c r="B12">
        <f>logtemperature__9[[#This Row],[time]]-13</f>
        <v>2</v>
      </c>
      <c r="C12">
        <v>43</v>
      </c>
      <c r="D12">
        <v>99.9</v>
      </c>
    </row>
    <row r="13" spans="1:4" x14ac:dyDescent="0.25">
      <c r="A13">
        <v>15</v>
      </c>
      <c r="B13">
        <f>logtemperature__9[[#This Row],[time]]-13</f>
        <v>2</v>
      </c>
      <c r="C13">
        <v>44.2</v>
      </c>
      <c r="D13">
        <v>99.9</v>
      </c>
    </row>
    <row r="14" spans="1:4" x14ac:dyDescent="0.25">
      <c r="A14">
        <v>15</v>
      </c>
      <c r="B14">
        <f>logtemperature__9[[#This Row],[time]]-13</f>
        <v>2</v>
      </c>
      <c r="C14">
        <v>44.7</v>
      </c>
      <c r="D14">
        <v>99.9</v>
      </c>
    </row>
    <row r="15" spans="1:4" x14ac:dyDescent="0.25">
      <c r="A15">
        <v>15</v>
      </c>
      <c r="B15">
        <f>logtemperature__9[[#This Row],[time]]-13</f>
        <v>2</v>
      </c>
      <c r="C15">
        <v>45.9</v>
      </c>
      <c r="D15">
        <v>99.9</v>
      </c>
    </row>
    <row r="16" spans="1:4" x14ac:dyDescent="0.25">
      <c r="A16">
        <v>15</v>
      </c>
      <c r="B16">
        <f>logtemperature__9[[#This Row],[time]]-13</f>
        <v>2</v>
      </c>
      <c r="C16">
        <v>46.4</v>
      </c>
      <c r="D16">
        <v>99.9</v>
      </c>
    </row>
    <row r="17" spans="1:4" x14ac:dyDescent="0.25">
      <c r="A17">
        <v>16</v>
      </c>
      <c r="B17">
        <f>logtemperature__9[[#This Row],[time]]-13</f>
        <v>3</v>
      </c>
      <c r="C17">
        <v>47.2</v>
      </c>
      <c r="D17">
        <v>99.9</v>
      </c>
    </row>
    <row r="18" spans="1:4" x14ac:dyDescent="0.25">
      <c r="A18">
        <v>16</v>
      </c>
      <c r="B18">
        <f>logtemperature__9[[#This Row],[time]]-13</f>
        <v>3</v>
      </c>
      <c r="C18">
        <v>47.8</v>
      </c>
      <c r="D18">
        <v>99.9</v>
      </c>
    </row>
    <row r="19" spans="1:4" x14ac:dyDescent="0.25">
      <c r="A19">
        <v>16</v>
      </c>
      <c r="B19">
        <f>logtemperature__9[[#This Row],[time]]-13</f>
        <v>3</v>
      </c>
      <c r="C19">
        <v>48.6</v>
      </c>
      <c r="D19">
        <v>99.9</v>
      </c>
    </row>
    <row r="20" spans="1:4" x14ac:dyDescent="0.25">
      <c r="A20">
        <v>16</v>
      </c>
      <c r="B20">
        <f>logtemperature__9[[#This Row],[time]]-13</f>
        <v>3</v>
      </c>
      <c r="C20">
        <v>49.3</v>
      </c>
      <c r="D20">
        <v>99.9</v>
      </c>
    </row>
    <row r="21" spans="1:4" x14ac:dyDescent="0.25">
      <c r="A21">
        <v>16</v>
      </c>
      <c r="B21">
        <f>logtemperature__9[[#This Row],[time]]-13</f>
        <v>3</v>
      </c>
      <c r="C21">
        <v>49.6</v>
      </c>
      <c r="D21">
        <v>99.9</v>
      </c>
    </row>
    <row r="22" spans="1:4" x14ac:dyDescent="0.25">
      <c r="A22">
        <v>16</v>
      </c>
      <c r="B22">
        <f>logtemperature__9[[#This Row],[time]]-13</f>
        <v>3</v>
      </c>
      <c r="C22">
        <v>50.4</v>
      </c>
      <c r="D22">
        <v>99.9</v>
      </c>
    </row>
    <row r="23" spans="1:4" x14ac:dyDescent="0.25">
      <c r="A23">
        <v>17</v>
      </c>
      <c r="B23">
        <f>logtemperature__9[[#This Row],[time]]-13</f>
        <v>4</v>
      </c>
      <c r="C23">
        <v>51.2</v>
      </c>
      <c r="D23">
        <v>99.9</v>
      </c>
    </row>
    <row r="24" spans="1:4" x14ac:dyDescent="0.25">
      <c r="A24">
        <v>17</v>
      </c>
      <c r="B24">
        <f>logtemperature__9[[#This Row],[time]]-13</f>
        <v>4</v>
      </c>
      <c r="C24">
        <v>51.6</v>
      </c>
      <c r="D24">
        <v>99.9</v>
      </c>
    </row>
    <row r="25" spans="1:4" x14ac:dyDescent="0.25">
      <c r="A25">
        <v>17</v>
      </c>
      <c r="B25">
        <f>logtemperature__9[[#This Row],[time]]-13</f>
        <v>4</v>
      </c>
      <c r="C25">
        <v>52.2</v>
      </c>
      <c r="D25">
        <v>99.9</v>
      </c>
    </row>
    <row r="26" spans="1:4" x14ac:dyDescent="0.25">
      <c r="A26">
        <v>17</v>
      </c>
      <c r="B26">
        <f>logtemperature__9[[#This Row],[time]]-13</f>
        <v>4</v>
      </c>
      <c r="C26">
        <v>52.5</v>
      </c>
      <c r="D26">
        <v>99.9</v>
      </c>
    </row>
    <row r="27" spans="1:4" x14ac:dyDescent="0.25">
      <c r="A27">
        <v>17</v>
      </c>
      <c r="B27">
        <f>logtemperature__9[[#This Row],[time]]-13</f>
        <v>4</v>
      </c>
      <c r="C27">
        <v>53.1</v>
      </c>
      <c r="D27">
        <v>99.9</v>
      </c>
    </row>
    <row r="28" spans="1:4" x14ac:dyDescent="0.25">
      <c r="A28">
        <v>17</v>
      </c>
      <c r="B28">
        <f>logtemperature__9[[#This Row],[time]]-13</f>
        <v>4</v>
      </c>
      <c r="C28">
        <v>54.1</v>
      </c>
      <c r="D28">
        <v>99.9</v>
      </c>
    </row>
    <row r="29" spans="1:4" x14ac:dyDescent="0.25">
      <c r="A29">
        <v>18</v>
      </c>
      <c r="B29">
        <f>logtemperature__9[[#This Row],[time]]-13</f>
        <v>5</v>
      </c>
      <c r="C29">
        <v>53.7</v>
      </c>
      <c r="D29">
        <v>99.9</v>
      </c>
    </row>
    <row r="30" spans="1:4" x14ac:dyDescent="0.25">
      <c r="A30">
        <v>18</v>
      </c>
      <c r="B30">
        <f>logtemperature__9[[#This Row],[time]]-13</f>
        <v>5</v>
      </c>
      <c r="C30">
        <v>53.9</v>
      </c>
      <c r="D30">
        <v>99.9</v>
      </c>
    </row>
    <row r="31" spans="1:4" x14ac:dyDescent="0.25">
      <c r="A31">
        <v>18</v>
      </c>
      <c r="B31">
        <f>logtemperature__9[[#This Row],[time]]-13</f>
        <v>5</v>
      </c>
      <c r="C31">
        <v>55.4</v>
      </c>
      <c r="D31">
        <v>99.9</v>
      </c>
    </row>
    <row r="32" spans="1:4" x14ac:dyDescent="0.25">
      <c r="A32">
        <v>18</v>
      </c>
      <c r="B32">
        <f>logtemperature__9[[#This Row],[time]]-13</f>
        <v>5</v>
      </c>
      <c r="C32">
        <v>55.8</v>
      </c>
      <c r="D32">
        <v>99.9</v>
      </c>
    </row>
    <row r="33" spans="1:4" x14ac:dyDescent="0.25">
      <c r="A33">
        <v>18</v>
      </c>
      <c r="B33">
        <f>logtemperature__9[[#This Row],[time]]-13</f>
        <v>5</v>
      </c>
      <c r="C33">
        <v>56.7</v>
      </c>
      <c r="D33">
        <v>99.9</v>
      </c>
    </row>
    <row r="34" spans="1:4" x14ac:dyDescent="0.25">
      <c r="A34">
        <v>18</v>
      </c>
      <c r="B34">
        <f>logtemperature__9[[#This Row],[time]]-13</f>
        <v>5</v>
      </c>
      <c r="C34">
        <v>56.4</v>
      </c>
      <c r="D34">
        <v>99.9</v>
      </c>
    </row>
    <row r="35" spans="1:4" x14ac:dyDescent="0.25">
      <c r="A35">
        <v>19</v>
      </c>
      <c r="B35">
        <f>logtemperature__9[[#This Row],[time]]-13</f>
        <v>6</v>
      </c>
      <c r="C35">
        <v>57.2</v>
      </c>
      <c r="D35">
        <v>99.9</v>
      </c>
    </row>
    <row r="36" spans="1:4" x14ac:dyDescent="0.25">
      <c r="A36">
        <v>19</v>
      </c>
      <c r="B36">
        <f>logtemperature__9[[#This Row],[time]]-13</f>
        <v>6</v>
      </c>
      <c r="C36">
        <v>57.3</v>
      </c>
      <c r="D36">
        <v>99.9</v>
      </c>
    </row>
    <row r="37" spans="1:4" x14ac:dyDescent="0.25">
      <c r="A37">
        <v>19</v>
      </c>
      <c r="B37">
        <f>logtemperature__9[[#This Row],[time]]-13</f>
        <v>6</v>
      </c>
      <c r="C37">
        <v>57.8</v>
      </c>
      <c r="D37">
        <v>99.9</v>
      </c>
    </row>
    <row r="38" spans="1:4" x14ac:dyDescent="0.25">
      <c r="A38">
        <v>19</v>
      </c>
      <c r="B38">
        <f>logtemperature__9[[#This Row],[time]]-13</f>
        <v>6</v>
      </c>
      <c r="C38">
        <v>58.2</v>
      </c>
      <c r="D38">
        <v>99.9</v>
      </c>
    </row>
    <row r="39" spans="1:4" x14ac:dyDescent="0.25">
      <c r="A39">
        <v>19</v>
      </c>
      <c r="B39">
        <f>logtemperature__9[[#This Row],[time]]-13</f>
        <v>6</v>
      </c>
      <c r="C39">
        <v>58.3</v>
      </c>
      <c r="D39">
        <v>99.9</v>
      </c>
    </row>
    <row r="40" spans="1:4" x14ac:dyDescent="0.25">
      <c r="A40">
        <v>19</v>
      </c>
      <c r="B40">
        <f>logtemperature__9[[#This Row],[time]]-13</f>
        <v>6</v>
      </c>
      <c r="C40">
        <v>58.8</v>
      </c>
      <c r="D40">
        <v>99.9</v>
      </c>
    </row>
    <row r="41" spans="1:4" x14ac:dyDescent="0.25">
      <c r="A41">
        <v>20</v>
      </c>
      <c r="B41">
        <f>logtemperature__9[[#This Row],[time]]-13</f>
        <v>7</v>
      </c>
      <c r="C41">
        <v>59.4</v>
      </c>
      <c r="D41">
        <v>99.9</v>
      </c>
    </row>
    <row r="42" spans="1:4" x14ac:dyDescent="0.25">
      <c r="A42">
        <v>20</v>
      </c>
      <c r="B42">
        <f>logtemperature__9[[#This Row],[time]]-13</f>
        <v>7</v>
      </c>
      <c r="C42">
        <v>59.7</v>
      </c>
      <c r="D42">
        <v>99.9</v>
      </c>
    </row>
    <row r="43" spans="1:4" x14ac:dyDescent="0.25">
      <c r="A43">
        <v>20</v>
      </c>
      <c r="B43">
        <f>logtemperature__9[[#This Row],[time]]-13</f>
        <v>7</v>
      </c>
      <c r="C43">
        <v>59.6</v>
      </c>
      <c r="D43">
        <v>99.9</v>
      </c>
    </row>
    <row r="44" spans="1:4" x14ac:dyDescent="0.25">
      <c r="A44">
        <v>20</v>
      </c>
      <c r="B44">
        <f>logtemperature__9[[#This Row],[time]]-13</f>
        <v>7</v>
      </c>
      <c r="C44">
        <v>59.8</v>
      </c>
      <c r="D44">
        <v>99.9</v>
      </c>
    </row>
    <row r="45" spans="1:4" x14ac:dyDescent="0.25">
      <c r="A45">
        <v>20</v>
      </c>
      <c r="B45">
        <f>logtemperature__9[[#This Row],[time]]-13</f>
        <v>7</v>
      </c>
      <c r="C45">
        <v>59.5</v>
      </c>
      <c r="D45">
        <v>99.9</v>
      </c>
    </row>
    <row r="46" spans="1:4" x14ac:dyDescent="0.25">
      <c r="A46">
        <v>20</v>
      </c>
      <c r="B46">
        <f>logtemperature__9[[#This Row],[time]]-13</f>
        <v>7</v>
      </c>
      <c r="C46">
        <v>59.9</v>
      </c>
      <c r="D46">
        <v>99.9</v>
      </c>
    </row>
    <row r="47" spans="1:4" x14ac:dyDescent="0.25">
      <c r="A47">
        <v>21</v>
      </c>
      <c r="B47">
        <f>logtemperature__9[[#This Row],[time]]-13</f>
        <v>8</v>
      </c>
      <c r="C47">
        <v>60.9</v>
      </c>
      <c r="D47">
        <v>99.9</v>
      </c>
    </row>
    <row r="48" spans="1:4" x14ac:dyDescent="0.25">
      <c r="A48">
        <v>21</v>
      </c>
      <c r="B48">
        <f>logtemperature__9[[#This Row],[time]]-13</f>
        <v>8</v>
      </c>
      <c r="C48">
        <v>61.5</v>
      </c>
      <c r="D48">
        <v>99.9</v>
      </c>
    </row>
    <row r="49" spans="1:4" x14ac:dyDescent="0.25">
      <c r="A49">
        <v>21</v>
      </c>
      <c r="B49">
        <f>logtemperature__9[[#This Row],[time]]-13</f>
        <v>8</v>
      </c>
      <c r="C49">
        <v>61.9</v>
      </c>
      <c r="D49">
        <v>99.9</v>
      </c>
    </row>
    <row r="50" spans="1:4" x14ac:dyDescent="0.25">
      <c r="A50">
        <v>21</v>
      </c>
      <c r="B50">
        <f>logtemperature__9[[#This Row],[time]]-13</f>
        <v>8</v>
      </c>
      <c r="C50">
        <v>61.9</v>
      </c>
      <c r="D50">
        <v>99.9</v>
      </c>
    </row>
    <row r="51" spans="1:4" x14ac:dyDescent="0.25">
      <c r="A51">
        <v>21</v>
      </c>
      <c r="B51">
        <f>logtemperature__9[[#This Row],[time]]-13</f>
        <v>8</v>
      </c>
      <c r="C51">
        <v>62.5</v>
      </c>
      <c r="D51">
        <v>99.9</v>
      </c>
    </row>
    <row r="52" spans="1:4" x14ac:dyDescent="0.25">
      <c r="A52">
        <v>21</v>
      </c>
      <c r="B52">
        <f>logtemperature__9[[#This Row],[time]]-13</f>
        <v>8</v>
      </c>
      <c r="C52">
        <v>62.6</v>
      </c>
      <c r="D52">
        <v>99.9</v>
      </c>
    </row>
    <row r="53" spans="1:4" x14ac:dyDescent="0.25">
      <c r="A53">
        <v>22</v>
      </c>
      <c r="B53">
        <f>logtemperature__9[[#This Row],[time]]-13</f>
        <v>9</v>
      </c>
      <c r="C53">
        <v>62.8</v>
      </c>
      <c r="D53">
        <v>99.9</v>
      </c>
    </row>
    <row r="54" spans="1:4" x14ac:dyDescent="0.25">
      <c r="A54">
        <v>22</v>
      </c>
      <c r="B54">
        <f>logtemperature__9[[#This Row],[time]]-13</f>
        <v>9</v>
      </c>
      <c r="C54">
        <v>63.2</v>
      </c>
      <c r="D54">
        <v>99.9</v>
      </c>
    </row>
    <row r="55" spans="1:4" x14ac:dyDescent="0.25">
      <c r="A55">
        <v>22</v>
      </c>
      <c r="B55">
        <f>logtemperature__9[[#This Row],[time]]-13</f>
        <v>9</v>
      </c>
      <c r="C55">
        <v>63.2</v>
      </c>
      <c r="D55">
        <v>99.9</v>
      </c>
    </row>
    <row r="56" spans="1:4" x14ac:dyDescent="0.25">
      <c r="A56">
        <v>22</v>
      </c>
      <c r="B56">
        <f>logtemperature__9[[#This Row],[time]]-13</f>
        <v>9</v>
      </c>
      <c r="C56">
        <v>63.8</v>
      </c>
      <c r="D56">
        <v>99.9</v>
      </c>
    </row>
    <row r="57" spans="1:4" x14ac:dyDescent="0.25">
      <c r="A57">
        <v>22</v>
      </c>
      <c r="B57">
        <f>logtemperature__9[[#This Row],[time]]-13</f>
        <v>9</v>
      </c>
      <c r="C57">
        <v>64.3</v>
      </c>
      <c r="D57">
        <v>99.9</v>
      </c>
    </row>
    <row r="58" spans="1:4" x14ac:dyDescent="0.25">
      <c r="A58">
        <v>22</v>
      </c>
      <c r="B58">
        <f>logtemperature__9[[#This Row],[time]]-13</f>
        <v>9</v>
      </c>
      <c r="C58">
        <v>64.5</v>
      </c>
      <c r="D58">
        <v>99.9</v>
      </c>
    </row>
    <row r="59" spans="1:4" x14ac:dyDescent="0.25">
      <c r="A59">
        <v>23</v>
      </c>
      <c r="B59">
        <f>logtemperature__9[[#This Row],[time]]-13</f>
        <v>10</v>
      </c>
      <c r="C59">
        <v>64.8</v>
      </c>
      <c r="D59">
        <v>99.9</v>
      </c>
    </row>
    <row r="60" spans="1:4" x14ac:dyDescent="0.25">
      <c r="A60">
        <v>23</v>
      </c>
      <c r="B60">
        <f>logtemperature__9[[#This Row],[time]]-13</f>
        <v>10</v>
      </c>
      <c r="C60">
        <v>65.599999999999994</v>
      </c>
      <c r="D60">
        <v>99.9</v>
      </c>
    </row>
    <row r="61" spans="1:4" x14ac:dyDescent="0.25">
      <c r="A61">
        <v>23</v>
      </c>
      <c r="B61">
        <f>logtemperature__9[[#This Row],[time]]-13</f>
        <v>10</v>
      </c>
      <c r="C61">
        <v>66.400000000000006</v>
      </c>
      <c r="D61">
        <v>99.9</v>
      </c>
    </row>
    <row r="62" spans="1:4" x14ac:dyDescent="0.25">
      <c r="A62">
        <v>23</v>
      </c>
      <c r="B62">
        <f>logtemperature__9[[#This Row],[time]]-13</f>
        <v>10</v>
      </c>
      <c r="C62">
        <v>66.599999999999994</v>
      </c>
      <c r="D62">
        <v>99.9</v>
      </c>
    </row>
    <row r="63" spans="1:4" x14ac:dyDescent="0.25">
      <c r="A63">
        <v>23</v>
      </c>
      <c r="B63">
        <f>logtemperature__9[[#This Row],[time]]-13</f>
        <v>10</v>
      </c>
      <c r="C63">
        <v>67</v>
      </c>
      <c r="D63">
        <v>99.9</v>
      </c>
    </row>
    <row r="64" spans="1:4" x14ac:dyDescent="0.25">
      <c r="A64">
        <v>23</v>
      </c>
      <c r="B64">
        <f>logtemperature__9[[#This Row],[time]]-13</f>
        <v>10</v>
      </c>
      <c r="C64">
        <v>66.7</v>
      </c>
      <c r="D64">
        <v>99.9</v>
      </c>
    </row>
    <row r="65" spans="1:4" x14ac:dyDescent="0.25">
      <c r="A65">
        <v>24</v>
      </c>
      <c r="B65">
        <f>logtemperature__9[[#This Row],[time]]-13</f>
        <v>11</v>
      </c>
      <c r="C65">
        <v>67.5</v>
      </c>
      <c r="D65">
        <v>99.9</v>
      </c>
    </row>
    <row r="66" spans="1:4" x14ac:dyDescent="0.25">
      <c r="A66">
        <v>24</v>
      </c>
      <c r="B66">
        <f>logtemperature__9[[#This Row],[time]]-13</f>
        <v>11</v>
      </c>
      <c r="C66">
        <v>67.5</v>
      </c>
      <c r="D66">
        <v>99.9</v>
      </c>
    </row>
    <row r="67" spans="1:4" x14ac:dyDescent="0.25">
      <c r="A67">
        <v>24</v>
      </c>
      <c r="B67">
        <f>logtemperature__9[[#This Row],[time]]-13</f>
        <v>11</v>
      </c>
      <c r="C67">
        <v>68.400000000000006</v>
      </c>
      <c r="D67">
        <v>99.9</v>
      </c>
    </row>
    <row r="68" spans="1:4" x14ac:dyDescent="0.25">
      <c r="A68">
        <v>24</v>
      </c>
      <c r="B68">
        <f>logtemperature__9[[#This Row],[time]]-13</f>
        <v>11</v>
      </c>
      <c r="C68">
        <v>68</v>
      </c>
      <c r="D68">
        <v>99.9</v>
      </c>
    </row>
    <row r="69" spans="1:4" x14ac:dyDescent="0.25">
      <c r="A69">
        <v>24</v>
      </c>
      <c r="B69">
        <f>logtemperature__9[[#This Row],[time]]-13</f>
        <v>11</v>
      </c>
      <c r="C69">
        <v>67.8</v>
      </c>
      <c r="D69">
        <v>99.9</v>
      </c>
    </row>
    <row r="70" spans="1:4" x14ac:dyDescent="0.25">
      <c r="A70">
        <v>24</v>
      </c>
      <c r="B70">
        <f>logtemperature__9[[#This Row],[time]]-13</f>
        <v>11</v>
      </c>
      <c r="C70">
        <v>68.8</v>
      </c>
      <c r="D70">
        <v>99.9</v>
      </c>
    </row>
    <row r="71" spans="1:4" x14ac:dyDescent="0.25">
      <c r="A71">
        <v>25</v>
      </c>
      <c r="B71">
        <f>logtemperature__9[[#This Row],[time]]-13</f>
        <v>12</v>
      </c>
      <c r="C71">
        <v>69.400000000000006</v>
      </c>
      <c r="D71">
        <v>99.9</v>
      </c>
    </row>
    <row r="72" spans="1:4" x14ac:dyDescent="0.25">
      <c r="A72">
        <v>25</v>
      </c>
      <c r="B72">
        <f>logtemperature__9[[#This Row],[time]]-13</f>
        <v>12</v>
      </c>
      <c r="C72">
        <v>69.7</v>
      </c>
      <c r="D72">
        <v>99.9</v>
      </c>
    </row>
    <row r="73" spans="1:4" x14ac:dyDescent="0.25">
      <c r="A73">
        <v>25</v>
      </c>
      <c r="B73">
        <f>logtemperature__9[[#This Row],[time]]-13</f>
        <v>12</v>
      </c>
      <c r="C73">
        <v>69.5</v>
      </c>
      <c r="D73">
        <v>99.9</v>
      </c>
    </row>
    <row r="74" spans="1:4" x14ac:dyDescent="0.25">
      <c r="A74">
        <v>25</v>
      </c>
      <c r="B74">
        <f>logtemperature__9[[#This Row],[time]]-13</f>
        <v>12</v>
      </c>
      <c r="C74">
        <v>69.900000000000006</v>
      </c>
      <c r="D74">
        <v>99.9</v>
      </c>
    </row>
    <row r="75" spans="1:4" x14ac:dyDescent="0.25">
      <c r="A75">
        <v>25</v>
      </c>
      <c r="B75">
        <f>logtemperature__9[[#This Row],[time]]-13</f>
        <v>12</v>
      </c>
      <c r="C75">
        <v>70.099999999999994</v>
      </c>
      <c r="D75">
        <v>99.9</v>
      </c>
    </row>
    <row r="76" spans="1:4" x14ac:dyDescent="0.25">
      <c r="A76">
        <v>25</v>
      </c>
      <c r="B76">
        <f>logtemperature__9[[#This Row],[time]]-13</f>
        <v>12</v>
      </c>
      <c r="C76">
        <v>70.900000000000006</v>
      </c>
      <c r="D76">
        <v>99.9</v>
      </c>
    </row>
    <row r="77" spans="1:4" x14ac:dyDescent="0.25">
      <c r="A77">
        <v>26</v>
      </c>
      <c r="B77">
        <f>logtemperature__9[[#This Row],[time]]-13</f>
        <v>13</v>
      </c>
      <c r="C77">
        <v>70.5</v>
      </c>
      <c r="D77">
        <v>99.9</v>
      </c>
    </row>
    <row r="78" spans="1:4" x14ac:dyDescent="0.25">
      <c r="A78">
        <v>26</v>
      </c>
      <c r="B78">
        <f>logtemperature__9[[#This Row],[time]]-13</f>
        <v>13</v>
      </c>
      <c r="C78">
        <v>70.599999999999994</v>
      </c>
      <c r="D78">
        <v>99.9</v>
      </c>
    </row>
    <row r="79" spans="1:4" x14ac:dyDescent="0.25">
      <c r="A79">
        <v>26</v>
      </c>
      <c r="B79">
        <f>logtemperature__9[[#This Row],[time]]-13</f>
        <v>13</v>
      </c>
      <c r="C79">
        <v>70.5</v>
      </c>
      <c r="D79">
        <v>99.9</v>
      </c>
    </row>
    <row r="80" spans="1:4" x14ac:dyDescent="0.25">
      <c r="A80">
        <v>26</v>
      </c>
      <c r="B80">
        <f>logtemperature__9[[#This Row],[time]]-13</f>
        <v>13</v>
      </c>
      <c r="C80">
        <v>71.8</v>
      </c>
      <c r="D80">
        <v>99.9</v>
      </c>
    </row>
    <row r="81" spans="1:4" x14ac:dyDescent="0.25">
      <c r="A81">
        <v>26</v>
      </c>
      <c r="B81">
        <f>logtemperature__9[[#This Row],[time]]-13</f>
        <v>13</v>
      </c>
      <c r="C81">
        <v>72.5</v>
      </c>
      <c r="D81">
        <v>99.9</v>
      </c>
    </row>
    <row r="82" spans="1:4" x14ac:dyDescent="0.25">
      <c r="A82">
        <v>26</v>
      </c>
      <c r="B82">
        <f>logtemperature__9[[#This Row],[time]]-13</f>
        <v>13</v>
      </c>
      <c r="C82">
        <v>72.599999999999994</v>
      </c>
      <c r="D82">
        <v>99.9</v>
      </c>
    </row>
    <row r="83" spans="1:4" x14ac:dyDescent="0.25">
      <c r="A83">
        <v>27</v>
      </c>
      <c r="B83">
        <f>logtemperature__9[[#This Row],[time]]-13</f>
        <v>14</v>
      </c>
      <c r="C83">
        <v>71.900000000000006</v>
      </c>
      <c r="D83">
        <v>99.9</v>
      </c>
    </row>
    <row r="84" spans="1:4" x14ac:dyDescent="0.25">
      <c r="A84">
        <v>27</v>
      </c>
      <c r="B84">
        <f>logtemperature__9[[#This Row],[time]]-13</f>
        <v>14</v>
      </c>
      <c r="C84">
        <v>72.599999999999994</v>
      </c>
      <c r="D84">
        <v>99.9</v>
      </c>
    </row>
    <row r="85" spans="1:4" x14ac:dyDescent="0.25">
      <c r="A85">
        <v>27</v>
      </c>
      <c r="B85">
        <f>logtemperature__9[[#This Row],[time]]-13</f>
        <v>14</v>
      </c>
      <c r="C85">
        <v>73.099999999999994</v>
      </c>
      <c r="D85">
        <v>99.9</v>
      </c>
    </row>
    <row r="86" spans="1:4" x14ac:dyDescent="0.25">
      <c r="A86">
        <v>27</v>
      </c>
      <c r="B86">
        <f>logtemperature__9[[#This Row],[time]]-13</f>
        <v>14</v>
      </c>
      <c r="C86">
        <v>73.099999999999994</v>
      </c>
      <c r="D86">
        <v>99.9</v>
      </c>
    </row>
    <row r="87" spans="1:4" x14ac:dyDescent="0.25">
      <c r="A87">
        <v>27</v>
      </c>
      <c r="B87">
        <f>logtemperature__9[[#This Row],[time]]-13</f>
        <v>14</v>
      </c>
      <c r="C87">
        <v>73.400000000000006</v>
      </c>
      <c r="D87">
        <v>99.9</v>
      </c>
    </row>
    <row r="88" spans="1:4" x14ac:dyDescent="0.25">
      <c r="A88">
        <v>27</v>
      </c>
      <c r="B88">
        <f>logtemperature__9[[#This Row],[time]]-13</f>
        <v>14</v>
      </c>
      <c r="C88">
        <v>73.5</v>
      </c>
      <c r="D88">
        <v>99.9</v>
      </c>
    </row>
    <row r="89" spans="1:4" x14ac:dyDescent="0.25">
      <c r="A89">
        <v>28</v>
      </c>
      <c r="B89">
        <f>logtemperature__9[[#This Row],[time]]-13</f>
        <v>15</v>
      </c>
      <c r="C89">
        <v>74.099999999999994</v>
      </c>
      <c r="D89">
        <v>99.9</v>
      </c>
    </row>
    <row r="90" spans="1:4" x14ac:dyDescent="0.25">
      <c r="A90">
        <v>28</v>
      </c>
      <c r="B90">
        <f>logtemperature__9[[#This Row],[time]]-13</f>
        <v>15</v>
      </c>
      <c r="C90">
        <v>74.2</v>
      </c>
      <c r="D90">
        <v>99.9</v>
      </c>
    </row>
    <row r="91" spans="1:4" x14ac:dyDescent="0.25">
      <c r="A91">
        <v>28</v>
      </c>
      <c r="B91">
        <f>logtemperature__9[[#This Row],[time]]-13</f>
        <v>15</v>
      </c>
      <c r="C91">
        <v>74.5</v>
      </c>
      <c r="D91">
        <v>99.9</v>
      </c>
    </row>
    <row r="92" spans="1:4" x14ac:dyDescent="0.25">
      <c r="A92">
        <v>28</v>
      </c>
      <c r="B92">
        <f>logtemperature__9[[#This Row],[time]]-13</f>
        <v>15</v>
      </c>
      <c r="C92">
        <v>74.900000000000006</v>
      </c>
      <c r="D92">
        <v>99.9</v>
      </c>
    </row>
    <row r="93" spans="1:4" x14ac:dyDescent="0.25">
      <c r="A93">
        <v>28</v>
      </c>
      <c r="B93">
        <f>logtemperature__9[[#This Row],[time]]-13</f>
        <v>15</v>
      </c>
      <c r="C93">
        <v>75.2</v>
      </c>
      <c r="D93">
        <v>99.9</v>
      </c>
    </row>
    <row r="94" spans="1:4" x14ac:dyDescent="0.25">
      <c r="A94">
        <v>28</v>
      </c>
      <c r="B94">
        <f>logtemperature__9[[#This Row],[time]]-13</f>
        <v>15</v>
      </c>
      <c r="C94">
        <v>75.2</v>
      </c>
      <c r="D94">
        <v>99.9</v>
      </c>
    </row>
    <row r="95" spans="1:4" x14ac:dyDescent="0.25">
      <c r="A95">
        <v>29</v>
      </c>
      <c r="B95">
        <f>logtemperature__9[[#This Row],[time]]-13</f>
        <v>16</v>
      </c>
      <c r="C95">
        <v>75.8</v>
      </c>
      <c r="D95">
        <v>99.9</v>
      </c>
    </row>
    <row r="96" spans="1:4" x14ac:dyDescent="0.25">
      <c r="A96">
        <v>29</v>
      </c>
      <c r="B96">
        <f>logtemperature__9[[#This Row],[time]]-13</f>
        <v>16</v>
      </c>
      <c r="C96">
        <v>76.099999999999994</v>
      </c>
      <c r="D96">
        <v>99.9</v>
      </c>
    </row>
    <row r="97" spans="1:4" x14ac:dyDescent="0.25">
      <c r="A97">
        <v>29</v>
      </c>
      <c r="B97">
        <f>logtemperature__9[[#This Row],[time]]-13</f>
        <v>16</v>
      </c>
      <c r="C97">
        <v>76.3</v>
      </c>
      <c r="D97">
        <v>99.9</v>
      </c>
    </row>
    <row r="98" spans="1:4" x14ac:dyDescent="0.25">
      <c r="A98">
        <v>29</v>
      </c>
      <c r="B98">
        <f>logtemperature__9[[#This Row],[time]]-13</f>
        <v>16</v>
      </c>
      <c r="C98">
        <v>76.400000000000006</v>
      </c>
      <c r="D98">
        <v>99.9</v>
      </c>
    </row>
    <row r="99" spans="1:4" x14ac:dyDescent="0.25">
      <c r="A99">
        <v>29</v>
      </c>
      <c r="B99">
        <f>logtemperature__9[[#This Row],[time]]-13</f>
        <v>16</v>
      </c>
      <c r="C99">
        <v>76.2</v>
      </c>
      <c r="D99">
        <v>99.9</v>
      </c>
    </row>
    <row r="100" spans="1:4" x14ac:dyDescent="0.25">
      <c r="A100">
        <v>29</v>
      </c>
      <c r="B100">
        <f>logtemperature__9[[#This Row],[time]]-13</f>
        <v>16</v>
      </c>
      <c r="C100">
        <v>76.7</v>
      </c>
      <c r="D100">
        <v>99.9</v>
      </c>
    </row>
    <row r="101" spans="1:4" x14ac:dyDescent="0.25">
      <c r="A101">
        <v>30</v>
      </c>
      <c r="B101">
        <f>logtemperature__9[[#This Row],[time]]-13</f>
        <v>17</v>
      </c>
      <c r="C101">
        <v>77.2</v>
      </c>
      <c r="D101">
        <v>99.9</v>
      </c>
    </row>
    <row r="102" spans="1:4" x14ac:dyDescent="0.25">
      <c r="A102">
        <v>30</v>
      </c>
      <c r="B102">
        <f>logtemperature__9[[#This Row],[time]]-13</f>
        <v>17</v>
      </c>
      <c r="C102">
        <v>77.099999999999994</v>
      </c>
      <c r="D102">
        <v>99.9</v>
      </c>
    </row>
    <row r="103" spans="1:4" x14ac:dyDescent="0.25">
      <c r="A103">
        <v>30</v>
      </c>
      <c r="B103">
        <f>logtemperature__9[[#This Row],[time]]-13</f>
        <v>17</v>
      </c>
      <c r="C103">
        <v>76.8</v>
      </c>
      <c r="D103">
        <v>99.9</v>
      </c>
    </row>
    <row r="104" spans="1:4" x14ac:dyDescent="0.25">
      <c r="A104">
        <v>30</v>
      </c>
      <c r="B104">
        <f>logtemperature__9[[#This Row],[time]]-13</f>
        <v>17</v>
      </c>
      <c r="C104">
        <v>78.2</v>
      </c>
      <c r="D104">
        <v>99.9</v>
      </c>
    </row>
    <row r="105" spans="1:4" x14ac:dyDescent="0.25">
      <c r="A105">
        <v>30</v>
      </c>
      <c r="B105">
        <f>logtemperature__9[[#This Row],[time]]-13</f>
        <v>17</v>
      </c>
      <c r="C105">
        <v>77.5</v>
      </c>
      <c r="D105">
        <v>99.9</v>
      </c>
    </row>
    <row r="106" spans="1:4" x14ac:dyDescent="0.25">
      <c r="A106">
        <v>30</v>
      </c>
      <c r="B106">
        <f>logtemperature__9[[#This Row],[time]]-13</f>
        <v>17</v>
      </c>
      <c r="C106">
        <v>77.599999999999994</v>
      </c>
      <c r="D106">
        <v>99.9</v>
      </c>
    </row>
    <row r="107" spans="1:4" x14ac:dyDescent="0.25">
      <c r="A107">
        <v>31</v>
      </c>
      <c r="B107">
        <f>logtemperature__9[[#This Row],[time]]-13</f>
        <v>18</v>
      </c>
      <c r="C107">
        <v>78.099999999999994</v>
      </c>
      <c r="D107">
        <v>99.9</v>
      </c>
    </row>
    <row r="108" spans="1:4" x14ac:dyDescent="0.25">
      <c r="A108">
        <v>31</v>
      </c>
      <c r="B108">
        <f>logtemperature__9[[#This Row],[time]]-13</f>
        <v>18</v>
      </c>
      <c r="C108">
        <v>78.900000000000006</v>
      </c>
      <c r="D108">
        <v>99.9</v>
      </c>
    </row>
    <row r="109" spans="1:4" x14ac:dyDescent="0.25">
      <c r="A109">
        <v>31</v>
      </c>
      <c r="B109">
        <f>logtemperature__9[[#This Row],[time]]-13</f>
        <v>18</v>
      </c>
      <c r="C109">
        <v>79.3</v>
      </c>
      <c r="D109">
        <v>99.9</v>
      </c>
    </row>
    <row r="110" spans="1:4" x14ac:dyDescent="0.25">
      <c r="A110">
        <v>31</v>
      </c>
      <c r="B110">
        <f>logtemperature__9[[#This Row],[time]]-13</f>
        <v>18</v>
      </c>
      <c r="C110">
        <v>79</v>
      </c>
      <c r="D110">
        <v>99.9</v>
      </c>
    </row>
    <row r="111" spans="1:4" x14ac:dyDescent="0.25">
      <c r="A111">
        <v>31</v>
      </c>
      <c r="B111">
        <f>logtemperature__9[[#This Row],[time]]-13</f>
        <v>18</v>
      </c>
      <c r="C111">
        <v>78.3</v>
      </c>
      <c r="D111">
        <v>99.9</v>
      </c>
    </row>
    <row r="112" spans="1:4" x14ac:dyDescent="0.25">
      <c r="A112">
        <v>31</v>
      </c>
      <c r="B112">
        <f>logtemperature__9[[#This Row],[time]]-13</f>
        <v>18</v>
      </c>
      <c r="C112">
        <v>78.599999999999994</v>
      </c>
      <c r="D112">
        <v>99.9</v>
      </c>
    </row>
    <row r="113" spans="1:4" x14ac:dyDescent="0.25">
      <c r="A113">
        <v>32</v>
      </c>
      <c r="B113">
        <f>logtemperature__9[[#This Row],[time]]-13</f>
        <v>19</v>
      </c>
      <c r="C113">
        <v>79</v>
      </c>
      <c r="D113">
        <v>99.9</v>
      </c>
    </row>
    <row r="114" spans="1:4" x14ac:dyDescent="0.25">
      <c r="A114">
        <v>32</v>
      </c>
      <c r="B114">
        <f>logtemperature__9[[#This Row],[time]]-13</f>
        <v>19</v>
      </c>
      <c r="C114">
        <v>80.099999999999994</v>
      </c>
      <c r="D114">
        <v>48.7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25029-3FAD-437E-BEB3-7C0090946A08}">
  <dimension ref="A1:D101"/>
  <sheetViews>
    <sheetView topLeftCell="A54" workbookViewId="0">
      <selection activeCell="N95" sqref="N95"/>
    </sheetView>
  </sheetViews>
  <sheetFormatPr defaultColWidth="7.5703125" defaultRowHeight="15" x14ac:dyDescent="0.25"/>
  <cols>
    <col min="3" max="3" width="5" bestFit="1" customWidth="1"/>
  </cols>
  <sheetData>
    <row r="1" spans="1:4" x14ac:dyDescent="0.25">
      <c r="A1" t="s">
        <v>5</v>
      </c>
      <c r="B1" t="s">
        <v>7</v>
      </c>
      <c r="C1" t="s">
        <v>12</v>
      </c>
      <c r="D1" t="s">
        <v>11</v>
      </c>
    </row>
    <row r="2" spans="1:4" x14ac:dyDescent="0.25">
      <c r="A2">
        <v>17</v>
      </c>
      <c r="B2">
        <f>logtemperature__10[[#This Row],[time]]-17</f>
        <v>0</v>
      </c>
      <c r="C2">
        <v>21.5</v>
      </c>
      <c r="D2">
        <v>0</v>
      </c>
    </row>
    <row r="3" spans="1:4" x14ac:dyDescent="0.25">
      <c r="A3">
        <v>18</v>
      </c>
      <c r="B3">
        <f>logtemperature__10[[#This Row],[time]]-17</f>
        <v>1</v>
      </c>
      <c r="C3">
        <v>21.8</v>
      </c>
      <c r="D3">
        <v>87.1</v>
      </c>
    </row>
    <row r="4" spans="1:4" x14ac:dyDescent="0.25">
      <c r="A4">
        <v>18</v>
      </c>
      <c r="B4">
        <f>logtemperature__10[[#This Row],[time]]-17</f>
        <v>1</v>
      </c>
      <c r="C4">
        <v>24.7</v>
      </c>
      <c r="D4">
        <v>98.3</v>
      </c>
    </row>
    <row r="5" spans="1:4" x14ac:dyDescent="0.25">
      <c r="A5">
        <v>18</v>
      </c>
      <c r="B5">
        <f>logtemperature__10[[#This Row],[time]]-17</f>
        <v>1</v>
      </c>
      <c r="C5">
        <v>28.8</v>
      </c>
      <c r="D5">
        <v>99.7</v>
      </c>
    </row>
    <row r="6" spans="1:4" x14ac:dyDescent="0.25">
      <c r="A6">
        <v>18</v>
      </c>
      <c r="B6">
        <f>logtemperature__10[[#This Row],[time]]-17</f>
        <v>1</v>
      </c>
      <c r="C6">
        <v>32.5</v>
      </c>
      <c r="D6">
        <v>99.9</v>
      </c>
    </row>
    <row r="7" spans="1:4" x14ac:dyDescent="0.25">
      <c r="A7">
        <v>18</v>
      </c>
      <c r="B7">
        <f>logtemperature__10[[#This Row],[time]]-17</f>
        <v>1</v>
      </c>
      <c r="C7">
        <v>35.700000000000003</v>
      </c>
      <c r="D7">
        <v>99.9</v>
      </c>
    </row>
    <row r="8" spans="1:4" x14ac:dyDescent="0.25">
      <c r="A8">
        <v>18</v>
      </c>
      <c r="B8">
        <f>logtemperature__10[[#This Row],[time]]-17</f>
        <v>1</v>
      </c>
      <c r="C8">
        <v>38.4</v>
      </c>
      <c r="D8">
        <v>99.9</v>
      </c>
    </row>
    <row r="9" spans="1:4" x14ac:dyDescent="0.25">
      <c r="A9">
        <v>19</v>
      </c>
      <c r="B9">
        <f>logtemperature__10[[#This Row],[time]]-17</f>
        <v>2</v>
      </c>
      <c r="C9">
        <v>40.200000000000003</v>
      </c>
      <c r="D9">
        <v>99.9</v>
      </c>
    </row>
    <row r="10" spans="1:4" x14ac:dyDescent="0.25">
      <c r="A10">
        <v>19</v>
      </c>
      <c r="B10">
        <f>logtemperature__10[[#This Row],[time]]-17</f>
        <v>2</v>
      </c>
      <c r="C10">
        <v>41.5</v>
      </c>
      <c r="D10">
        <v>99.9</v>
      </c>
    </row>
    <row r="11" spans="1:4" x14ac:dyDescent="0.25">
      <c r="A11">
        <v>19</v>
      </c>
      <c r="B11">
        <f>logtemperature__10[[#This Row],[time]]-17</f>
        <v>2</v>
      </c>
      <c r="C11">
        <v>42.1</v>
      </c>
      <c r="D11">
        <v>99.9</v>
      </c>
    </row>
    <row r="12" spans="1:4" x14ac:dyDescent="0.25">
      <c r="A12">
        <v>19</v>
      </c>
      <c r="B12">
        <f>logtemperature__10[[#This Row],[time]]-17</f>
        <v>2</v>
      </c>
      <c r="C12">
        <v>43.3</v>
      </c>
      <c r="D12">
        <v>99.9</v>
      </c>
    </row>
    <row r="13" spans="1:4" x14ac:dyDescent="0.25">
      <c r="A13">
        <v>19</v>
      </c>
      <c r="B13">
        <f>logtemperature__10[[#This Row],[time]]-17</f>
        <v>2</v>
      </c>
      <c r="C13">
        <v>44.5</v>
      </c>
      <c r="D13">
        <v>99.9</v>
      </c>
    </row>
    <row r="14" spans="1:4" x14ac:dyDescent="0.25">
      <c r="A14">
        <v>19</v>
      </c>
      <c r="B14">
        <f>logtemperature__10[[#This Row],[time]]-17</f>
        <v>2</v>
      </c>
      <c r="C14">
        <v>45.8</v>
      </c>
      <c r="D14">
        <v>99.9</v>
      </c>
    </row>
    <row r="15" spans="1:4" x14ac:dyDescent="0.25">
      <c r="A15">
        <v>20</v>
      </c>
      <c r="B15">
        <f>logtemperature__10[[#This Row],[time]]-17</f>
        <v>3</v>
      </c>
      <c r="C15">
        <v>46.8</v>
      </c>
      <c r="D15">
        <v>99.9</v>
      </c>
    </row>
    <row r="16" spans="1:4" x14ac:dyDescent="0.25">
      <c r="A16">
        <v>20</v>
      </c>
      <c r="B16">
        <f>logtemperature__10[[#This Row],[time]]-17</f>
        <v>3</v>
      </c>
      <c r="C16">
        <v>46.9</v>
      </c>
      <c r="D16">
        <v>99.9</v>
      </c>
    </row>
    <row r="17" spans="1:4" x14ac:dyDescent="0.25">
      <c r="A17">
        <v>20</v>
      </c>
      <c r="B17">
        <f>logtemperature__10[[#This Row],[time]]-17</f>
        <v>3</v>
      </c>
      <c r="C17">
        <v>47.9</v>
      </c>
      <c r="D17">
        <v>99.9</v>
      </c>
    </row>
    <row r="18" spans="1:4" x14ac:dyDescent="0.25">
      <c r="A18">
        <v>20</v>
      </c>
      <c r="B18">
        <f>logtemperature__10[[#This Row],[time]]-17</f>
        <v>3</v>
      </c>
      <c r="C18">
        <v>48.9</v>
      </c>
      <c r="D18">
        <v>99.9</v>
      </c>
    </row>
    <row r="19" spans="1:4" x14ac:dyDescent="0.25">
      <c r="A19">
        <v>20</v>
      </c>
      <c r="B19">
        <f>logtemperature__10[[#This Row],[time]]-17</f>
        <v>3</v>
      </c>
      <c r="C19">
        <v>49.5</v>
      </c>
      <c r="D19">
        <v>99.9</v>
      </c>
    </row>
    <row r="20" spans="1:4" x14ac:dyDescent="0.25">
      <c r="A20">
        <v>20</v>
      </c>
      <c r="B20">
        <f>logtemperature__10[[#This Row],[time]]-17</f>
        <v>3</v>
      </c>
      <c r="C20">
        <v>50.3</v>
      </c>
      <c r="D20">
        <v>99.9</v>
      </c>
    </row>
    <row r="21" spans="1:4" x14ac:dyDescent="0.25">
      <c r="A21">
        <v>21</v>
      </c>
      <c r="B21">
        <f>logtemperature__10[[#This Row],[time]]-17</f>
        <v>4</v>
      </c>
      <c r="C21">
        <v>51.2</v>
      </c>
      <c r="D21">
        <v>99.9</v>
      </c>
    </row>
    <row r="22" spans="1:4" x14ac:dyDescent="0.25">
      <c r="A22">
        <v>21</v>
      </c>
      <c r="B22">
        <f>logtemperature__10[[#This Row],[time]]-17</f>
        <v>4</v>
      </c>
      <c r="C22">
        <v>52.1</v>
      </c>
      <c r="D22">
        <v>99.9</v>
      </c>
    </row>
    <row r="23" spans="1:4" x14ac:dyDescent="0.25">
      <c r="A23">
        <v>21</v>
      </c>
      <c r="B23">
        <f>logtemperature__10[[#This Row],[time]]-17</f>
        <v>4</v>
      </c>
      <c r="C23">
        <v>52.8</v>
      </c>
      <c r="D23">
        <v>99.9</v>
      </c>
    </row>
    <row r="24" spans="1:4" x14ac:dyDescent="0.25">
      <c r="A24">
        <v>21</v>
      </c>
      <c r="B24">
        <f>logtemperature__10[[#This Row],[time]]-17</f>
        <v>4</v>
      </c>
      <c r="C24">
        <v>53</v>
      </c>
      <c r="D24">
        <v>99.9</v>
      </c>
    </row>
    <row r="25" spans="1:4" x14ac:dyDescent="0.25">
      <c r="A25">
        <v>21</v>
      </c>
      <c r="B25">
        <f>logtemperature__10[[#This Row],[time]]-17</f>
        <v>4</v>
      </c>
      <c r="C25">
        <v>53.7</v>
      </c>
      <c r="D25">
        <v>99.9</v>
      </c>
    </row>
    <row r="26" spans="1:4" x14ac:dyDescent="0.25">
      <c r="A26">
        <v>22</v>
      </c>
      <c r="B26">
        <f>logtemperature__10[[#This Row],[time]]-17</f>
        <v>5</v>
      </c>
      <c r="C26">
        <v>54.8</v>
      </c>
      <c r="D26">
        <v>99.9</v>
      </c>
    </row>
    <row r="27" spans="1:4" x14ac:dyDescent="0.25">
      <c r="A27">
        <v>22</v>
      </c>
      <c r="B27">
        <f>logtemperature__10[[#This Row],[time]]-17</f>
        <v>5</v>
      </c>
      <c r="C27">
        <v>55.4</v>
      </c>
      <c r="D27">
        <v>99.9</v>
      </c>
    </row>
    <row r="28" spans="1:4" x14ac:dyDescent="0.25">
      <c r="A28">
        <v>22</v>
      </c>
      <c r="B28">
        <f>logtemperature__10[[#This Row],[time]]-17</f>
        <v>5</v>
      </c>
      <c r="C28">
        <v>56.4</v>
      </c>
      <c r="D28">
        <v>99.9</v>
      </c>
    </row>
    <row r="29" spans="1:4" x14ac:dyDescent="0.25">
      <c r="A29">
        <v>22</v>
      </c>
      <c r="B29">
        <f>logtemperature__10[[#This Row],[time]]-17</f>
        <v>5</v>
      </c>
      <c r="C29">
        <v>57.8</v>
      </c>
      <c r="D29">
        <v>99.9</v>
      </c>
    </row>
    <row r="30" spans="1:4" x14ac:dyDescent="0.25">
      <c r="A30">
        <v>22</v>
      </c>
      <c r="B30">
        <f>logtemperature__10[[#This Row],[time]]-17</f>
        <v>5</v>
      </c>
      <c r="C30">
        <v>57.8</v>
      </c>
      <c r="D30">
        <v>99.9</v>
      </c>
    </row>
    <row r="31" spans="1:4" x14ac:dyDescent="0.25">
      <c r="A31">
        <v>22</v>
      </c>
      <c r="B31">
        <f>logtemperature__10[[#This Row],[time]]-17</f>
        <v>5</v>
      </c>
      <c r="C31">
        <v>57.4</v>
      </c>
      <c r="D31">
        <v>99.9</v>
      </c>
    </row>
    <row r="32" spans="1:4" x14ac:dyDescent="0.25">
      <c r="A32">
        <v>23</v>
      </c>
      <c r="B32">
        <f>logtemperature__10[[#This Row],[time]]-17</f>
        <v>6</v>
      </c>
      <c r="C32">
        <v>58.6</v>
      </c>
      <c r="D32">
        <v>99.9</v>
      </c>
    </row>
    <row r="33" spans="1:4" x14ac:dyDescent="0.25">
      <c r="A33">
        <v>23</v>
      </c>
      <c r="B33">
        <f>logtemperature__10[[#This Row],[time]]-17</f>
        <v>6</v>
      </c>
      <c r="C33">
        <v>57.3</v>
      </c>
      <c r="D33">
        <v>99.9</v>
      </c>
    </row>
    <row r="34" spans="1:4" x14ac:dyDescent="0.25">
      <c r="A34">
        <v>23</v>
      </c>
      <c r="B34">
        <f>logtemperature__10[[#This Row],[time]]-17</f>
        <v>6</v>
      </c>
      <c r="C34">
        <v>59.7</v>
      </c>
      <c r="D34">
        <v>99.9</v>
      </c>
    </row>
    <row r="35" spans="1:4" x14ac:dyDescent="0.25">
      <c r="A35">
        <v>23</v>
      </c>
      <c r="B35">
        <f>logtemperature__10[[#This Row],[time]]-17</f>
        <v>6</v>
      </c>
      <c r="C35">
        <v>62.2</v>
      </c>
      <c r="D35">
        <v>99.9</v>
      </c>
    </row>
    <row r="36" spans="1:4" x14ac:dyDescent="0.25">
      <c r="A36">
        <v>23</v>
      </c>
      <c r="B36">
        <f>logtemperature__10[[#This Row],[time]]-17</f>
        <v>6</v>
      </c>
      <c r="C36">
        <v>63.2</v>
      </c>
      <c r="D36">
        <v>99.9</v>
      </c>
    </row>
    <row r="37" spans="1:4" x14ac:dyDescent="0.25">
      <c r="A37">
        <v>23</v>
      </c>
      <c r="B37">
        <f>logtemperature__10[[#This Row],[time]]-17</f>
        <v>6</v>
      </c>
      <c r="C37">
        <v>64.2</v>
      </c>
      <c r="D37">
        <v>99.9</v>
      </c>
    </row>
    <row r="38" spans="1:4" x14ac:dyDescent="0.25">
      <c r="A38">
        <v>24</v>
      </c>
      <c r="B38">
        <f>logtemperature__10[[#This Row],[time]]-17</f>
        <v>7</v>
      </c>
      <c r="C38">
        <v>63.6</v>
      </c>
      <c r="D38">
        <v>99.9</v>
      </c>
    </row>
    <row r="39" spans="1:4" x14ac:dyDescent="0.25">
      <c r="A39">
        <v>24</v>
      </c>
      <c r="B39">
        <f>logtemperature__10[[#This Row],[time]]-17</f>
        <v>7</v>
      </c>
      <c r="C39">
        <v>64.400000000000006</v>
      </c>
      <c r="D39">
        <v>99.9</v>
      </c>
    </row>
    <row r="40" spans="1:4" x14ac:dyDescent="0.25">
      <c r="A40">
        <v>24</v>
      </c>
      <c r="B40">
        <f>logtemperature__10[[#This Row],[time]]-17</f>
        <v>7</v>
      </c>
      <c r="C40">
        <v>65.2</v>
      </c>
      <c r="D40">
        <v>99.9</v>
      </c>
    </row>
    <row r="41" spans="1:4" x14ac:dyDescent="0.25">
      <c r="A41">
        <v>24</v>
      </c>
      <c r="B41">
        <f>logtemperature__10[[#This Row],[time]]-17</f>
        <v>7</v>
      </c>
      <c r="C41">
        <v>66.400000000000006</v>
      </c>
      <c r="D41">
        <v>99.9</v>
      </c>
    </row>
    <row r="42" spans="1:4" x14ac:dyDescent="0.25">
      <c r="A42">
        <v>24</v>
      </c>
      <c r="B42">
        <f>logtemperature__10[[#This Row],[time]]-17</f>
        <v>7</v>
      </c>
      <c r="C42">
        <v>66.8</v>
      </c>
      <c r="D42">
        <v>99.9</v>
      </c>
    </row>
    <row r="43" spans="1:4" x14ac:dyDescent="0.25">
      <c r="A43">
        <v>24</v>
      </c>
      <c r="B43">
        <f>logtemperature__10[[#This Row],[time]]-17</f>
        <v>7</v>
      </c>
      <c r="C43">
        <v>67.3</v>
      </c>
      <c r="D43">
        <v>99.9</v>
      </c>
    </row>
    <row r="44" spans="1:4" x14ac:dyDescent="0.25">
      <c r="A44">
        <v>25</v>
      </c>
      <c r="B44">
        <f>logtemperature__10[[#This Row],[time]]-17</f>
        <v>8</v>
      </c>
      <c r="C44">
        <v>68.5</v>
      </c>
      <c r="D44">
        <v>99.9</v>
      </c>
    </row>
    <row r="45" spans="1:4" x14ac:dyDescent="0.25">
      <c r="A45">
        <v>25</v>
      </c>
      <c r="B45">
        <f>logtemperature__10[[#This Row],[time]]-17</f>
        <v>8</v>
      </c>
      <c r="C45">
        <v>68.599999999999994</v>
      </c>
      <c r="D45">
        <v>99.9</v>
      </c>
    </row>
    <row r="46" spans="1:4" x14ac:dyDescent="0.25">
      <c r="A46">
        <v>25</v>
      </c>
      <c r="B46">
        <f>logtemperature__10[[#This Row],[time]]-17</f>
        <v>8</v>
      </c>
      <c r="C46">
        <v>68.8</v>
      </c>
      <c r="D46">
        <v>99.9</v>
      </c>
    </row>
    <row r="47" spans="1:4" x14ac:dyDescent="0.25">
      <c r="A47">
        <v>25</v>
      </c>
      <c r="B47">
        <f>logtemperature__10[[#This Row],[time]]-17</f>
        <v>8</v>
      </c>
      <c r="C47">
        <v>69.8</v>
      </c>
      <c r="D47">
        <v>99.9</v>
      </c>
    </row>
    <row r="48" spans="1:4" x14ac:dyDescent="0.25">
      <c r="A48">
        <v>25</v>
      </c>
      <c r="B48">
        <f>logtemperature__10[[#This Row],[time]]-17</f>
        <v>8</v>
      </c>
      <c r="C48">
        <v>70.3</v>
      </c>
      <c r="D48">
        <v>99.9</v>
      </c>
    </row>
    <row r="49" spans="1:4" x14ac:dyDescent="0.25">
      <c r="A49">
        <v>25</v>
      </c>
      <c r="B49">
        <f>logtemperature__10[[#This Row],[time]]-17</f>
        <v>8</v>
      </c>
      <c r="C49">
        <v>70.599999999999994</v>
      </c>
      <c r="D49">
        <v>99.9</v>
      </c>
    </row>
    <row r="50" spans="1:4" x14ac:dyDescent="0.25">
      <c r="A50">
        <v>26</v>
      </c>
      <c r="B50">
        <f>logtemperature__10[[#This Row],[time]]-17</f>
        <v>9</v>
      </c>
      <c r="C50">
        <v>71.2</v>
      </c>
      <c r="D50">
        <v>99.9</v>
      </c>
    </row>
    <row r="51" spans="1:4" x14ac:dyDescent="0.25">
      <c r="A51">
        <v>26</v>
      </c>
      <c r="B51">
        <f>logtemperature__10[[#This Row],[time]]-17</f>
        <v>9</v>
      </c>
      <c r="C51">
        <v>72</v>
      </c>
      <c r="D51">
        <v>99.9</v>
      </c>
    </row>
    <row r="52" spans="1:4" x14ac:dyDescent="0.25">
      <c r="A52">
        <v>26</v>
      </c>
      <c r="B52">
        <f>logtemperature__10[[#This Row],[time]]-17</f>
        <v>9</v>
      </c>
      <c r="C52">
        <v>72.7</v>
      </c>
      <c r="D52">
        <v>99.9</v>
      </c>
    </row>
    <row r="53" spans="1:4" x14ac:dyDescent="0.25">
      <c r="A53">
        <v>26</v>
      </c>
      <c r="B53">
        <f>logtemperature__10[[#This Row],[time]]-17</f>
        <v>9</v>
      </c>
      <c r="C53">
        <v>72.599999999999994</v>
      </c>
      <c r="D53">
        <v>99.9</v>
      </c>
    </row>
    <row r="54" spans="1:4" x14ac:dyDescent="0.25">
      <c r="A54">
        <v>26</v>
      </c>
      <c r="B54">
        <f>logtemperature__10[[#This Row],[time]]-17</f>
        <v>9</v>
      </c>
      <c r="C54">
        <v>73.2</v>
      </c>
      <c r="D54">
        <v>99.9</v>
      </c>
    </row>
    <row r="55" spans="1:4" x14ac:dyDescent="0.25">
      <c r="A55">
        <v>26</v>
      </c>
      <c r="B55">
        <f>logtemperature__10[[#This Row],[time]]-17</f>
        <v>9</v>
      </c>
      <c r="C55">
        <v>73.599999999999994</v>
      </c>
      <c r="D55">
        <v>99.9</v>
      </c>
    </row>
    <row r="56" spans="1:4" x14ac:dyDescent="0.25">
      <c r="A56">
        <v>27</v>
      </c>
      <c r="B56">
        <f>logtemperature__10[[#This Row],[time]]-17</f>
        <v>10</v>
      </c>
      <c r="C56">
        <v>73.099999999999994</v>
      </c>
      <c r="D56">
        <v>99.9</v>
      </c>
    </row>
    <row r="57" spans="1:4" x14ac:dyDescent="0.25">
      <c r="A57">
        <v>27</v>
      </c>
      <c r="B57">
        <f>logtemperature__10[[#This Row],[time]]-17</f>
        <v>10</v>
      </c>
      <c r="C57">
        <v>73.599999999999994</v>
      </c>
      <c r="D57">
        <v>99.9</v>
      </c>
    </row>
    <row r="58" spans="1:4" x14ac:dyDescent="0.25">
      <c r="A58">
        <v>27</v>
      </c>
      <c r="B58">
        <f>logtemperature__10[[#This Row],[time]]-17</f>
        <v>10</v>
      </c>
      <c r="C58">
        <v>73.5</v>
      </c>
      <c r="D58">
        <v>99.9</v>
      </c>
    </row>
    <row r="59" spans="1:4" x14ac:dyDescent="0.25">
      <c r="A59">
        <v>27</v>
      </c>
      <c r="B59">
        <f>logtemperature__10[[#This Row],[time]]-17</f>
        <v>10</v>
      </c>
      <c r="C59">
        <v>74.2</v>
      </c>
      <c r="D59">
        <v>99.9</v>
      </c>
    </row>
    <row r="60" spans="1:4" x14ac:dyDescent="0.25">
      <c r="A60">
        <v>27</v>
      </c>
      <c r="B60">
        <f>logtemperature__10[[#This Row],[time]]-17</f>
        <v>10</v>
      </c>
      <c r="C60">
        <v>74.5</v>
      </c>
      <c r="D60">
        <v>99.9</v>
      </c>
    </row>
    <row r="61" spans="1:4" x14ac:dyDescent="0.25">
      <c r="A61">
        <v>27</v>
      </c>
      <c r="B61">
        <f>logtemperature__10[[#This Row],[time]]-17</f>
        <v>10</v>
      </c>
      <c r="C61">
        <v>74.400000000000006</v>
      </c>
      <c r="D61">
        <v>99.9</v>
      </c>
    </row>
    <row r="62" spans="1:4" x14ac:dyDescent="0.25">
      <c r="A62">
        <v>28</v>
      </c>
      <c r="B62">
        <f>logtemperature__10[[#This Row],[time]]-17</f>
        <v>11</v>
      </c>
      <c r="C62">
        <v>74.599999999999994</v>
      </c>
      <c r="D62">
        <v>99.9</v>
      </c>
    </row>
    <row r="63" spans="1:4" x14ac:dyDescent="0.25">
      <c r="A63">
        <v>28</v>
      </c>
      <c r="B63">
        <f>logtemperature__10[[#This Row],[time]]-17</f>
        <v>11</v>
      </c>
      <c r="C63">
        <v>75.400000000000006</v>
      </c>
      <c r="D63">
        <v>99.9</v>
      </c>
    </row>
    <row r="64" spans="1:4" x14ac:dyDescent="0.25">
      <c r="A64">
        <v>28</v>
      </c>
      <c r="B64">
        <f>logtemperature__10[[#This Row],[time]]-17</f>
        <v>11</v>
      </c>
      <c r="C64">
        <v>75.8</v>
      </c>
      <c r="D64">
        <v>99.9</v>
      </c>
    </row>
    <row r="65" spans="1:4" x14ac:dyDescent="0.25">
      <c r="A65">
        <v>28</v>
      </c>
      <c r="B65">
        <f>logtemperature__10[[#This Row],[time]]-17</f>
        <v>11</v>
      </c>
      <c r="C65">
        <v>75.7</v>
      </c>
      <c r="D65">
        <v>99.9</v>
      </c>
    </row>
    <row r="66" spans="1:4" x14ac:dyDescent="0.25">
      <c r="A66">
        <v>28</v>
      </c>
      <c r="B66">
        <f>logtemperature__10[[#This Row],[time]]-17</f>
        <v>11</v>
      </c>
      <c r="C66">
        <v>76.2</v>
      </c>
      <c r="D66">
        <v>99.9</v>
      </c>
    </row>
    <row r="67" spans="1:4" x14ac:dyDescent="0.25">
      <c r="A67">
        <v>28</v>
      </c>
      <c r="B67">
        <f>logtemperature__10[[#This Row],[time]]-17</f>
        <v>11</v>
      </c>
      <c r="C67">
        <v>76.5</v>
      </c>
      <c r="D67">
        <v>99.9</v>
      </c>
    </row>
    <row r="68" spans="1:4" x14ac:dyDescent="0.25">
      <c r="A68">
        <v>29</v>
      </c>
      <c r="B68">
        <f>logtemperature__10[[#This Row],[time]]-17</f>
        <v>12</v>
      </c>
      <c r="C68">
        <v>76.900000000000006</v>
      </c>
      <c r="D68">
        <v>99.9</v>
      </c>
    </row>
    <row r="69" spans="1:4" x14ac:dyDescent="0.25">
      <c r="A69">
        <v>29</v>
      </c>
      <c r="B69">
        <f>logtemperature__10[[#This Row],[time]]-17</f>
        <v>12</v>
      </c>
      <c r="C69">
        <v>77.7</v>
      </c>
      <c r="D69">
        <v>99.9</v>
      </c>
    </row>
    <row r="70" spans="1:4" x14ac:dyDescent="0.25">
      <c r="A70">
        <v>29</v>
      </c>
      <c r="B70">
        <f>logtemperature__10[[#This Row],[time]]-17</f>
        <v>12</v>
      </c>
      <c r="C70">
        <v>77.5</v>
      </c>
      <c r="D70">
        <v>99.9</v>
      </c>
    </row>
    <row r="71" spans="1:4" x14ac:dyDescent="0.25">
      <c r="A71">
        <v>29</v>
      </c>
      <c r="B71">
        <f>logtemperature__10[[#This Row],[time]]-17</f>
        <v>12</v>
      </c>
      <c r="C71">
        <v>78.2</v>
      </c>
      <c r="D71">
        <v>99.9</v>
      </c>
    </row>
    <row r="72" spans="1:4" x14ac:dyDescent="0.25">
      <c r="A72">
        <v>29</v>
      </c>
      <c r="B72">
        <f>logtemperature__10[[#This Row],[time]]-17</f>
        <v>12</v>
      </c>
      <c r="C72">
        <v>78.5</v>
      </c>
      <c r="D72">
        <v>99.9</v>
      </c>
    </row>
    <row r="73" spans="1:4" x14ac:dyDescent="0.25">
      <c r="A73">
        <v>29</v>
      </c>
      <c r="B73">
        <f>logtemperature__10[[#This Row],[time]]-17</f>
        <v>12</v>
      </c>
      <c r="C73">
        <v>79.099999999999994</v>
      </c>
      <c r="D73">
        <v>99.9</v>
      </c>
    </row>
    <row r="74" spans="1:4" x14ac:dyDescent="0.25">
      <c r="A74">
        <v>30</v>
      </c>
      <c r="B74">
        <f>logtemperature__10[[#This Row],[time]]-17</f>
        <v>13</v>
      </c>
      <c r="C74">
        <v>79.3</v>
      </c>
      <c r="D74">
        <v>99.9</v>
      </c>
    </row>
    <row r="75" spans="1:4" x14ac:dyDescent="0.25">
      <c r="A75">
        <v>30</v>
      </c>
      <c r="B75">
        <f>logtemperature__10[[#This Row],[time]]-17</f>
        <v>13</v>
      </c>
      <c r="C75">
        <v>79.5</v>
      </c>
      <c r="D75">
        <v>99.9</v>
      </c>
    </row>
    <row r="76" spans="1:4" x14ac:dyDescent="0.25">
      <c r="A76">
        <v>30</v>
      </c>
      <c r="B76">
        <f>logtemperature__10[[#This Row],[time]]-17</f>
        <v>13</v>
      </c>
      <c r="C76">
        <v>79.900000000000006</v>
      </c>
      <c r="D76">
        <v>99.9</v>
      </c>
    </row>
    <row r="77" spans="1:4" x14ac:dyDescent="0.25">
      <c r="A77">
        <v>30</v>
      </c>
      <c r="B77">
        <f>logtemperature__10[[#This Row],[time]]-17</f>
        <v>13</v>
      </c>
      <c r="C77">
        <v>80.400000000000006</v>
      </c>
      <c r="D77">
        <v>99.9</v>
      </c>
    </row>
    <row r="78" spans="1:4" x14ac:dyDescent="0.25">
      <c r="A78">
        <v>30</v>
      </c>
      <c r="B78">
        <f>logtemperature__10[[#This Row],[time]]-17</f>
        <v>13</v>
      </c>
      <c r="C78">
        <v>79.900000000000006</v>
      </c>
      <c r="D78">
        <v>35</v>
      </c>
    </row>
    <row r="79" spans="1:4" x14ac:dyDescent="0.25">
      <c r="A79">
        <v>30</v>
      </c>
      <c r="B79">
        <f>logtemperature__10[[#This Row],[time]]-17</f>
        <v>13</v>
      </c>
      <c r="C79">
        <v>79.3</v>
      </c>
      <c r="D79">
        <v>86.6</v>
      </c>
    </row>
    <row r="80" spans="1:4" x14ac:dyDescent="0.25">
      <c r="A80">
        <v>31</v>
      </c>
      <c r="B80">
        <f>logtemperature__10[[#This Row],[time]]-17</f>
        <v>14</v>
      </c>
      <c r="C80">
        <v>79.900000000000006</v>
      </c>
      <c r="D80">
        <v>98.3</v>
      </c>
    </row>
    <row r="81" spans="1:4" x14ac:dyDescent="0.25">
      <c r="A81">
        <v>31</v>
      </c>
      <c r="B81">
        <f>logtemperature__10[[#This Row],[time]]-17</f>
        <v>14</v>
      </c>
      <c r="C81">
        <v>80.400000000000006</v>
      </c>
      <c r="D81">
        <v>18.100000000000001</v>
      </c>
    </row>
    <row r="82" spans="1:4" x14ac:dyDescent="0.25">
      <c r="A82">
        <v>31</v>
      </c>
      <c r="B82">
        <f>logtemperature__10[[#This Row],[time]]-17</f>
        <v>14</v>
      </c>
      <c r="C82">
        <v>79.400000000000006</v>
      </c>
      <c r="D82">
        <v>62.6</v>
      </c>
    </row>
    <row r="83" spans="1:4" x14ac:dyDescent="0.25">
      <c r="A83">
        <v>31</v>
      </c>
      <c r="B83">
        <f>logtemperature__10[[#This Row],[time]]-17</f>
        <v>14</v>
      </c>
      <c r="C83">
        <v>78.900000000000006</v>
      </c>
      <c r="D83">
        <v>95.1</v>
      </c>
    </row>
    <row r="84" spans="1:4" x14ac:dyDescent="0.25">
      <c r="A84">
        <v>31</v>
      </c>
      <c r="B84">
        <f>logtemperature__10[[#This Row],[time]]-17</f>
        <v>14</v>
      </c>
      <c r="C84">
        <v>79.900000000000006</v>
      </c>
      <c r="D84">
        <v>99.3</v>
      </c>
    </row>
    <row r="85" spans="1:4" x14ac:dyDescent="0.25">
      <c r="A85">
        <v>31</v>
      </c>
      <c r="B85">
        <f>logtemperature__10[[#This Row],[time]]-17</f>
        <v>14</v>
      </c>
      <c r="C85">
        <v>80.8</v>
      </c>
      <c r="D85">
        <v>12.7</v>
      </c>
    </row>
    <row r="86" spans="1:4" x14ac:dyDescent="0.25">
      <c r="A86">
        <v>32</v>
      </c>
      <c r="B86">
        <f>logtemperature__10[[#This Row],[time]]-17</f>
        <v>15</v>
      </c>
      <c r="C86">
        <v>79.400000000000006</v>
      </c>
      <c r="D86">
        <v>50.3</v>
      </c>
    </row>
    <row r="87" spans="1:4" x14ac:dyDescent="0.25">
      <c r="A87">
        <v>32</v>
      </c>
      <c r="B87">
        <f>logtemperature__10[[#This Row],[time]]-17</f>
        <v>15</v>
      </c>
      <c r="C87">
        <v>78.8</v>
      </c>
      <c r="D87">
        <v>93.6</v>
      </c>
    </row>
    <row r="88" spans="1:4" x14ac:dyDescent="0.25">
      <c r="A88">
        <v>32</v>
      </c>
      <c r="B88">
        <f>logtemperature__10[[#This Row],[time]]-17</f>
        <v>15</v>
      </c>
      <c r="C88">
        <v>79.7</v>
      </c>
      <c r="D88">
        <v>99.1</v>
      </c>
    </row>
    <row r="89" spans="1:4" x14ac:dyDescent="0.25">
      <c r="A89">
        <v>32</v>
      </c>
      <c r="B89">
        <f>logtemperature__10[[#This Row],[time]]-17</f>
        <v>15</v>
      </c>
      <c r="C89">
        <v>81</v>
      </c>
      <c r="D89">
        <v>21.3</v>
      </c>
    </row>
    <row r="90" spans="1:4" x14ac:dyDescent="0.25">
      <c r="A90">
        <v>32</v>
      </c>
      <c r="B90">
        <f>logtemperature__10[[#This Row],[time]]-17</f>
        <v>15</v>
      </c>
      <c r="C90">
        <v>80</v>
      </c>
      <c r="D90">
        <v>2.7</v>
      </c>
    </row>
    <row r="91" spans="1:4" x14ac:dyDescent="0.25">
      <c r="A91">
        <v>32</v>
      </c>
      <c r="B91">
        <f>logtemperature__10[[#This Row],[time]]-17</f>
        <v>15</v>
      </c>
      <c r="C91">
        <v>78.900000000000006</v>
      </c>
      <c r="D91">
        <v>88.1</v>
      </c>
    </row>
    <row r="92" spans="1:4" x14ac:dyDescent="0.25">
      <c r="A92">
        <v>33</v>
      </c>
      <c r="B92">
        <f>logtemperature__10[[#This Row],[time]]-17</f>
        <v>16</v>
      </c>
      <c r="C92">
        <v>80.099999999999994</v>
      </c>
      <c r="D92">
        <v>79.900000000000006</v>
      </c>
    </row>
    <row r="93" spans="1:4" x14ac:dyDescent="0.25">
      <c r="A93">
        <v>33</v>
      </c>
      <c r="B93">
        <f>logtemperature__10[[#This Row],[time]]-17</f>
        <v>16</v>
      </c>
      <c r="C93">
        <v>81</v>
      </c>
      <c r="D93">
        <v>10.199999999999999</v>
      </c>
    </row>
    <row r="94" spans="1:4" x14ac:dyDescent="0.25">
      <c r="A94">
        <v>33</v>
      </c>
      <c r="B94">
        <f>logtemperature__10[[#This Row],[time]]-17</f>
        <v>16</v>
      </c>
      <c r="C94">
        <v>79.900000000000006</v>
      </c>
      <c r="D94">
        <v>6.3</v>
      </c>
    </row>
    <row r="95" spans="1:4" x14ac:dyDescent="0.25">
      <c r="A95">
        <v>33</v>
      </c>
      <c r="B95">
        <f>logtemperature__10[[#This Row],[time]]-17</f>
        <v>16</v>
      </c>
      <c r="C95">
        <v>78.8</v>
      </c>
      <c r="D95">
        <v>87.9</v>
      </c>
    </row>
    <row r="96" spans="1:4" x14ac:dyDescent="0.25">
      <c r="A96">
        <v>33</v>
      </c>
      <c r="B96">
        <f>logtemperature__10[[#This Row],[time]]-17</f>
        <v>16</v>
      </c>
      <c r="C96">
        <v>79.599999999999994</v>
      </c>
      <c r="D96">
        <v>98.5</v>
      </c>
    </row>
    <row r="97" spans="1:4" x14ac:dyDescent="0.25">
      <c r="A97">
        <v>33</v>
      </c>
      <c r="B97">
        <f>logtemperature__10[[#This Row],[time]]-17</f>
        <v>16</v>
      </c>
      <c r="C97">
        <v>80.8</v>
      </c>
      <c r="D97">
        <v>15.5</v>
      </c>
    </row>
    <row r="98" spans="1:4" x14ac:dyDescent="0.25">
      <c r="A98">
        <v>34</v>
      </c>
      <c r="B98">
        <f>logtemperature__10[[#This Row],[time]]-17</f>
        <v>17</v>
      </c>
      <c r="C98">
        <v>80.5</v>
      </c>
      <c r="D98">
        <v>2</v>
      </c>
    </row>
    <row r="99" spans="1:4" x14ac:dyDescent="0.25">
      <c r="A99">
        <v>34</v>
      </c>
      <c r="B99">
        <f>logtemperature__10[[#This Row],[time]]-17</f>
        <v>17</v>
      </c>
      <c r="C99">
        <v>79</v>
      </c>
      <c r="D99">
        <v>75.2</v>
      </c>
    </row>
    <row r="100" spans="1:4" x14ac:dyDescent="0.25">
      <c r="A100">
        <v>34</v>
      </c>
      <c r="B100">
        <f>logtemperature__10[[#This Row],[time]]-17</f>
        <v>17</v>
      </c>
      <c r="C100">
        <v>79.099999999999994</v>
      </c>
      <c r="D100">
        <v>96.8</v>
      </c>
    </row>
    <row r="101" spans="1:4" x14ac:dyDescent="0.25">
      <c r="A101">
        <v>34</v>
      </c>
      <c r="B101">
        <f>logtemperature__10[[#This Row],[time]]-17</f>
        <v>17</v>
      </c>
      <c r="C101">
        <v>80.900000000000006</v>
      </c>
      <c r="D101">
        <v>28.7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27534-1EDC-41DD-AF4A-B4A015083202}">
  <dimension ref="A1:C100"/>
  <sheetViews>
    <sheetView topLeftCell="A43" workbookViewId="0"/>
  </sheetViews>
  <sheetFormatPr defaultRowHeight="15" x14ac:dyDescent="0.25"/>
  <cols>
    <col min="1" max="1" width="7.42578125" bestFit="1" customWidth="1"/>
    <col min="2" max="2" width="5" bestFit="1" customWidth="1"/>
    <col min="3" max="3" width="7.85546875" bestFit="1" customWidth="1"/>
  </cols>
  <sheetData>
    <row r="1" spans="1:3" x14ac:dyDescent="0.25">
      <c r="A1" t="s">
        <v>5</v>
      </c>
      <c r="B1" t="s">
        <v>10</v>
      </c>
      <c r="C1" t="s">
        <v>11</v>
      </c>
    </row>
    <row r="2" spans="1:3" x14ac:dyDescent="0.25">
      <c r="A2">
        <v>18</v>
      </c>
      <c r="B2">
        <v>21.8</v>
      </c>
      <c r="C2">
        <v>87.1</v>
      </c>
    </row>
    <row r="3" spans="1:3" x14ac:dyDescent="0.25">
      <c r="A3">
        <v>18</v>
      </c>
      <c r="B3">
        <v>24.7</v>
      </c>
      <c r="C3">
        <v>98.3</v>
      </c>
    </row>
    <row r="4" spans="1:3" x14ac:dyDescent="0.25">
      <c r="A4">
        <v>18</v>
      </c>
      <c r="B4">
        <v>28.8</v>
      </c>
      <c r="C4">
        <v>99.7</v>
      </c>
    </row>
    <row r="5" spans="1:3" x14ac:dyDescent="0.25">
      <c r="A5">
        <v>18</v>
      </c>
      <c r="B5">
        <v>32.5</v>
      </c>
      <c r="C5">
        <v>99.9</v>
      </c>
    </row>
    <row r="6" spans="1:3" x14ac:dyDescent="0.25">
      <c r="A6">
        <v>18</v>
      </c>
      <c r="B6">
        <v>35.700000000000003</v>
      </c>
      <c r="C6">
        <v>99.9</v>
      </c>
    </row>
    <row r="7" spans="1:3" x14ac:dyDescent="0.25">
      <c r="A7">
        <v>18</v>
      </c>
      <c r="B7">
        <v>38.4</v>
      </c>
      <c r="C7">
        <v>99.9</v>
      </c>
    </row>
    <row r="8" spans="1:3" x14ac:dyDescent="0.25">
      <c r="A8">
        <v>19</v>
      </c>
      <c r="B8">
        <v>40.200000000000003</v>
      </c>
      <c r="C8">
        <v>99.9</v>
      </c>
    </row>
    <row r="9" spans="1:3" x14ac:dyDescent="0.25">
      <c r="A9">
        <v>19</v>
      </c>
      <c r="B9">
        <v>41.5</v>
      </c>
      <c r="C9">
        <v>99.9</v>
      </c>
    </row>
    <row r="10" spans="1:3" x14ac:dyDescent="0.25">
      <c r="A10">
        <v>19</v>
      </c>
      <c r="B10">
        <v>42.1</v>
      </c>
      <c r="C10">
        <v>99.9</v>
      </c>
    </row>
    <row r="11" spans="1:3" x14ac:dyDescent="0.25">
      <c r="A11">
        <v>19</v>
      </c>
      <c r="B11">
        <v>43.3</v>
      </c>
      <c r="C11">
        <v>99.9</v>
      </c>
    </row>
    <row r="12" spans="1:3" x14ac:dyDescent="0.25">
      <c r="A12">
        <v>19</v>
      </c>
      <c r="B12">
        <v>44.5</v>
      </c>
      <c r="C12">
        <v>99.9</v>
      </c>
    </row>
    <row r="13" spans="1:3" x14ac:dyDescent="0.25">
      <c r="A13">
        <v>19</v>
      </c>
      <c r="B13">
        <v>45.8</v>
      </c>
      <c r="C13">
        <v>99.9</v>
      </c>
    </row>
    <row r="14" spans="1:3" x14ac:dyDescent="0.25">
      <c r="A14">
        <v>20</v>
      </c>
      <c r="B14">
        <v>46.8</v>
      </c>
      <c r="C14">
        <v>99.9</v>
      </c>
    </row>
    <row r="15" spans="1:3" x14ac:dyDescent="0.25">
      <c r="A15">
        <v>20</v>
      </c>
      <c r="B15">
        <v>46.9</v>
      </c>
      <c r="C15">
        <v>99.9</v>
      </c>
    </row>
    <row r="16" spans="1:3" x14ac:dyDescent="0.25">
      <c r="A16">
        <v>20</v>
      </c>
      <c r="B16">
        <v>47.9</v>
      </c>
      <c r="C16">
        <v>99.9</v>
      </c>
    </row>
    <row r="17" spans="1:3" x14ac:dyDescent="0.25">
      <c r="A17">
        <v>20</v>
      </c>
      <c r="B17">
        <v>48.9</v>
      </c>
      <c r="C17">
        <v>99.9</v>
      </c>
    </row>
    <row r="18" spans="1:3" x14ac:dyDescent="0.25">
      <c r="A18">
        <v>20</v>
      </c>
      <c r="B18">
        <v>49.5</v>
      </c>
      <c r="C18">
        <v>99.9</v>
      </c>
    </row>
    <row r="19" spans="1:3" x14ac:dyDescent="0.25">
      <c r="A19">
        <v>20</v>
      </c>
      <c r="B19">
        <v>50.3</v>
      </c>
      <c r="C19">
        <v>99.9</v>
      </c>
    </row>
    <row r="20" spans="1:3" x14ac:dyDescent="0.25">
      <c r="A20">
        <v>21</v>
      </c>
      <c r="B20">
        <v>51.2</v>
      </c>
      <c r="C20">
        <v>99.9</v>
      </c>
    </row>
    <row r="21" spans="1:3" x14ac:dyDescent="0.25">
      <c r="A21">
        <v>21</v>
      </c>
      <c r="B21">
        <v>52.1</v>
      </c>
      <c r="C21">
        <v>99.9</v>
      </c>
    </row>
    <row r="22" spans="1:3" x14ac:dyDescent="0.25">
      <c r="A22">
        <v>21</v>
      </c>
      <c r="B22">
        <v>52.8</v>
      </c>
      <c r="C22">
        <v>99.9</v>
      </c>
    </row>
    <row r="23" spans="1:3" x14ac:dyDescent="0.25">
      <c r="A23">
        <v>21</v>
      </c>
      <c r="B23">
        <v>53</v>
      </c>
      <c r="C23">
        <v>99.9</v>
      </c>
    </row>
    <row r="24" spans="1:3" x14ac:dyDescent="0.25">
      <c r="A24">
        <v>21</v>
      </c>
      <c r="B24">
        <v>53.7</v>
      </c>
      <c r="C24">
        <v>99.9</v>
      </c>
    </row>
    <row r="25" spans="1:3" x14ac:dyDescent="0.25">
      <c r="A25">
        <v>22</v>
      </c>
      <c r="B25">
        <v>54.8</v>
      </c>
      <c r="C25">
        <v>99.9</v>
      </c>
    </row>
    <row r="26" spans="1:3" x14ac:dyDescent="0.25">
      <c r="A26">
        <v>22</v>
      </c>
      <c r="B26">
        <v>55.4</v>
      </c>
      <c r="C26">
        <v>99.9</v>
      </c>
    </row>
    <row r="27" spans="1:3" x14ac:dyDescent="0.25">
      <c r="A27">
        <v>22</v>
      </c>
      <c r="B27">
        <v>56.4</v>
      </c>
      <c r="C27">
        <v>99.9</v>
      </c>
    </row>
    <row r="28" spans="1:3" x14ac:dyDescent="0.25">
      <c r="A28">
        <v>22</v>
      </c>
      <c r="B28">
        <v>57.8</v>
      </c>
      <c r="C28">
        <v>99.9</v>
      </c>
    </row>
    <row r="29" spans="1:3" x14ac:dyDescent="0.25">
      <c r="A29">
        <v>22</v>
      </c>
      <c r="B29">
        <v>57.8</v>
      </c>
      <c r="C29">
        <v>99.9</v>
      </c>
    </row>
    <row r="30" spans="1:3" x14ac:dyDescent="0.25">
      <c r="A30">
        <v>22</v>
      </c>
      <c r="B30">
        <v>57.4</v>
      </c>
      <c r="C30">
        <v>99.9</v>
      </c>
    </row>
    <row r="31" spans="1:3" x14ac:dyDescent="0.25">
      <c r="A31">
        <v>23</v>
      </c>
      <c r="B31">
        <v>58.6</v>
      </c>
      <c r="C31">
        <v>99.9</v>
      </c>
    </row>
    <row r="32" spans="1:3" x14ac:dyDescent="0.25">
      <c r="A32">
        <v>23</v>
      </c>
      <c r="B32">
        <v>57.3</v>
      </c>
      <c r="C32">
        <v>99.9</v>
      </c>
    </row>
    <row r="33" spans="1:3" x14ac:dyDescent="0.25">
      <c r="A33">
        <v>23</v>
      </c>
      <c r="B33">
        <v>59.7</v>
      </c>
      <c r="C33">
        <v>99.9</v>
      </c>
    </row>
    <row r="34" spans="1:3" x14ac:dyDescent="0.25">
      <c r="A34">
        <v>23</v>
      </c>
      <c r="B34">
        <v>62.2</v>
      </c>
      <c r="C34">
        <v>99.9</v>
      </c>
    </row>
    <row r="35" spans="1:3" x14ac:dyDescent="0.25">
      <c r="A35">
        <v>23</v>
      </c>
      <c r="B35">
        <v>63.2</v>
      </c>
      <c r="C35">
        <v>99.9</v>
      </c>
    </row>
    <row r="36" spans="1:3" x14ac:dyDescent="0.25">
      <c r="A36">
        <v>23</v>
      </c>
      <c r="B36">
        <v>64.2</v>
      </c>
      <c r="C36">
        <v>99.9</v>
      </c>
    </row>
    <row r="37" spans="1:3" x14ac:dyDescent="0.25">
      <c r="A37">
        <v>24</v>
      </c>
      <c r="B37">
        <v>63.6</v>
      </c>
      <c r="C37">
        <v>99.9</v>
      </c>
    </row>
    <row r="38" spans="1:3" x14ac:dyDescent="0.25">
      <c r="A38">
        <v>24</v>
      </c>
      <c r="B38">
        <v>64.400000000000006</v>
      </c>
      <c r="C38">
        <v>99.9</v>
      </c>
    </row>
    <row r="39" spans="1:3" x14ac:dyDescent="0.25">
      <c r="A39">
        <v>24</v>
      </c>
      <c r="B39">
        <v>65.2</v>
      </c>
      <c r="C39">
        <v>99.9</v>
      </c>
    </row>
    <row r="40" spans="1:3" x14ac:dyDescent="0.25">
      <c r="A40">
        <v>24</v>
      </c>
      <c r="B40">
        <v>66.400000000000006</v>
      </c>
      <c r="C40">
        <v>99.9</v>
      </c>
    </row>
    <row r="41" spans="1:3" x14ac:dyDescent="0.25">
      <c r="A41">
        <v>24</v>
      </c>
      <c r="B41">
        <v>66.8</v>
      </c>
      <c r="C41">
        <v>99.9</v>
      </c>
    </row>
    <row r="42" spans="1:3" x14ac:dyDescent="0.25">
      <c r="A42">
        <v>24</v>
      </c>
      <c r="B42">
        <v>67.3</v>
      </c>
      <c r="C42">
        <v>99.9</v>
      </c>
    </row>
    <row r="43" spans="1:3" x14ac:dyDescent="0.25">
      <c r="A43">
        <v>25</v>
      </c>
      <c r="B43">
        <v>68.5</v>
      </c>
      <c r="C43">
        <v>99.9</v>
      </c>
    </row>
    <row r="44" spans="1:3" x14ac:dyDescent="0.25">
      <c r="A44">
        <v>25</v>
      </c>
      <c r="B44">
        <v>68.599999999999994</v>
      </c>
      <c r="C44">
        <v>99.9</v>
      </c>
    </row>
    <row r="45" spans="1:3" x14ac:dyDescent="0.25">
      <c r="A45">
        <v>25</v>
      </c>
      <c r="B45">
        <v>68.8</v>
      </c>
      <c r="C45">
        <v>99.9</v>
      </c>
    </row>
    <row r="46" spans="1:3" x14ac:dyDescent="0.25">
      <c r="A46">
        <v>25</v>
      </c>
      <c r="B46">
        <v>69.8</v>
      </c>
      <c r="C46">
        <v>99.9</v>
      </c>
    </row>
    <row r="47" spans="1:3" x14ac:dyDescent="0.25">
      <c r="A47">
        <v>25</v>
      </c>
      <c r="B47">
        <v>70.3</v>
      </c>
      <c r="C47">
        <v>99.9</v>
      </c>
    </row>
    <row r="48" spans="1:3" x14ac:dyDescent="0.25">
      <c r="A48">
        <v>25</v>
      </c>
      <c r="B48">
        <v>70.599999999999994</v>
      </c>
      <c r="C48">
        <v>99.9</v>
      </c>
    </row>
    <row r="49" spans="1:3" x14ac:dyDescent="0.25">
      <c r="A49">
        <v>26</v>
      </c>
      <c r="B49">
        <v>71.2</v>
      </c>
      <c r="C49">
        <v>99.9</v>
      </c>
    </row>
    <row r="50" spans="1:3" x14ac:dyDescent="0.25">
      <c r="A50">
        <v>26</v>
      </c>
      <c r="B50">
        <v>72</v>
      </c>
      <c r="C50">
        <v>99.9</v>
      </c>
    </row>
    <row r="51" spans="1:3" x14ac:dyDescent="0.25">
      <c r="A51">
        <v>26</v>
      </c>
      <c r="B51">
        <v>72.7</v>
      </c>
      <c r="C51">
        <v>99.9</v>
      </c>
    </row>
    <row r="52" spans="1:3" x14ac:dyDescent="0.25">
      <c r="A52">
        <v>26</v>
      </c>
      <c r="B52">
        <v>72.599999999999994</v>
      </c>
      <c r="C52">
        <v>99.9</v>
      </c>
    </row>
    <row r="53" spans="1:3" x14ac:dyDescent="0.25">
      <c r="A53">
        <v>26</v>
      </c>
      <c r="B53">
        <v>73.2</v>
      </c>
      <c r="C53">
        <v>99.9</v>
      </c>
    </row>
    <row r="54" spans="1:3" x14ac:dyDescent="0.25">
      <c r="A54">
        <v>26</v>
      </c>
      <c r="B54">
        <v>73.599999999999994</v>
      </c>
      <c r="C54">
        <v>99.9</v>
      </c>
    </row>
    <row r="55" spans="1:3" x14ac:dyDescent="0.25">
      <c r="A55">
        <v>27</v>
      </c>
      <c r="B55">
        <v>73.099999999999994</v>
      </c>
      <c r="C55">
        <v>99.9</v>
      </c>
    </row>
    <row r="56" spans="1:3" x14ac:dyDescent="0.25">
      <c r="A56">
        <v>27</v>
      </c>
      <c r="B56">
        <v>73.599999999999994</v>
      </c>
      <c r="C56">
        <v>99.9</v>
      </c>
    </row>
    <row r="57" spans="1:3" x14ac:dyDescent="0.25">
      <c r="A57">
        <v>27</v>
      </c>
      <c r="B57">
        <v>73.5</v>
      </c>
      <c r="C57">
        <v>99.9</v>
      </c>
    </row>
    <row r="58" spans="1:3" x14ac:dyDescent="0.25">
      <c r="A58">
        <v>27</v>
      </c>
      <c r="B58">
        <v>74.2</v>
      </c>
      <c r="C58">
        <v>99.9</v>
      </c>
    </row>
    <row r="59" spans="1:3" x14ac:dyDescent="0.25">
      <c r="A59">
        <v>27</v>
      </c>
      <c r="B59">
        <v>74.5</v>
      </c>
      <c r="C59">
        <v>99.9</v>
      </c>
    </row>
    <row r="60" spans="1:3" x14ac:dyDescent="0.25">
      <c r="A60">
        <v>27</v>
      </c>
      <c r="B60">
        <v>74.400000000000006</v>
      </c>
      <c r="C60">
        <v>99.9</v>
      </c>
    </row>
    <row r="61" spans="1:3" x14ac:dyDescent="0.25">
      <c r="A61">
        <v>28</v>
      </c>
      <c r="B61">
        <v>74.599999999999994</v>
      </c>
      <c r="C61">
        <v>99.9</v>
      </c>
    </row>
    <row r="62" spans="1:3" x14ac:dyDescent="0.25">
      <c r="A62">
        <v>28</v>
      </c>
      <c r="B62">
        <v>75.400000000000006</v>
      </c>
      <c r="C62">
        <v>99.9</v>
      </c>
    </row>
    <row r="63" spans="1:3" x14ac:dyDescent="0.25">
      <c r="A63">
        <v>28</v>
      </c>
      <c r="B63">
        <v>75.8</v>
      </c>
      <c r="C63">
        <v>99.9</v>
      </c>
    </row>
    <row r="64" spans="1:3" x14ac:dyDescent="0.25">
      <c r="A64">
        <v>28</v>
      </c>
      <c r="B64">
        <v>75.7</v>
      </c>
      <c r="C64">
        <v>99.9</v>
      </c>
    </row>
    <row r="65" spans="1:3" x14ac:dyDescent="0.25">
      <c r="A65">
        <v>28</v>
      </c>
      <c r="B65">
        <v>76.2</v>
      </c>
      <c r="C65">
        <v>99.9</v>
      </c>
    </row>
    <row r="66" spans="1:3" x14ac:dyDescent="0.25">
      <c r="A66">
        <v>28</v>
      </c>
      <c r="B66">
        <v>76.5</v>
      </c>
      <c r="C66">
        <v>99.9</v>
      </c>
    </row>
    <row r="67" spans="1:3" x14ac:dyDescent="0.25">
      <c r="A67">
        <v>29</v>
      </c>
      <c r="B67">
        <v>76.900000000000006</v>
      </c>
      <c r="C67">
        <v>99.9</v>
      </c>
    </row>
    <row r="68" spans="1:3" x14ac:dyDescent="0.25">
      <c r="A68">
        <v>29</v>
      </c>
      <c r="B68">
        <v>77.7</v>
      </c>
      <c r="C68">
        <v>99.9</v>
      </c>
    </row>
    <row r="69" spans="1:3" x14ac:dyDescent="0.25">
      <c r="A69">
        <v>29</v>
      </c>
      <c r="B69">
        <v>77.5</v>
      </c>
      <c r="C69">
        <v>99.9</v>
      </c>
    </row>
    <row r="70" spans="1:3" x14ac:dyDescent="0.25">
      <c r="A70">
        <v>29</v>
      </c>
      <c r="B70">
        <v>78.2</v>
      </c>
      <c r="C70">
        <v>99.9</v>
      </c>
    </row>
    <row r="71" spans="1:3" x14ac:dyDescent="0.25">
      <c r="A71">
        <v>29</v>
      </c>
      <c r="B71">
        <v>78.5</v>
      </c>
      <c r="C71">
        <v>99.9</v>
      </c>
    </row>
    <row r="72" spans="1:3" x14ac:dyDescent="0.25">
      <c r="A72">
        <v>29</v>
      </c>
      <c r="B72">
        <v>79.099999999999994</v>
      </c>
      <c r="C72">
        <v>99.9</v>
      </c>
    </row>
    <row r="73" spans="1:3" x14ac:dyDescent="0.25">
      <c r="A73">
        <v>30</v>
      </c>
      <c r="B73">
        <v>79.3</v>
      </c>
      <c r="C73">
        <v>99.9</v>
      </c>
    </row>
    <row r="74" spans="1:3" x14ac:dyDescent="0.25">
      <c r="A74">
        <v>30</v>
      </c>
      <c r="B74">
        <v>79.5</v>
      </c>
      <c r="C74">
        <v>99.9</v>
      </c>
    </row>
    <row r="75" spans="1:3" x14ac:dyDescent="0.25">
      <c r="A75">
        <v>30</v>
      </c>
      <c r="B75">
        <v>79.900000000000006</v>
      </c>
      <c r="C75">
        <v>99.9</v>
      </c>
    </row>
    <row r="76" spans="1:3" x14ac:dyDescent="0.25">
      <c r="A76">
        <v>30</v>
      </c>
      <c r="B76">
        <v>80.400000000000006</v>
      </c>
      <c r="C76">
        <v>99.9</v>
      </c>
    </row>
    <row r="77" spans="1:3" x14ac:dyDescent="0.25">
      <c r="A77">
        <v>30</v>
      </c>
      <c r="B77">
        <v>79.900000000000006</v>
      </c>
      <c r="C77">
        <v>35</v>
      </c>
    </row>
    <row r="78" spans="1:3" x14ac:dyDescent="0.25">
      <c r="A78">
        <v>30</v>
      </c>
      <c r="B78">
        <v>79.3</v>
      </c>
      <c r="C78">
        <v>86.6</v>
      </c>
    </row>
    <row r="79" spans="1:3" x14ac:dyDescent="0.25">
      <c r="A79">
        <v>31</v>
      </c>
      <c r="B79">
        <v>79.900000000000006</v>
      </c>
      <c r="C79">
        <v>98.3</v>
      </c>
    </row>
    <row r="80" spans="1:3" x14ac:dyDescent="0.25">
      <c r="A80">
        <v>31</v>
      </c>
      <c r="B80">
        <v>80.400000000000006</v>
      </c>
      <c r="C80">
        <v>18.100000000000001</v>
      </c>
    </row>
    <row r="81" spans="1:3" x14ac:dyDescent="0.25">
      <c r="A81">
        <v>31</v>
      </c>
      <c r="B81">
        <v>79.400000000000006</v>
      </c>
      <c r="C81">
        <v>62.6</v>
      </c>
    </row>
    <row r="82" spans="1:3" x14ac:dyDescent="0.25">
      <c r="A82">
        <v>31</v>
      </c>
      <c r="B82">
        <v>78.900000000000006</v>
      </c>
      <c r="C82">
        <v>95.1</v>
      </c>
    </row>
    <row r="83" spans="1:3" x14ac:dyDescent="0.25">
      <c r="A83">
        <v>31</v>
      </c>
      <c r="B83">
        <v>79.900000000000006</v>
      </c>
      <c r="C83">
        <v>99.3</v>
      </c>
    </row>
    <row r="84" spans="1:3" x14ac:dyDescent="0.25">
      <c r="A84">
        <v>31</v>
      </c>
      <c r="B84">
        <v>80.8</v>
      </c>
      <c r="C84">
        <v>12.7</v>
      </c>
    </row>
    <row r="85" spans="1:3" x14ac:dyDescent="0.25">
      <c r="A85">
        <v>32</v>
      </c>
      <c r="B85">
        <v>79.400000000000006</v>
      </c>
      <c r="C85">
        <v>50.3</v>
      </c>
    </row>
    <row r="86" spans="1:3" x14ac:dyDescent="0.25">
      <c r="A86">
        <v>32</v>
      </c>
      <c r="B86">
        <v>78.8</v>
      </c>
      <c r="C86">
        <v>93.6</v>
      </c>
    </row>
    <row r="87" spans="1:3" x14ac:dyDescent="0.25">
      <c r="A87">
        <v>32</v>
      </c>
      <c r="B87">
        <v>79.7</v>
      </c>
      <c r="C87">
        <v>99.1</v>
      </c>
    </row>
    <row r="88" spans="1:3" x14ac:dyDescent="0.25">
      <c r="A88">
        <v>32</v>
      </c>
      <c r="B88">
        <v>81</v>
      </c>
      <c r="C88">
        <v>21.3</v>
      </c>
    </row>
    <row r="89" spans="1:3" x14ac:dyDescent="0.25">
      <c r="A89">
        <v>32</v>
      </c>
      <c r="B89">
        <v>80</v>
      </c>
      <c r="C89">
        <v>2.7</v>
      </c>
    </row>
    <row r="90" spans="1:3" x14ac:dyDescent="0.25">
      <c r="A90">
        <v>32</v>
      </c>
      <c r="B90">
        <v>78.900000000000006</v>
      </c>
      <c r="C90">
        <v>88.1</v>
      </c>
    </row>
    <row r="91" spans="1:3" x14ac:dyDescent="0.25">
      <c r="A91">
        <v>33</v>
      </c>
      <c r="B91">
        <v>80.099999999999994</v>
      </c>
      <c r="C91">
        <v>79.900000000000006</v>
      </c>
    </row>
    <row r="92" spans="1:3" x14ac:dyDescent="0.25">
      <c r="A92">
        <v>33</v>
      </c>
      <c r="B92">
        <v>81</v>
      </c>
      <c r="C92">
        <v>10.199999999999999</v>
      </c>
    </row>
    <row r="93" spans="1:3" x14ac:dyDescent="0.25">
      <c r="A93">
        <v>33</v>
      </c>
      <c r="B93">
        <v>79.900000000000006</v>
      </c>
      <c r="C93">
        <v>6.3</v>
      </c>
    </row>
    <row r="94" spans="1:3" x14ac:dyDescent="0.25">
      <c r="A94">
        <v>33</v>
      </c>
      <c r="B94">
        <v>78.8</v>
      </c>
      <c r="C94">
        <v>87.9</v>
      </c>
    </row>
    <row r="95" spans="1:3" x14ac:dyDescent="0.25">
      <c r="A95">
        <v>33</v>
      </c>
      <c r="B95">
        <v>79.599999999999994</v>
      </c>
      <c r="C95">
        <v>98.5</v>
      </c>
    </row>
    <row r="96" spans="1:3" x14ac:dyDescent="0.25">
      <c r="A96">
        <v>33</v>
      </c>
      <c r="B96">
        <v>80.8</v>
      </c>
      <c r="C96">
        <v>15.5</v>
      </c>
    </row>
    <row r="97" spans="1:3" x14ac:dyDescent="0.25">
      <c r="A97">
        <v>34</v>
      </c>
      <c r="B97">
        <v>80.5</v>
      </c>
      <c r="C97">
        <v>2</v>
      </c>
    </row>
    <row r="98" spans="1:3" x14ac:dyDescent="0.25">
      <c r="A98">
        <v>34</v>
      </c>
      <c r="B98">
        <v>79</v>
      </c>
      <c r="C98">
        <v>75.2</v>
      </c>
    </row>
    <row r="99" spans="1:3" x14ac:dyDescent="0.25">
      <c r="A99">
        <v>34</v>
      </c>
      <c r="B99">
        <v>79.099999999999994</v>
      </c>
      <c r="C99">
        <v>96.8</v>
      </c>
    </row>
    <row r="100" spans="1:3" x14ac:dyDescent="0.25">
      <c r="A100">
        <v>34</v>
      </c>
      <c r="B100">
        <v>80.900000000000006</v>
      </c>
      <c r="C100">
        <v>28.7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2E9E3-F649-413B-85F0-74E802BE83BB}">
  <dimension ref="A1:C91"/>
  <sheetViews>
    <sheetView topLeftCell="A26" workbookViewId="0">
      <selection activeCell="C39" sqref="C39"/>
    </sheetView>
  </sheetViews>
  <sheetFormatPr defaultRowHeight="15" x14ac:dyDescent="0.25"/>
  <cols>
    <col min="1" max="1" width="7.42578125" bestFit="1" customWidth="1"/>
    <col min="2" max="2" width="5" bestFit="1" customWidth="1"/>
    <col min="3" max="3" width="7.85546875" bestFit="1" customWidth="1"/>
  </cols>
  <sheetData>
    <row r="1" spans="1:3" x14ac:dyDescent="0.25">
      <c r="A1" t="s">
        <v>5</v>
      </c>
      <c r="B1" t="s">
        <v>10</v>
      </c>
      <c r="C1" t="s">
        <v>11</v>
      </c>
    </row>
    <row r="2" spans="1:3" x14ac:dyDescent="0.25">
      <c r="A2">
        <v>1</v>
      </c>
      <c r="B2">
        <v>23.2</v>
      </c>
      <c r="C2">
        <v>58.1</v>
      </c>
    </row>
    <row r="3" spans="1:3" x14ac:dyDescent="0.25">
      <c r="A3">
        <v>1</v>
      </c>
      <c r="B3">
        <v>24</v>
      </c>
      <c r="C3">
        <v>94.6</v>
      </c>
    </row>
    <row r="4" spans="1:3" x14ac:dyDescent="0.25">
      <c r="A4">
        <v>1</v>
      </c>
      <c r="B4">
        <v>27.1</v>
      </c>
      <c r="C4">
        <v>99.3</v>
      </c>
    </row>
    <row r="5" spans="1:3" x14ac:dyDescent="0.25">
      <c r="A5">
        <v>2</v>
      </c>
      <c r="B5">
        <v>30.9</v>
      </c>
      <c r="C5">
        <v>99.9</v>
      </c>
    </row>
    <row r="6" spans="1:3" x14ac:dyDescent="0.25">
      <c r="A6">
        <v>2</v>
      </c>
      <c r="B6">
        <v>34.1</v>
      </c>
      <c r="C6">
        <v>99.9</v>
      </c>
    </row>
    <row r="7" spans="1:3" x14ac:dyDescent="0.25">
      <c r="A7">
        <v>2</v>
      </c>
      <c r="B7">
        <v>36.700000000000003</v>
      </c>
      <c r="C7">
        <v>99.9</v>
      </c>
    </row>
    <row r="8" spans="1:3" x14ac:dyDescent="0.25">
      <c r="A8">
        <v>2</v>
      </c>
      <c r="B8">
        <v>39.700000000000003</v>
      </c>
      <c r="C8">
        <v>99.9</v>
      </c>
    </row>
    <row r="9" spans="1:3" x14ac:dyDescent="0.25">
      <c r="A9">
        <v>2</v>
      </c>
      <c r="B9">
        <v>41.8</v>
      </c>
      <c r="C9">
        <v>99.9</v>
      </c>
    </row>
    <row r="10" spans="1:3" x14ac:dyDescent="0.25">
      <c r="A10">
        <v>2</v>
      </c>
      <c r="B10">
        <v>43.2</v>
      </c>
      <c r="C10">
        <v>99.9</v>
      </c>
    </row>
    <row r="11" spans="1:3" x14ac:dyDescent="0.25">
      <c r="A11">
        <v>3</v>
      </c>
      <c r="B11">
        <v>45.2</v>
      </c>
      <c r="C11">
        <v>99.9</v>
      </c>
    </row>
    <row r="12" spans="1:3" x14ac:dyDescent="0.25">
      <c r="A12">
        <v>3</v>
      </c>
      <c r="B12">
        <v>46.6</v>
      </c>
      <c r="C12">
        <v>99.9</v>
      </c>
    </row>
    <row r="13" spans="1:3" x14ac:dyDescent="0.25">
      <c r="A13">
        <v>3</v>
      </c>
      <c r="B13">
        <v>48.1</v>
      </c>
      <c r="C13">
        <v>99.9</v>
      </c>
    </row>
    <row r="14" spans="1:3" x14ac:dyDescent="0.25">
      <c r="A14">
        <v>3</v>
      </c>
      <c r="B14">
        <v>48.7</v>
      </c>
      <c r="C14">
        <v>99.9</v>
      </c>
    </row>
    <row r="15" spans="1:3" x14ac:dyDescent="0.25">
      <c r="A15">
        <v>3</v>
      </c>
      <c r="B15">
        <v>49.6</v>
      </c>
      <c r="C15">
        <v>99.9</v>
      </c>
    </row>
    <row r="16" spans="1:3" x14ac:dyDescent="0.25">
      <c r="A16">
        <v>3</v>
      </c>
      <c r="B16">
        <v>50.7</v>
      </c>
      <c r="C16">
        <v>99.9</v>
      </c>
    </row>
    <row r="17" spans="1:3" x14ac:dyDescent="0.25">
      <c r="A17">
        <v>4</v>
      </c>
      <c r="B17">
        <v>51.8</v>
      </c>
      <c r="C17">
        <v>99.9</v>
      </c>
    </row>
    <row r="18" spans="1:3" x14ac:dyDescent="0.25">
      <c r="A18">
        <v>4</v>
      </c>
      <c r="B18">
        <v>52.7</v>
      </c>
      <c r="C18">
        <v>99.9</v>
      </c>
    </row>
    <row r="19" spans="1:3" x14ac:dyDescent="0.25">
      <c r="A19">
        <v>4</v>
      </c>
      <c r="B19">
        <v>53.4</v>
      </c>
      <c r="C19">
        <v>99.9</v>
      </c>
    </row>
    <row r="20" spans="1:3" x14ac:dyDescent="0.25">
      <c r="A20">
        <v>4</v>
      </c>
      <c r="B20">
        <v>54.2</v>
      </c>
      <c r="C20">
        <v>99.9</v>
      </c>
    </row>
    <row r="21" spans="1:3" x14ac:dyDescent="0.25">
      <c r="A21">
        <v>4</v>
      </c>
      <c r="B21">
        <v>54.7</v>
      </c>
      <c r="C21">
        <v>99.9</v>
      </c>
    </row>
    <row r="22" spans="1:3" x14ac:dyDescent="0.25">
      <c r="A22">
        <v>4</v>
      </c>
      <c r="B22">
        <v>55.3</v>
      </c>
      <c r="C22">
        <v>99.9</v>
      </c>
    </row>
    <row r="23" spans="1:3" x14ac:dyDescent="0.25">
      <c r="A23">
        <v>5</v>
      </c>
      <c r="B23">
        <v>55.4</v>
      </c>
      <c r="C23">
        <v>99.9</v>
      </c>
    </row>
    <row r="24" spans="1:3" x14ac:dyDescent="0.25">
      <c r="A24">
        <v>5</v>
      </c>
      <c r="B24">
        <v>56.6</v>
      </c>
      <c r="C24">
        <v>99.9</v>
      </c>
    </row>
    <row r="25" spans="1:3" x14ac:dyDescent="0.25">
      <c r="A25">
        <v>5</v>
      </c>
      <c r="B25">
        <v>57.9</v>
      </c>
      <c r="C25">
        <v>99.9</v>
      </c>
    </row>
    <row r="26" spans="1:3" x14ac:dyDescent="0.25">
      <c r="A26">
        <v>5</v>
      </c>
      <c r="B26">
        <v>57.8</v>
      </c>
      <c r="C26">
        <v>99.9</v>
      </c>
    </row>
    <row r="27" spans="1:3" x14ac:dyDescent="0.25">
      <c r="A27">
        <v>5</v>
      </c>
      <c r="B27">
        <v>58.5</v>
      </c>
      <c r="C27">
        <v>99.9</v>
      </c>
    </row>
    <row r="28" spans="1:3" x14ac:dyDescent="0.25">
      <c r="A28">
        <v>5</v>
      </c>
      <c r="B28">
        <v>59.7</v>
      </c>
      <c r="C28">
        <v>99.9</v>
      </c>
    </row>
    <row r="29" spans="1:3" x14ac:dyDescent="0.25">
      <c r="A29">
        <v>6</v>
      </c>
      <c r="B29">
        <v>60.4</v>
      </c>
      <c r="C29">
        <v>99.9</v>
      </c>
    </row>
    <row r="30" spans="1:3" x14ac:dyDescent="0.25">
      <c r="A30">
        <v>6</v>
      </c>
      <c r="B30">
        <v>59.4</v>
      </c>
      <c r="C30">
        <v>99.9</v>
      </c>
    </row>
    <row r="31" spans="1:3" x14ac:dyDescent="0.25">
      <c r="A31">
        <v>6</v>
      </c>
      <c r="B31">
        <v>61.4</v>
      </c>
      <c r="C31">
        <v>99.9</v>
      </c>
    </row>
    <row r="32" spans="1:3" x14ac:dyDescent="0.25">
      <c r="A32">
        <v>6</v>
      </c>
      <c r="B32">
        <v>60.6</v>
      </c>
      <c r="C32">
        <v>99.9</v>
      </c>
    </row>
    <row r="33" spans="1:3" x14ac:dyDescent="0.25">
      <c r="A33">
        <v>6</v>
      </c>
      <c r="B33">
        <v>62.2</v>
      </c>
      <c r="C33">
        <v>99.9</v>
      </c>
    </row>
    <row r="34" spans="1:3" x14ac:dyDescent="0.25">
      <c r="A34">
        <v>6</v>
      </c>
      <c r="B34">
        <v>63.5</v>
      </c>
      <c r="C34">
        <v>99.9</v>
      </c>
    </row>
    <row r="35" spans="1:3" x14ac:dyDescent="0.25">
      <c r="A35">
        <v>7</v>
      </c>
      <c r="B35">
        <v>64.3</v>
      </c>
      <c r="C35">
        <v>99.9</v>
      </c>
    </row>
    <row r="36" spans="1:3" x14ac:dyDescent="0.25">
      <c r="A36">
        <v>7</v>
      </c>
      <c r="B36">
        <v>65</v>
      </c>
      <c r="C36">
        <v>99.9</v>
      </c>
    </row>
    <row r="37" spans="1:3" x14ac:dyDescent="0.25">
      <c r="A37">
        <v>7</v>
      </c>
      <c r="B37">
        <v>65.2</v>
      </c>
      <c r="C37">
        <v>99.9</v>
      </c>
    </row>
    <row r="38" spans="1:3" x14ac:dyDescent="0.25">
      <c r="A38">
        <v>7</v>
      </c>
      <c r="B38">
        <v>65.400000000000006</v>
      </c>
      <c r="C38">
        <v>99.9</v>
      </c>
    </row>
    <row r="39" spans="1:3" x14ac:dyDescent="0.25">
      <c r="A39">
        <v>7</v>
      </c>
      <c r="B39">
        <v>66.2</v>
      </c>
      <c r="C39">
        <v>99.9</v>
      </c>
    </row>
    <row r="40" spans="1:3" x14ac:dyDescent="0.25">
      <c r="A40">
        <v>7</v>
      </c>
      <c r="B40">
        <v>66.599999999999994</v>
      </c>
      <c r="C40">
        <v>99.9</v>
      </c>
    </row>
    <row r="41" spans="1:3" x14ac:dyDescent="0.25">
      <c r="A41">
        <v>8</v>
      </c>
      <c r="B41">
        <v>67.3</v>
      </c>
      <c r="C41">
        <v>99.9</v>
      </c>
    </row>
    <row r="42" spans="1:3" x14ac:dyDescent="0.25">
      <c r="A42">
        <v>8</v>
      </c>
      <c r="B42">
        <v>68.3</v>
      </c>
      <c r="C42">
        <v>99.9</v>
      </c>
    </row>
    <row r="43" spans="1:3" x14ac:dyDescent="0.25">
      <c r="A43">
        <v>8</v>
      </c>
      <c r="B43">
        <v>68.599999999999994</v>
      </c>
      <c r="C43">
        <v>99.9</v>
      </c>
    </row>
    <row r="44" spans="1:3" x14ac:dyDescent="0.25">
      <c r="A44">
        <v>8</v>
      </c>
      <c r="B44">
        <v>68.900000000000006</v>
      </c>
      <c r="C44">
        <v>99.9</v>
      </c>
    </row>
    <row r="45" spans="1:3" x14ac:dyDescent="0.25">
      <c r="A45">
        <v>8</v>
      </c>
      <c r="B45">
        <v>69.5</v>
      </c>
      <c r="C45">
        <v>99.9</v>
      </c>
    </row>
    <row r="46" spans="1:3" x14ac:dyDescent="0.25">
      <c r="A46">
        <v>9</v>
      </c>
      <c r="B46">
        <v>69.900000000000006</v>
      </c>
      <c r="C46">
        <v>99.9</v>
      </c>
    </row>
    <row r="47" spans="1:3" x14ac:dyDescent="0.25">
      <c r="A47">
        <v>9</v>
      </c>
      <c r="B47">
        <v>70.3</v>
      </c>
      <c r="C47">
        <v>99.9</v>
      </c>
    </row>
    <row r="48" spans="1:3" x14ac:dyDescent="0.25">
      <c r="A48">
        <v>9</v>
      </c>
      <c r="B48">
        <v>71</v>
      </c>
      <c r="C48">
        <v>99.9</v>
      </c>
    </row>
    <row r="49" spans="1:3" x14ac:dyDescent="0.25">
      <c r="A49">
        <v>9</v>
      </c>
      <c r="B49">
        <v>71.599999999999994</v>
      </c>
      <c r="C49">
        <v>99.9</v>
      </c>
    </row>
    <row r="50" spans="1:3" x14ac:dyDescent="0.25">
      <c r="A50">
        <v>9</v>
      </c>
      <c r="B50">
        <v>71.5</v>
      </c>
      <c r="C50">
        <v>99.9</v>
      </c>
    </row>
    <row r="51" spans="1:3" x14ac:dyDescent="0.25">
      <c r="A51">
        <v>9</v>
      </c>
      <c r="B51">
        <v>72</v>
      </c>
      <c r="C51">
        <v>99.9</v>
      </c>
    </row>
    <row r="52" spans="1:3" x14ac:dyDescent="0.25">
      <c r="A52">
        <v>10</v>
      </c>
      <c r="B52">
        <v>72.3</v>
      </c>
      <c r="C52">
        <v>99.9</v>
      </c>
    </row>
    <row r="53" spans="1:3" x14ac:dyDescent="0.25">
      <c r="A53">
        <v>10</v>
      </c>
      <c r="B53">
        <v>72.599999999999994</v>
      </c>
      <c r="C53">
        <v>99.9</v>
      </c>
    </row>
    <row r="54" spans="1:3" x14ac:dyDescent="0.25">
      <c r="A54">
        <v>10</v>
      </c>
      <c r="B54">
        <v>73.5</v>
      </c>
      <c r="C54">
        <v>99.9</v>
      </c>
    </row>
    <row r="55" spans="1:3" x14ac:dyDescent="0.25">
      <c r="A55">
        <v>10</v>
      </c>
      <c r="B55">
        <v>73.8</v>
      </c>
      <c r="C55">
        <v>99.9</v>
      </c>
    </row>
    <row r="56" spans="1:3" x14ac:dyDescent="0.25">
      <c r="A56">
        <v>10</v>
      </c>
      <c r="B56">
        <v>74</v>
      </c>
      <c r="C56">
        <v>99.9</v>
      </c>
    </row>
    <row r="57" spans="1:3" x14ac:dyDescent="0.25">
      <c r="A57">
        <v>10</v>
      </c>
      <c r="B57">
        <v>74.3</v>
      </c>
      <c r="C57">
        <v>99.9</v>
      </c>
    </row>
    <row r="58" spans="1:3" x14ac:dyDescent="0.25">
      <c r="A58">
        <v>11</v>
      </c>
      <c r="B58">
        <v>74.7</v>
      </c>
      <c r="C58">
        <v>99.9</v>
      </c>
    </row>
    <row r="59" spans="1:3" x14ac:dyDescent="0.25">
      <c r="A59">
        <v>11</v>
      </c>
      <c r="B59">
        <v>75</v>
      </c>
      <c r="C59">
        <v>99.9</v>
      </c>
    </row>
    <row r="60" spans="1:3" x14ac:dyDescent="0.25">
      <c r="A60">
        <v>11</v>
      </c>
      <c r="B60">
        <v>75.3</v>
      </c>
      <c r="C60">
        <v>99.9</v>
      </c>
    </row>
    <row r="61" spans="1:3" x14ac:dyDescent="0.25">
      <c r="A61">
        <v>11</v>
      </c>
      <c r="B61">
        <v>75.599999999999994</v>
      </c>
      <c r="C61">
        <v>99.9</v>
      </c>
    </row>
    <row r="62" spans="1:3" x14ac:dyDescent="0.25">
      <c r="A62">
        <v>11</v>
      </c>
      <c r="B62">
        <v>76.8</v>
      </c>
      <c r="C62">
        <v>99.9</v>
      </c>
    </row>
    <row r="63" spans="1:3" x14ac:dyDescent="0.25">
      <c r="A63">
        <v>11</v>
      </c>
      <c r="B63">
        <v>76.900000000000006</v>
      </c>
      <c r="C63">
        <v>99.9</v>
      </c>
    </row>
    <row r="64" spans="1:3" x14ac:dyDescent="0.25">
      <c r="A64">
        <v>12</v>
      </c>
      <c r="B64">
        <v>77.3</v>
      </c>
      <c r="C64">
        <v>99.9</v>
      </c>
    </row>
    <row r="65" spans="1:3" x14ac:dyDescent="0.25">
      <c r="A65">
        <v>12</v>
      </c>
      <c r="B65">
        <v>77.8</v>
      </c>
      <c r="C65">
        <v>99.9</v>
      </c>
    </row>
    <row r="66" spans="1:3" x14ac:dyDescent="0.25">
      <c r="A66">
        <v>12</v>
      </c>
      <c r="B66">
        <v>78</v>
      </c>
      <c r="C66">
        <v>99.9</v>
      </c>
    </row>
    <row r="67" spans="1:3" x14ac:dyDescent="0.25">
      <c r="A67">
        <v>12</v>
      </c>
      <c r="B67">
        <v>78</v>
      </c>
      <c r="C67">
        <v>99.9</v>
      </c>
    </row>
    <row r="68" spans="1:3" x14ac:dyDescent="0.25">
      <c r="A68">
        <v>12</v>
      </c>
      <c r="B68">
        <v>78.8</v>
      </c>
      <c r="C68">
        <v>99.9</v>
      </c>
    </row>
    <row r="69" spans="1:3" x14ac:dyDescent="0.25">
      <c r="A69">
        <v>12</v>
      </c>
      <c r="B69">
        <v>79</v>
      </c>
      <c r="C69">
        <v>99.9</v>
      </c>
    </row>
    <row r="70" spans="1:3" x14ac:dyDescent="0.25">
      <c r="A70">
        <v>13</v>
      </c>
      <c r="B70">
        <v>79.400000000000006</v>
      </c>
      <c r="C70">
        <v>99.9</v>
      </c>
    </row>
    <row r="71" spans="1:3" x14ac:dyDescent="0.25">
      <c r="A71">
        <v>13</v>
      </c>
      <c r="B71">
        <v>79.5</v>
      </c>
      <c r="C71">
        <v>99.9</v>
      </c>
    </row>
    <row r="72" spans="1:3" x14ac:dyDescent="0.25">
      <c r="A72">
        <v>13</v>
      </c>
      <c r="B72">
        <v>80</v>
      </c>
      <c r="C72">
        <v>39.700000000000003</v>
      </c>
    </row>
    <row r="73" spans="1:3" x14ac:dyDescent="0.25">
      <c r="A73">
        <v>13</v>
      </c>
      <c r="B73">
        <v>79.900000000000006</v>
      </c>
      <c r="C73">
        <v>5.0999999999999996</v>
      </c>
    </row>
    <row r="74" spans="1:3" x14ac:dyDescent="0.25">
      <c r="A74">
        <v>13</v>
      </c>
      <c r="B74">
        <v>78.099999999999994</v>
      </c>
      <c r="C74">
        <v>0.6</v>
      </c>
    </row>
    <row r="75" spans="1:3" x14ac:dyDescent="0.25">
      <c r="A75">
        <v>13</v>
      </c>
      <c r="B75">
        <v>76</v>
      </c>
      <c r="C75">
        <v>0</v>
      </c>
    </row>
    <row r="76" spans="1:3" x14ac:dyDescent="0.25">
      <c r="A76">
        <v>14</v>
      </c>
      <c r="B76">
        <v>74</v>
      </c>
      <c r="C76">
        <v>0</v>
      </c>
    </row>
    <row r="77" spans="1:3" x14ac:dyDescent="0.25">
      <c r="A77">
        <v>14</v>
      </c>
      <c r="B77">
        <v>72.3</v>
      </c>
      <c r="C77">
        <v>0</v>
      </c>
    </row>
    <row r="78" spans="1:3" x14ac:dyDescent="0.25">
      <c r="A78">
        <v>14</v>
      </c>
      <c r="B78">
        <v>71.099999999999994</v>
      </c>
      <c r="C78">
        <v>0</v>
      </c>
    </row>
    <row r="79" spans="1:3" x14ac:dyDescent="0.25">
      <c r="A79">
        <v>14</v>
      </c>
      <c r="B79">
        <v>70</v>
      </c>
      <c r="C79">
        <v>0</v>
      </c>
    </row>
    <row r="80" spans="1:3" x14ac:dyDescent="0.25">
      <c r="A80">
        <v>14</v>
      </c>
      <c r="B80">
        <v>70</v>
      </c>
      <c r="C80">
        <v>87.1</v>
      </c>
    </row>
    <row r="81" spans="1:3" x14ac:dyDescent="0.25">
      <c r="A81">
        <v>14</v>
      </c>
      <c r="B81">
        <v>72.099999999999994</v>
      </c>
      <c r="C81">
        <v>98.3</v>
      </c>
    </row>
    <row r="82" spans="1:3" x14ac:dyDescent="0.25">
      <c r="A82">
        <v>15</v>
      </c>
      <c r="B82">
        <v>74.8</v>
      </c>
      <c r="C82">
        <v>99.7</v>
      </c>
    </row>
    <row r="83" spans="1:3" x14ac:dyDescent="0.25">
      <c r="A83">
        <v>15</v>
      </c>
      <c r="B83">
        <v>77.099999999999994</v>
      </c>
      <c r="C83">
        <v>99.9</v>
      </c>
    </row>
    <row r="84" spans="1:3" x14ac:dyDescent="0.25">
      <c r="A84">
        <v>15</v>
      </c>
      <c r="B84">
        <v>78.099999999999994</v>
      </c>
      <c r="C84">
        <v>99.9</v>
      </c>
    </row>
    <row r="85" spans="1:3" x14ac:dyDescent="0.25">
      <c r="A85">
        <v>15</v>
      </c>
      <c r="B85">
        <v>78.900000000000006</v>
      </c>
      <c r="C85">
        <v>99.9</v>
      </c>
    </row>
    <row r="86" spans="1:3" x14ac:dyDescent="0.25">
      <c r="A86">
        <v>15</v>
      </c>
      <c r="B86">
        <v>80.099999999999994</v>
      </c>
      <c r="C86">
        <v>99.9</v>
      </c>
    </row>
    <row r="87" spans="1:3" x14ac:dyDescent="0.25">
      <c r="A87">
        <v>15</v>
      </c>
      <c r="B87">
        <v>80.3</v>
      </c>
      <c r="C87">
        <v>12.8</v>
      </c>
    </row>
    <row r="88" spans="1:3" x14ac:dyDescent="0.25">
      <c r="A88">
        <v>16</v>
      </c>
      <c r="B88">
        <v>78.8</v>
      </c>
      <c r="C88">
        <v>76.5</v>
      </c>
    </row>
    <row r="89" spans="1:3" x14ac:dyDescent="0.25">
      <c r="A89">
        <v>16</v>
      </c>
      <c r="B89">
        <v>78.8</v>
      </c>
      <c r="C89">
        <v>9.8000000000000007</v>
      </c>
    </row>
    <row r="90" spans="1:3" x14ac:dyDescent="0.25">
      <c r="A90">
        <v>16</v>
      </c>
      <c r="B90">
        <v>77.900000000000006</v>
      </c>
      <c r="C90">
        <v>1.2</v>
      </c>
    </row>
    <row r="91" spans="1:3" x14ac:dyDescent="0.25">
      <c r="A91">
        <v>16</v>
      </c>
      <c r="B91">
        <v>76.400000000000006</v>
      </c>
      <c r="C91">
        <v>0.1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63D5A-1EDF-432B-ACFF-D0ACE17E0D53}">
  <dimension ref="A1:C402"/>
  <sheetViews>
    <sheetView workbookViewId="0">
      <selection activeCell="A216" sqref="A216:C402"/>
    </sheetView>
  </sheetViews>
  <sheetFormatPr defaultRowHeight="15" x14ac:dyDescent="0.25"/>
  <cols>
    <col min="1" max="1" width="7.42578125" bestFit="1" customWidth="1"/>
    <col min="2" max="2" width="5" bestFit="1" customWidth="1"/>
    <col min="3" max="3" width="7.85546875" bestFit="1" customWidth="1"/>
  </cols>
  <sheetData>
    <row r="1" spans="1:3" x14ac:dyDescent="0.25">
      <c r="A1" t="s">
        <v>5</v>
      </c>
      <c r="B1" t="s">
        <v>10</v>
      </c>
      <c r="C1" t="s">
        <v>11</v>
      </c>
    </row>
    <row r="2" spans="1:3" x14ac:dyDescent="0.25">
      <c r="A2">
        <v>0</v>
      </c>
      <c r="B2">
        <v>23.2</v>
      </c>
      <c r="C2">
        <v>0</v>
      </c>
    </row>
    <row r="3" spans="1:3" x14ac:dyDescent="0.25">
      <c r="A3">
        <v>0</v>
      </c>
      <c r="B3">
        <v>23.3</v>
      </c>
      <c r="C3">
        <v>0</v>
      </c>
    </row>
    <row r="4" spans="1:3" x14ac:dyDescent="0.25">
      <c r="A4">
        <v>0</v>
      </c>
      <c r="B4">
        <v>23.2</v>
      </c>
      <c r="C4">
        <v>0</v>
      </c>
    </row>
    <row r="5" spans="1:3" x14ac:dyDescent="0.25">
      <c r="A5">
        <v>0</v>
      </c>
      <c r="B5">
        <v>23.7</v>
      </c>
      <c r="C5">
        <v>84.9</v>
      </c>
    </row>
    <row r="6" spans="1:3" x14ac:dyDescent="0.25">
      <c r="A6">
        <v>0</v>
      </c>
      <c r="B6">
        <v>27</v>
      </c>
      <c r="C6">
        <v>28.8</v>
      </c>
    </row>
    <row r="7" spans="1:3" x14ac:dyDescent="0.25">
      <c r="A7">
        <v>1</v>
      </c>
      <c r="B7">
        <v>29.7</v>
      </c>
      <c r="C7">
        <v>52.5</v>
      </c>
    </row>
    <row r="8" spans="1:3" x14ac:dyDescent="0.25">
      <c r="A8">
        <v>1</v>
      </c>
      <c r="B8">
        <v>32</v>
      </c>
      <c r="C8">
        <v>73.5</v>
      </c>
    </row>
    <row r="9" spans="1:3" x14ac:dyDescent="0.25">
      <c r="A9">
        <v>1</v>
      </c>
      <c r="B9">
        <v>34.799999999999997</v>
      </c>
      <c r="C9">
        <v>73.7</v>
      </c>
    </row>
    <row r="10" spans="1:3" x14ac:dyDescent="0.25">
      <c r="A10">
        <v>1</v>
      </c>
      <c r="B10">
        <v>36.6</v>
      </c>
      <c r="C10">
        <v>67.7</v>
      </c>
    </row>
    <row r="11" spans="1:3" x14ac:dyDescent="0.25">
      <c r="A11">
        <v>1</v>
      </c>
      <c r="B11">
        <v>38.4</v>
      </c>
      <c r="C11">
        <v>69.400000000000006</v>
      </c>
    </row>
    <row r="12" spans="1:3" x14ac:dyDescent="0.25">
      <c r="A12">
        <v>1</v>
      </c>
      <c r="B12">
        <v>39.700000000000003</v>
      </c>
      <c r="C12">
        <v>84.7</v>
      </c>
    </row>
    <row r="13" spans="1:3" x14ac:dyDescent="0.25">
      <c r="A13">
        <v>2</v>
      </c>
      <c r="B13">
        <v>41</v>
      </c>
      <c r="C13">
        <v>82.6</v>
      </c>
    </row>
    <row r="14" spans="1:3" x14ac:dyDescent="0.25">
      <c r="A14">
        <v>2</v>
      </c>
      <c r="B14">
        <v>41.1</v>
      </c>
      <c r="C14">
        <v>97.6</v>
      </c>
    </row>
    <row r="15" spans="1:3" x14ac:dyDescent="0.25">
      <c r="A15">
        <v>2</v>
      </c>
      <c r="B15">
        <v>42.5</v>
      </c>
      <c r="C15">
        <v>83.5</v>
      </c>
    </row>
    <row r="16" spans="1:3" x14ac:dyDescent="0.25">
      <c r="A16">
        <v>2</v>
      </c>
      <c r="B16">
        <v>43.7</v>
      </c>
      <c r="C16">
        <v>89.5</v>
      </c>
    </row>
    <row r="17" spans="1:3" x14ac:dyDescent="0.25">
      <c r="A17">
        <v>2</v>
      </c>
      <c r="B17">
        <v>44.5</v>
      </c>
      <c r="C17">
        <v>83.5</v>
      </c>
    </row>
    <row r="18" spans="1:3" x14ac:dyDescent="0.25">
      <c r="A18">
        <v>2</v>
      </c>
      <c r="B18">
        <v>46.2</v>
      </c>
      <c r="C18">
        <v>66.8</v>
      </c>
    </row>
    <row r="19" spans="1:3" x14ac:dyDescent="0.25">
      <c r="A19">
        <v>3</v>
      </c>
      <c r="B19">
        <v>46.8</v>
      </c>
      <c r="C19">
        <v>85.9</v>
      </c>
    </row>
    <row r="20" spans="1:3" x14ac:dyDescent="0.25">
      <c r="A20">
        <v>3</v>
      </c>
      <c r="B20">
        <v>47.6</v>
      </c>
      <c r="C20">
        <v>92.8</v>
      </c>
    </row>
    <row r="21" spans="1:3" x14ac:dyDescent="0.25">
      <c r="A21">
        <v>3</v>
      </c>
      <c r="B21">
        <v>47.8</v>
      </c>
      <c r="C21">
        <v>98.3</v>
      </c>
    </row>
    <row r="22" spans="1:3" x14ac:dyDescent="0.25">
      <c r="A22">
        <v>3</v>
      </c>
      <c r="B22">
        <v>48.2</v>
      </c>
      <c r="C22">
        <v>97.9</v>
      </c>
    </row>
    <row r="23" spans="1:3" x14ac:dyDescent="0.25">
      <c r="A23">
        <v>3</v>
      </c>
      <c r="B23">
        <v>50.4</v>
      </c>
      <c r="C23">
        <v>68.7</v>
      </c>
    </row>
    <row r="24" spans="1:3" x14ac:dyDescent="0.25">
      <c r="A24">
        <v>3</v>
      </c>
      <c r="B24">
        <v>49.2</v>
      </c>
      <c r="C24">
        <v>95.9</v>
      </c>
    </row>
    <row r="25" spans="1:3" x14ac:dyDescent="0.25">
      <c r="A25">
        <v>4</v>
      </c>
      <c r="B25">
        <v>50.7</v>
      </c>
      <c r="C25">
        <v>73</v>
      </c>
    </row>
    <row r="26" spans="1:3" x14ac:dyDescent="0.25">
      <c r="A26">
        <v>4</v>
      </c>
      <c r="B26">
        <v>51.1</v>
      </c>
      <c r="C26">
        <v>83.9</v>
      </c>
    </row>
    <row r="27" spans="1:3" x14ac:dyDescent="0.25">
      <c r="A27">
        <v>4</v>
      </c>
      <c r="B27">
        <v>52.8</v>
      </c>
      <c r="C27">
        <v>68.099999999999994</v>
      </c>
    </row>
    <row r="28" spans="1:3" x14ac:dyDescent="0.25">
      <c r="A28">
        <v>4</v>
      </c>
      <c r="B28">
        <v>52.6</v>
      </c>
      <c r="C28">
        <v>90.2</v>
      </c>
    </row>
    <row r="29" spans="1:3" x14ac:dyDescent="0.25">
      <c r="A29">
        <v>4</v>
      </c>
      <c r="B29">
        <v>52.5</v>
      </c>
      <c r="C29">
        <v>98.5</v>
      </c>
    </row>
    <row r="30" spans="1:3" x14ac:dyDescent="0.25">
      <c r="A30">
        <v>4</v>
      </c>
      <c r="B30">
        <v>53.5</v>
      </c>
      <c r="C30">
        <v>83.2</v>
      </c>
    </row>
    <row r="31" spans="1:3" x14ac:dyDescent="0.25">
      <c r="A31">
        <v>5</v>
      </c>
      <c r="B31">
        <v>54.5</v>
      </c>
      <c r="C31">
        <v>81.2</v>
      </c>
    </row>
    <row r="32" spans="1:3" x14ac:dyDescent="0.25">
      <c r="A32">
        <v>5</v>
      </c>
      <c r="B32">
        <v>54.9</v>
      </c>
      <c r="C32">
        <v>87.1</v>
      </c>
    </row>
    <row r="33" spans="1:3" x14ac:dyDescent="0.25">
      <c r="A33">
        <v>5</v>
      </c>
      <c r="B33">
        <v>55</v>
      </c>
      <c r="C33">
        <v>97.7</v>
      </c>
    </row>
    <row r="34" spans="1:3" x14ac:dyDescent="0.25">
      <c r="A34">
        <v>5</v>
      </c>
      <c r="B34">
        <v>54.4</v>
      </c>
      <c r="C34">
        <v>98.8</v>
      </c>
    </row>
    <row r="35" spans="1:3" x14ac:dyDescent="0.25">
      <c r="A35">
        <v>5</v>
      </c>
      <c r="B35">
        <v>54</v>
      </c>
      <c r="C35">
        <v>99.8</v>
      </c>
    </row>
    <row r="36" spans="1:3" x14ac:dyDescent="0.25">
      <c r="A36">
        <v>5</v>
      </c>
      <c r="B36">
        <v>55</v>
      </c>
      <c r="C36">
        <v>93.2</v>
      </c>
    </row>
    <row r="37" spans="1:3" x14ac:dyDescent="0.25">
      <c r="A37">
        <v>6</v>
      </c>
      <c r="B37">
        <v>57.1</v>
      </c>
      <c r="C37">
        <v>68.2</v>
      </c>
    </row>
    <row r="38" spans="1:3" x14ac:dyDescent="0.25">
      <c r="A38">
        <v>6</v>
      </c>
      <c r="B38">
        <v>58.4</v>
      </c>
      <c r="C38">
        <v>74.8</v>
      </c>
    </row>
    <row r="39" spans="1:3" x14ac:dyDescent="0.25">
      <c r="A39">
        <v>6</v>
      </c>
      <c r="B39">
        <v>57</v>
      </c>
      <c r="C39">
        <v>96.2</v>
      </c>
    </row>
    <row r="40" spans="1:3" x14ac:dyDescent="0.25">
      <c r="A40">
        <v>6</v>
      </c>
      <c r="B40">
        <v>57.4</v>
      </c>
      <c r="C40">
        <v>94.7</v>
      </c>
    </row>
    <row r="41" spans="1:3" x14ac:dyDescent="0.25">
      <c r="A41">
        <v>6</v>
      </c>
      <c r="B41">
        <v>59.2</v>
      </c>
      <c r="C41">
        <v>69.900000000000006</v>
      </c>
    </row>
    <row r="42" spans="1:3" x14ac:dyDescent="0.25">
      <c r="A42">
        <v>6</v>
      </c>
      <c r="B42">
        <v>59.3</v>
      </c>
      <c r="C42">
        <v>91.8</v>
      </c>
    </row>
    <row r="43" spans="1:3" x14ac:dyDescent="0.25">
      <c r="A43">
        <v>7</v>
      </c>
      <c r="B43">
        <v>59.1</v>
      </c>
      <c r="C43">
        <v>94.3</v>
      </c>
    </row>
    <row r="44" spans="1:3" x14ac:dyDescent="0.25">
      <c r="A44">
        <v>7</v>
      </c>
      <c r="B44">
        <v>60</v>
      </c>
      <c r="C44">
        <v>91.5</v>
      </c>
    </row>
    <row r="45" spans="1:3" x14ac:dyDescent="0.25">
      <c r="A45">
        <v>7</v>
      </c>
      <c r="B45">
        <v>61.5</v>
      </c>
      <c r="C45">
        <v>82.6</v>
      </c>
    </row>
    <row r="46" spans="1:3" x14ac:dyDescent="0.25">
      <c r="A46">
        <v>7</v>
      </c>
      <c r="B46">
        <v>61.3</v>
      </c>
      <c r="C46">
        <v>96.9</v>
      </c>
    </row>
    <row r="47" spans="1:3" x14ac:dyDescent="0.25">
      <c r="A47">
        <v>7</v>
      </c>
      <c r="B47">
        <v>61.5</v>
      </c>
      <c r="C47">
        <v>95.1</v>
      </c>
    </row>
    <row r="48" spans="1:3" x14ac:dyDescent="0.25">
      <c r="A48">
        <v>7</v>
      </c>
      <c r="B48">
        <v>62.4</v>
      </c>
      <c r="C48">
        <v>85.6</v>
      </c>
    </row>
    <row r="49" spans="1:3" x14ac:dyDescent="0.25">
      <c r="A49">
        <v>8</v>
      </c>
      <c r="B49">
        <v>63.8</v>
      </c>
      <c r="C49">
        <v>74.7</v>
      </c>
    </row>
    <row r="50" spans="1:3" x14ac:dyDescent="0.25">
      <c r="A50">
        <v>8</v>
      </c>
      <c r="B50">
        <v>63.2</v>
      </c>
      <c r="C50">
        <v>91.7</v>
      </c>
    </row>
    <row r="51" spans="1:3" x14ac:dyDescent="0.25">
      <c r="A51">
        <v>8</v>
      </c>
      <c r="B51">
        <v>64.099999999999994</v>
      </c>
      <c r="C51">
        <v>80.900000000000006</v>
      </c>
    </row>
    <row r="52" spans="1:3" x14ac:dyDescent="0.25">
      <c r="A52">
        <v>8</v>
      </c>
      <c r="B52">
        <v>63.9</v>
      </c>
      <c r="C52">
        <v>93</v>
      </c>
    </row>
    <row r="53" spans="1:3" x14ac:dyDescent="0.25">
      <c r="A53">
        <v>8</v>
      </c>
      <c r="B53">
        <v>64.7</v>
      </c>
      <c r="C53">
        <v>85.1</v>
      </c>
    </row>
    <row r="54" spans="1:3" x14ac:dyDescent="0.25">
      <c r="A54">
        <v>8</v>
      </c>
      <c r="B54">
        <v>64.900000000000006</v>
      </c>
      <c r="C54">
        <v>90.6</v>
      </c>
    </row>
    <row r="55" spans="1:3" x14ac:dyDescent="0.25">
      <c r="A55">
        <v>9</v>
      </c>
      <c r="B55">
        <v>64.2</v>
      </c>
      <c r="C55">
        <v>93.9</v>
      </c>
    </row>
    <row r="56" spans="1:3" x14ac:dyDescent="0.25">
      <c r="A56">
        <v>9</v>
      </c>
      <c r="B56">
        <v>65</v>
      </c>
      <c r="C56">
        <v>88.4</v>
      </c>
    </row>
    <row r="57" spans="1:3" x14ac:dyDescent="0.25">
      <c r="A57">
        <v>9</v>
      </c>
      <c r="B57">
        <v>64.900000000000006</v>
      </c>
      <c r="C57">
        <v>95.6</v>
      </c>
    </row>
    <row r="58" spans="1:3" x14ac:dyDescent="0.25">
      <c r="A58">
        <v>9</v>
      </c>
      <c r="B58">
        <v>65.2</v>
      </c>
      <c r="C58">
        <v>96.4</v>
      </c>
    </row>
    <row r="59" spans="1:3" x14ac:dyDescent="0.25">
      <c r="A59">
        <v>9</v>
      </c>
      <c r="B59">
        <v>66.400000000000006</v>
      </c>
      <c r="C59">
        <v>81.2</v>
      </c>
    </row>
    <row r="60" spans="1:3" x14ac:dyDescent="0.25">
      <c r="A60">
        <v>9</v>
      </c>
      <c r="B60">
        <v>65.099999999999994</v>
      </c>
      <c r="C60">
        <v>97</v>
      </c>
    </row>
    <row r="61" spans="1:3" x14ac:dyDescent="0.25">
      <c r="A61">
        <v>10</v>
      </c>
      <c r="B61">
        <v>67.3</v>
      </c>
      <c r="C61">
        <v>68.400000000000006</v>
      </c>
    </row>
    <row r="62" spans="1:3" x14ac:dyDescent="0.25">
      <c r="A62">
        <v>10</v>
      </c>
      <c r="B62">
        <v>67.099999999999994</v>
      </c>
      <c r="C62">
        <v>90.1</v>
      </c>
    </row>
    <row r="63" spans="1:3" x14ac:dyDescent="0.25">
      <c r="A63">
        <v>10</v>
      </c>
      <c r="B63">
        <v>67.7</v>
      </c>
      <c r="C63">
        <v>85</v>
      </c>
    </row>
    <row r="64" spans="1:3" x14ac:dyDescent="0.25">
      <c r="A64">
        <v>10</v>
      </c>
      <c r="B64">
        <v>67.599999999999994</v>
      </c>
      <c r="C64">
        <v>96.7</v>
      </c>
    </row>
    <row r="65" spans="1:3" x14ac:dyDescent="0.25">
      <c r="A65">
        <v>10</v>
      </c>
      <c r="B65">
        <v>68</v>
      </c>
      <c r="C65">
        <v>91.8</v>
      </c>
    </row>
    <row r="66" spans="1:3" x14ac:dyDescent="0.25">
      <c r="A66">
        <v>10</v>
      </c>
      <c r="B66">
        <v>69.400000000000006</v>
      </c>
      <c r="C66">
        <v>77.900000000000006</v>
      </c>
    </row>
    <row r="67" spans="1:3" x14ac:dyDescent="0.25">
      <c r="A67">
        <v>11</v>
      </c>
      <c r="B67">
        <v>70.3</v>
      </c>
      <c r="C67">
        <v>77.599999999999994</v>
      </c>
    </row>
    <row r="68" spans="1:3" x14ac:dyDescent="0.25">
      <c r="A68">
        <v>11</v>
      </c>
      <c r="B68">
        <v>69.5</v>
      </c>
      <c r="C68">
        <v>97.1</v>
      </c>
    </row>
    <row r="69" spans="1:3" x14ac:dyDescent="0.25">
      <c r="A69">
        <v>11</v>
      </c>
      <c r="B69">
        <v>68.7</v>
      </c>
      <c r="C69">
        <v>99.5</v>
      </c>
    </row>
    <row r="70" spans="1:3" x14ac:dyDescent="0.25">
      <c r="A70">
        <v>11</v>
      </c>
      <c r="B70">
        <v>69.099999999999994</v>
      </c>
      <c r="C70">
        <v>97.5</v>
      </c>
    </row>
    <row r="71" spans="1:3" x14ac:dyDescent="0.25">
      <c r="A71">
        <v>11</v>
      </c>
      <c r="B71">
        <v>69.7</v>
      </c>
      <c r="C71">
        <v>92.5</v>
      </c>
    </row>
    <row r="72" spans="1:3" x14ac:dyDescent="0.25">
      <c r="A72">
        <v>11</v>
      </c>
      <c r="B72">
        <v>70.7</v>
      </c>
      <c r="C72">
        <v>82.6</v>
      </c>
    </row>
    <row r="73" spans="1:3" x14ac:dyDescent="0.25">
      <c r="A73">
        <v>12</v>
      </c>
      <c r="B73">
        <v>69.8</v>
      </c>
      <c r="C73">
        <v>94.2</v>
      </c>
    </row>
    <row r="74" spans="1:3" x14ac:dyDescent="0.25">
      <c r="A74">
        <v>12</v>
      </c>
      <c r="B74">
        <v>70.3</v>
      </c>
      <c r="C74">
        <v>93.6</v>
      </c>
    </row>
    <row r="75" spans="1:3" x14ac:dyDescent="0.25">
      <c r="A75">
        <v>12</v>
      </c>
      <c r="B75">
        <v>70.2</v>
      </c>
      <c r="C75">
        <v>96.3</v>
      </c>
    </row>
    <row r="76" spans="1:3" x14ac:dyDescent="0.25">
      <c r="A76">
        <v>12</v>
      </c>
      <c r="B76">
        <v>71.2</v>
      </c>
      <c r="C76">
        <v>85.8</v>
      </c>
    </row>
    <row r="77" spans="1:3" x14ac:dyDescent="0.25">
      <c r="A77">
        <v>12</v>
      </c>
      <c r="B77">
        <v>72.400000000000006</v>
      </c>
      <c r="C77">
        <v>77.2</v>
      </c>
    </row>
    <row r="78" spans="1:3" x14ac:dyDescent="0.25">
      <c r="A78">
        <v>12</v>
      </c>
      <c r="B78">
        <v>73</v>
      </c>
      <c r="C78">
        <v>74.8</v>
      </c>
    </row>
    <row r="79" spans="1:3" x14ac:dyDescent="0.25">
      <c r="A79">
        <v>13</v>
      </c>
      <c r="B79">
        <v>72.400000000000006</v>
      </c>
      <c r="C79">
        <v>96.7</v>
      </c>
    </row>
    <row r="80" spans="1:3" x14ac:dyDescent="0.25">
      <c r="A80">
        <v>13</v>
      </c>
      <c r="B80">
        <v>72.599999999999994</v>
      </c>
      <c r="C80">
        <v>99.1</v>
      </c>
    </row>
    <row r="81" spans="1:3" x14ac:dyDescent="0.25">
      <c r="A81">
        <v>13</v>
      </c>
      <c r="B81">
        <v>72.8</v>
      </c>
      <c r="C81">
        <v>99.8</v>
      </c>
    </row>
    <row r="82" spans="1:3" x14ac:dyDescent="0.25">
      <c r="A82">
        <v>13</v>
      </c>
      <c r="B82">
        <v>74.099999999999994</v>
      </c>
      <c r="C82">
        <v>76</v>
      </c>
    </row>
    <row r="83" spans="1:3" x14ac:dyDescent="0.25">
      <c r="A83">
        <v>13</v>
      </c>
      <c r="B83">
        <v>73.8</v>
      </c>
      <c r="C83">
        <v>94.8</v>
      </c>
    </row>
    <row r="84" spans="1:3" x14ac:dyDescent="0.25">
      <c r="A84">
        <v>13</v>
      </c>
      <c r="B84">
        <v>73.400000000000006</v>
      </c>
      <c r="C84">
        <v>99.3</v>
      </c>
    </row>
    <row r="85" spans="1:3" x14ac:dyDescent="0.25">
      <c r="A85">
        <v>14</v>
      </c>
      <c r="B85">
        <v>75.3</v>
      </c>
      <c r="C85">
        <v>78</v>
      </c>
    </row>
    <row r="86" spans="1:3" x14ac:dyDescent="0.25">
      <c r="A86">
        <v>14</v>
      </c>
      <c r="B86">
        <v>75.5</v>
      </c>
      <c r="C86">
        <v>91.4</v>
      </c>
    </row>
    <row r="87" spans="1:3" x14ac:dyDescent="0.25">
      <c r="A87">
        <v>14</v>
      </c>
      <c r="B87">
        <v>76.2</v>
      </c>
      <c r="C87">
        <v>93.9</v>
      </c>
    </row>
    <row r="88" spans="1:3" x14ac:dyDescent="0.25">
      <c r="A88">
        <v>14</v>
      </c>
      <c r="B88">
        <v>76.599999999999994</v>
      </c>
      <c r="C88">
        <v>84.3</v>
      </c>
    </row>
    <row r="89" spans="1:3" x14ac:dyDescent="0.25">
      <c r="A89">
        <v>14</v>
      </c>
      <c r="B89">
        <v>75.5</v>
      </c>
      <c r="C89">
        <v>95.8</v>
      </c>
    </row>
    <row r="90" spans="1:3" x14ac:dyDescent="0.25">
      <c r="A90">
        <v>14</v>
      </c>
      <c r="B90">
        <v>76.5</v>
      </c>
      <c r="C90">
        <v>87.2</v>
      </c>
    </row>
    <row r="91" spans="1:3" x14ac:dyDescent="0.25">
      <c r="A91">
        <v>15</v>
      </c>
      <c r="B91">
        <v>77.400000000000006</v>
      </c>
      <c r="C91">
        <v>81.400000000000006</v>
      </c>
    </row>
    <row r="92" spans="1:3" x14ac:dyDescent="0.25">
      <c r="A92">
        <v>15</v>
      </c>
      <c r="B92">
        <v>79.2</v>
      </c>
      <c r="C92">
        <v>69.5</v>
      </c>
    </row>
    <row r="93" spans="1:3" x14ac:dyDescent="0.25">
      <c r="A93">
        <v>15</v>
      </c>
      <c r="B93">
        <v>77.599999999999994</v>
      </c>
      <c r="C93">
        <v>95.7</v>
      </c>
    </row>
    <row r="94" spans="1:3" x14ac:dyDescent="0.25">
      <c r="A94">
        <v>15</v>
      </c>
      <c r="B94">
        <v>78</v>
      </c>
      <c r="C94">
        <v>95.7</v>
      </c>
    </row>
    <row r="95" spans="1:3" x14ac:dyDescent="0.25">
      <c r="A95">
        <v>15</v>
      </c>
      <c r="B95">
        <v>78.8</v>
      </c>
      <c r="C95">
        <v>90.7</v>
      </c>
    </row>
    <row r="96" spans="1:3" x14ac:dyDescent="0.25">
      <c r="A96">
        <v>15</v>
      </c>
      <c r="B96">
        <v>79.3</v>
      </c>
      <c r="C96">
        <v>93.1</v>
      </c>
    </row>
    <row r="97" spans="1:3" x14ac:dyDescent="0.25">
      <c r="A97">
        <v>16</v>
      </c>
      <c r="B97">
        <v>78.900000000000006</v>
      </c>
      <c r="C97">
        <v>97.4</v>
      </c>
    </row>
    <row r="98" spans="1:3" x14ac:dyDescent="0.25">
      <c r="A98">
        <v>16</v>
      </c>
      <c r="B98">
        <v>77.8</v>
      </c>
      <c r="C98">
        <v>98.1</v>
      </c>
    </row>
    <row r="99" spans="1:3" x14ac:dyDescent="0.25">
      <c r="A99">
        <v>16</v>
      </c>
      <c r="B99">
        <v>78.2</v>
      </c>
      <c r="C99">
        <v>94.9</v>
      </c>
    </row>
    <row r="100" spans="1:3" x14ac:dyDescent="0.25">
      <c r="A100">
        <v>16</v>
      </c>
      <c r="B100">
        <v>78</v>
      </c>
      <c r="C100">
        <v>98.1</v>
      </c>
    </row>
    <row r="101" spans="1:3" x14ac:dyDescent="0.25">
      <c r="A101">
        <v>16</v>
      </c>
      <c r="B101">
        <v>78.5</v>
      </c>
      <c r="C101">
        <v>95.2</v>
      </c>
    </row>
    <row r="102" spans="1:3" x14ac:dyDescent="0.25">
      <c r="A102">
        <v>16</v>
      </c>
      <c r="B102">
        <v>79.5</v>
      </c>
      <c r="C102">
        <v>94.5</v>
      </c>
    </row>
    <row r="103" spans="1:3" x14ac:dyDescent="0.25">
      <c r="A103">
        <v>17</v>
      </c>
      <c r="B103">
        <v>81.5</v>
      </c>
      <c r="C103">
        <v>79.900000000000006</v>
      </c>
    </row>
    <row r="104" spans="1:3" x14ac:dyDescent="0.25">
      <c r="A104">
        <v>17</v>
      </c>
      <c r="B104">
        <v>79.900000000000006</v>
      </c>
      <c r="C104">
        <v>59.6</v>
      </c>
    </row>
    <row r="105" spans="1:3" x14ac:dyDescent="0.25">
      <c r="A105">
        <v>17</v>
      </c>
      <c r="B105">
        <v>79.400000000000006</v>
      </c>
      <c r="C105">
        <v>60.2</v>
      </c>
    </row>
    <row r="106" spans="1:3" x14ac:dyDescent="0.25">
      <c r="A106">
        <v>17</v>
      </c>
      <c r="B106">
        <v>80.599999999999994</v>
      </c>
      <c r="C106">
        <v>42</v>
      </c>
    </row>
    <row r="107" spans="1:3" x14ac:dyDescent="0.25">
      <c r="A107">
        <v>17</v>
      </c>
      <c r="B107">
        <v>79.7</v>
      </c>
      <c r="C107">
        <v>60.7</v>
      </c>
    </row>
    <row r="108" spans="1:3" x14ac:dyDescent="0.25">
      <c r="A108">
        <v>17</v>
      </c>
      <c r="B108">
        <v>79.599999999999994</v>
      </c>
      <c r="C108">
        <v>64.8</v>
      </c>
    </row>
    <row r="109" spans="1:3" x14ac:dyDescent="0.25">
      <c r="A109">
        <v>18</v>
      </c>
      <c r="B109">
        <v>80.400000000000006</v>
      </c>
      <c r="C109">
        <v>49.7</v>
      </c>
    </row>
    <row r="110" spans="1:3" x14ac:dyDescent="0.25">
      <c r="A110">
        <v>18</v>
      </c>
      <c r="B110">
        <v>80.5</v>
      </c>
      <c r="C110">
        <v>39.200000000000003</v>
      </c>
    </row>
    <row r="111" spans="1:3" x14ac:dyDescent="0.25">
      <c r="A111">
        <v>18</v>
      </c>
      <c r="B111">
        <v>80.2</v>
      </c>
      <c r="C111">
        <v>45.3</v>
      </c>
    </row>
    <row r="112" spans="1:3" x14ac:dyDescent="0.25">
      <c r="A112">
        <v>18</v>
      </c>
      <c r="B112">
        <v>79.900000000000006</v>
      </c>
      <c r="C112">
        <v>49.3</v>
      </c>
    </row>
    <row r="113" spans="1:3" x14ac:dyDescent="0.25">
      <c r="A113">
        <v>18</v>
      </c>
      <c r="B113">
        <v>79.599999999999994</v>
      </c>
      <c r="C113">
        <v>61.2</v>
      </c>
    </row>
    <row r="114" spans="1:3" x14ac:dyDescent="0.25">
      <c r="A114">
        <v>18</v>
      </c>
      <c r="B114">
        <v>79.7</v>
      </c>
      <c r="C114">
        <v>45.1</v>
      </c>
    </row>
    <row r="115" spans="1:3" x14ac:dyDescent="0.25">
      <c r="A115">
        <v>19</v>
      </c>
      <c r="B115">
        <v>79.599999999999994</v>
      </c>
      <c r="C115">
        <v>61</v>
      </c>
    </row>
    <row r="116" spans="1:3" x14ac:dyDescent="0.25">
      <c r="A116">
        <v>19</v>
      </c>
      <c r="B116">
        <v>79.3</v>
      </c>
      <c r="C116">
        <v>63.7</v>
      </c>
    </row>
    <row r="117" spans="1:3" x14ac:dyDescent="0.25">
      <c r="A117">
        <v>19</v>
      </c>
      <c r="B117">
        <v>79.599999999999994</v>
      </c>
      <c r="C117">
        <v>57.8</v>
      </c>
    </row>
    <row r="118" spans="1:3" x14ac:dyDescent="0.25">
      <c r="A118">
        <v>19</v>
      </c>
      <c r="B118">
        <v>80.5</v>
      </c>
      <c r="C118">
        <v>36.700000000000003</v>
      </c>
    </row>
    <row r="119" spans="1:3" x14ac:dyDescent="0.25">
      <c r="A119">
        <v>19</v>
      </c>
      <c r="B119">
        <v>81.2</v>
      </c>
      <c r="C119">
        <v>32.1</v>
      </c>
    </row>
    <row r="120" spans="1:3" x14ac:dyDescent="0.25">
      <c r="A120">
        <v>19</v>
      </c>
      <c r="B120">
        <v>80.400000000000006</v>
      </c>
      <c r="C120">
        <v>44.6</v>
      </c>
    </row>
    <row r="121" spans="1:3" x14ac:dyDescent="0.25">
      <c r="A121">
        <v>20</v>
      </c>
      <c r="B121">
        <v>82.4</v>
      </c>
      <c r="C121">
        <v>17.100000000000001</v>
      </c>
    </row>
    <row r="122" spans="1:3" x14ac:dyDescent="0.25">
      <c r="A122">
        <v>20</v>
      </c>
      <c r="B122">
        <v>81.099999999999994</v>
      </c>
      <c r="C122">
        <v>37.5</v>
      </c>
    </row>
    <row r="123" spans="1:3" x14ac:dyDescent="0.25">
      <c r="A123">
        <v>20</v>
      </c>
      <c r="B123">
        <v>81.2</v>
      </c>
      <c r="C123">
        <v>20.5</v>
      </c>
    </row>
    <row r="124" spans="1:3" x14ac:dyDescent="0.25">
      <c r="A124">
        <v>20</v>
      </c>
      <c r="B124">
        <v>80.099999999999994</v>
      </c>
      <c r="C124">
        <v>35.9</v>
      </c>
    </row>
    <row r="125" spans="1:3" x14ac:dyDescent="0.25">
      <c r="A125">
        <v>20</v>
      </c>
      <c r="B125">
        <v>79.3</v>
      </c>
      <c r="C125">
        <v>47.3</v>
      </c>
    </row>
    <row r="126" spans="1:3" x14ac:dyDescent="0.25">
      <c r="A126">
        <v>20</v>
      </c>
      <c r="B126">
        <v>80.5</v>
      </c>
      <c r="C126">
        <v>24.2</v>
      </c>
    </row>
    <row r="127" spans="1:3" x14ac:dyDescent="0.25">
      <c r="A127">
        <v>21</v>
      </c>
      <c r="B127">
        <v>80.2</v>
      </c>
      <c r="C127">
        <v>28.9</v>
      </c>
    </row>
    <row r="128" spans="1:3" x14ac:dyDescent="0.25">
      <c r="A128">
        <v>21</v>
      </c>
      <c r="B128">
        <v>79.5</v>
      </c>
      <c r="C128">
        <v>47.4</v>
      </c>
    </row>
    <row r="129" spans="1:3" x14ac:dyDescent="0.25">
      <c r="A129">
        <v>21</v>
      </c>
      <c r="B129">
        <v>79.8</v>
      </c>
      <c r="C129">
        <v>34.5</v>
      </c>
    </row>
    <row r="130" spans="1:3" x14ac:dyDescent="0.25">
      <c r="A130">
        <v>21</v>
      </c>
      <c r="B130">
        <v>79.400000000000006</v>
      </c>
      <c r="C130">
        <v>47.7</v>
      </c>
    </row>
    <row r="131" spans="1:3" x14ac:dyDescent="0.25">
      <c r="A131">
        <v>21</v>
      </c>
      <c r="B131">
        <v>81</v>
      </c>
      <c r="C131">
        <v>15.7</v>
      </c>
    </row>
    <row r="132" spans="1:3" x14ac:dyDescent="0.25">
      <c r="A132">
        <v>21</v>
      </c>
      <c r="B132">
        <v>80.599999999999994</v>
      </c>
      <c r="C132">
        <v>14</v>
      </c>
    </row>
    <row r="133" spans="1:3" x14ac:dyDescent="0.25">
      <c r="A133">
        <v>22</v>
      </c>
      <c r="B133">
        <v>80.5</v>
      </c>
      <c r="C133">
        <v>13.3</v>
      </c>
    </row>
    <row r="134" spans="1:3" x14ac:dyDescent="0.25">
      <c r="A134">
        <v>22</v>
      </c>
      <c r="B134">
        <v>80.099999999999994</v>
      </c>
      <c r="C134">
        <v>17.8</v>
      </c>
    </row>
    <row r="135" spans="1:3" x14ac:dyDescent="0.25">
      <c r="A135">
        <v>22</v>
      </c>
      <c r="B135">
        <v>79.2</v>
      </c>
      <c r="C135">
        <v>44.8</v>
      </c>
    </row>
    <row r="136" spans="1:3" x14ac:dyDescent="0.25">
      <c r="A136">
        <v>22</v>
      </c>
      <c r="B136">
        <v>79</v>
      </c>
      <c r="C136">
        <v>48.2</v>
      </c>
    </row>
    <row r="137" spans="1:3" x14ac:dyDescent="0.25">
      <c r="A137">
        <v>22</v>
      </c>
      <c r="B137">
        <v>79.7</v>
      </c>
      <c r="C137">
        <v>36.9</v>
      </c>
    </row>
    <row r="138" spans="1:3" x14ac:dyDescent="0.25">
      <c r="A138">
        <v>22</v>
      </c>
      <c r="B138">
        <v>79.8</v>
      </c>
      <c r="C138">
        <v>32.700000000000003</v>
      </c>
    </row>
    <row r="139" spans="1:3" x14ac:dyDescent="0.25">
      <c r="A139">
        <v>23</v>
      </c>
      <c r="B139">
        <v>80.400000000000006</v>
      </c>
      <c r="C139">
        <v>16.899999999999999</v>
      </c>
    </row>
    <row r="140" spans="1:3" x14ac:dyDescent="0.25">
      <c r="A140">
        <v>23</v>
      </c>
      <c r="B140">
        <v>80</v>
      </c>
      <c r="C140">
        <v>32.1</v>
      </c>
    </row>
    <row r="141" spans="1:3" x14ac:dyDescent="0.25">
      <c r="A141">
        <v>23</v>
      </c>
      <c r="B141">
        <v>81</v>
      </c>
      <c r="C141">
        <v>14</v>
      </c>
    </row>
    <row r="142" spans="1:3" x14ac:dyDescent="0.25">
      <c r="A142">
        <v>23</v>
      </c>
      <c r="B142">
        <v>80.7</v>
      </c>
      <c r="C142">
        <v>19.2</v>
      </c>
    </row>
    <row r="143" spans="1:3" x14ac:dyDescent="0.25">
      <c r="A143">
        <v>23</v>
      </c>
      <c r="B143">
        <v>80.400000000000006</v>
      </c>
      <c r="C143">
        <v>22</v>
      </c>
    </row>
    <row r="144" spans="1:3" x14ac:dyDescent="0.25">
      <c r="A144">
        <v>23</v>
      </c>
      <c r="B144">
        <v>80.2</v>
      </c>
      <c r="C144">
        <v>19.7</v>
      </c>
    </row>
    <row r="145" spans="1:3" x14ac:dyDescent="0.25">
      <c r="A145">
        <v>24</v>
      </c>
      <c r="B145">
        <v>80.8</v>
      </c>
      <c r="C145">
        <v>9.5</v>
      </c>
    </row>
    <row r="146" spans="1:3" x14ac:dyDescent="0.25">
      <c r="A146">
        <v>24</v>
      </c>
      <c r="B146">
        <v>81</v>
      </c>
      <c r="C146">
        <v>4.9000000000000004</v>
      </c>
    </row>
    <row r="147" spans="1:3" x14ac:dyDescent="0.25">
      <c r="A147">
        <v>24</v>
      </c>
      <c r="B147">
        <v>79.7</v>
      </c>
      <c r="C147">
        <v>29.2</v>
      </c>
    </row>
    <row r="148" spans="1:3" x14ac:dyDescent="0.25">
      <c r="A148">
        <v>24</v>
      </c>
      <c r="B148">
        <v>78.8</v>
      </c>
      <c r="C148">
        <v>49.9</v>
      </c>
    </row>
    <row r="149" spans="1:3" x14ac:dyDescent="0.25">
      <c r="A149">
        <v>24</v>
      </c>
      <c r="B149">
        <v>79.5</v>
      </c>
      <c r="C149">
        <v>31.1</v>
      </c>
    </row>
    <row r="150" spans="1:3" x14ac:dyDescent="0.25">
      <c r="A150">
        <v>24</v>
      </c>
      <c r="B150">
        <v>79.5</v>
      </c>
      <c r="C150">
        <v>33.299999999999997</v>
      </c>
    </row>
    <row r="151" spans="1:3" x14ac:dyDescent="0.25">
      <c r="A151">
        <v>25</v>
      </c>
      <c r="B151">
        <v>80.7</v>
      </c>
      <c r="C151">
        <v>17.2</v>
      </c>
    </row>
    <row r="152" spans="1:3" x14ac:dyDescent="0.25">
      <c r="A152">
        <v>25</v>
      </c>
      <c r="B152">
        <v>80.8</v>
      </c>
      <c r="C152">
        <v>14.3</v>
      </c>
    </row>
    <row r="153" spans="1:3" x14ac:dyDescent="0.25">
      <c r="A153">
        <v>25</v>
      </c>
      <c r="B153">
        <v>80.599999999999994</v>
      </c>
      <c r="C153">
        <v>11.8</v>
      </c>
    </row>
    <row r="154" spans="1:3" x14ac:dyDescent="0.25">
      <c r="A154">
        <v>25</v>
      </c>
      <c r="B154">
        <v>79.8</v>
      </c>
      <c r="C154">
        <v>24.3</v>
      </c>
    </row>
    <row r="155" spans="1:3" x14ac:dyDescent="0.25">
      <c r="A155">
        <v>25</v>
      </c>
      <c r="B155">
        <v>80.099999999999994</v>
      </c>
      <c r="C155">
        <v>15.7</v>
      </c>
    </row>
    <row r="156" spans="1:3" x14ac:dyDescent="0.25">
      <c r="A156">
        <v>25</v>
      </c>
      <c r="B156">
        <v>80</v>
      </c>
      <c r="C156">
        <v>16.100000000000001</v>
      </c>
    </row>
    <row r="157" spans="1:3" x14ac:dyDescent="0.25">
      <c r="A157">
        <v>26</v>
      </c>
      <c r="B157">
        <v>80.099999999999994</v>
      </c>
      <c r="C157">
        <v>16.899999999999999</v>
      </c>
    </row>
    <row r="158" spans="1:3" x14ac:dyDescent="0.25">
      <c r="A158">
        <v>26</v>
      </c>
      <c r="B158">
        <v>79.7</v>
      </c>
      <c r="C158">
        <v>26.4</v>
      </c>
    </row>
    <row r="159" spans="1:3" x14ac:dyDescent="0.25">
      <c r="A159">
        <v>26</v>
      </c>
      <c r="B159">
        <v>79.599999999999994</v>
      </c>
      <c r="C159">
        <v>28.4</v>
      </c>
    </row>
    <row r="160" spans="1:3" x14ac:dyDescent="0.25">
      <c r="A160">
        <v>26</v>
      </c>
      <c r="B160">
        <v>79.599999999999994</v>
      </c>
      <c r="C160">
        <v>27.9</v>
      </c>
    </row>
    <row r="161" spans="1:3" x14ac:dyDescent="0.25">
      <c r="A161">
        <v>26</v>
      </c>
      <c r="B161">
        <v>80.599999999999994</v>
      </c>
      <c r="C161">
        <v>11.7</v>
      </c>
    </row>
    <row r="162" spans="1:3" x14ac:dyDescent="0.25">
      <c r="A162">
        <v>26</v>
      </c>
      <c r="B162">
        <v>79.8</v>
      </c>
      <c r="C162">
        <v>29.7</v>
      </c>
    </row>
    <row r="163" spans="1:3" x14ac:dyDescent="0.25">
      <c r="A163">
        <v>27</v>
      </c>
      <c r="B163">
        <v>79.900000000000006</v>
      </c>
      <c r="C163">
        <v>23</v>
      </c>
    </row>
    <row r="164" spans="1:3" x14ac:dyDescent="0.25">
      <c r="A164">
        <v>27</v>
      </c>
      <c r="B164">
        <v>80.3</v>
      </c>
      <c r="C164">
        <v>12.3</v>
      </c>
    </row>
    <row r="165" spans="1:3" x14ac:dyDescent="0.25">
      <c r="A165">
        <v>27</v>
      </c>
      <c r="B165">
        <v>80.3</v>
      </c>
      <c r="C165">
        <v>9.1</v>
      </c>
    </row>
    <row r="166" spans="1:3" x14ac:dyDescent="0.25">
      <c r="A166">
        <v>27</v>
      </c>
      <c r="B166">
        <v>79.3</v>
      </c>
      <c r="C166">
        <v>39.1</v>
      </c>
    </row>
    <row r="167" spans="1:3" x14ac:dyDescent="0.25">
      <c r="A167">
        <v>27</v>
      </c>
      <c r="B167">
        <v>79.099999999999994</v>
      </c>
      <c r="C167">
        <v>42.9</v>
      </c>
    </row>
    <row r="168" spans="1:3" x14ac:dyDescent="0.25">
      <c r="A168">
        <v>27</v>
      </c>
      <c r="B168">
        <v>79.8</v>
      </c>
      <c r="C168">
        <v>27.8</v>
      </c>
    </row>
    <row r="169" spans="1:3" x14ac:dyDescent="0.25">
      <c r="A169">
        <v>28</v>
      </c>
      <c r="B169">
        <v>80.7</v>
      </c>
      <c r="C169">
        <v>10.8</v>
      </c>
    </row>
    <row r="170" spans="1:3" x14ac:dyDescent="0.25">
      <c r="A170">
        <v>28</v>
      </c>
      <c r="B170">
        <v>81.2</v>
      </c>
      <c r="C170">
        <v>1.9</v>
      </c>
    </row>
    <row r="171" spans="1:3" x14ac:dyDescent="0.25">
      <c r="A171">
        <v>28</v>
      </c>
      <c r="B171">
        <v>80.2</v>
      </c>
      <c r="C171">
        <v>16</v>
      </c>
    </row>
    <row r="172" spans="1:3" x14ac:dyDescent="0.25">
      <c r="A172">
        <v>28</v>
      </c>
      <c r="B172">
        <v>79.599999999999994</v>
      </c>
      <c r="C172">
        <v>24.3</v>
      </c>
    </row>
    <row r="173" spans="1:3" x14ac:dyDescent="0.25">
      <c r="A173">
        <v>28</v>
      </c>
      <c r="B173">
        <v>79.3</v>
      </c>
      <c r="C173">
        <v>35.799999999999997</v>
      </c>
    </row>
    <row r="174" spans="1:3" x14ac:dyDescent="0.25">
      <c r="A174">
        <v>28</v>
      </c>
      <c r="B174">
        <v>79.400000000000006</v>
      </c>
      <c r="C174">
        <v>33.700000000000003</v>
      </c>
    </row>
    <row r="175" spans="1:3" x14ac:dyDescent="0.25">
      <c r="A175">
        <v>29</v>
      </c>
      <c r="B175">
        <v>80.8</v>
      </c>
      <c r="C175">
        <v>10.9</v>
      </c>
    </row>
    <row r="176" spans="1:3" x14ac:dyDescent="0.25">
      <c r="A176">
        <v>29</v>
      </c>
      <c r="B176">
        <v>80.599999999999994</v>
      </c>
      <c r="C176">
        <v>7.7</v>
      </c>
    </row>
    <row r="177" spans="1:3" x14ac:dyDescent="0.25">
      <c r="A177">
        <v>29</v>
      </c>
      <c r="B177">
        <v>79.8</v>
      </c>
      <c r="C177">
        <v>22.9</v>
      </c>
    </row>
    <row r="178" spans="1:3" x14ac:dyDescent="0.25">
      <c r="A178">
        <v>29</v>
      </c>
      <c r="B178">
        <v>79.900000000000006</v>
      </c>
      <c r="C178">
        <v>17</v>
      </c>
    </row>
    <row r="179" spans="1:3" x14ac:dyDescent="0.25">
      <c r="A179">
        <v>29</v>
      </c>
      <c r="B179">
        <v>79.900000000000006</v>
      </c>
      <c r="C179">
        <v>21.6</v>
      </c>
    </row>
    <row r="180" spans="1:3" x14ac:dyDescent="0.25">
      <c r="A180">
        <v>29</v>
      </c>
      <c r="B180">
        <v>80.2</v>
      </c>
      <c r="C180">
        <v>12.5</v>
      </c>
    </row>
    <row r="181" spans="1:3" x14ac:dyDescent="0.25">
      <c r="A181">
        <v>30</v>
      </c>
      <c r="B181">
        <v>80.099999999999994</v>
      </c>
      <c r="C181">
        <v>13.1</v>
      </c>
    </row>
    <row r="182" spans="1:3" x14ac:dyDescent="0.25">
      <c r="A182">
        <v>30</v>
      </c>
      <c r="B182">
        <v>79.400000000000006</v>
      </c>
      <c r="C182">
        <v>30.3</v>
      </c>
    </row>
    <row r="183" spans="1:3" x14ac:dyDescent="0.25">
      <c r="A183">
        <v>30</v>
      </c>
      <c r="B183">
        <v>79.2</v>
      </c>
      <c r="C183">
        <v>36.700000000000003</v>
      </c>
    </row>
    <row r="184" spans="1:3" x14ac:dyDescent="0.25">
      <c r="A184">
        <v>30</v>
      </c>
      <c r="B184">
        <v>79.7</v>
      </c>
      <c r="C184">
        <v>24.6</v>
      </c>
    </row>
    <row r="185" spans="1:3" x14ac:dyDescent="0.25">
      <c r="A185">
        <v>30</v>
      </c>
      <c r="B185">
        <v>79.8</v>
      </c>
      <c r="C185">
        <v>27.7</v>
      </c>
    </row>
    <row r="186" spans="1:3" x14ac:dyDescent="0.25">
      <c r="A186">
        <v>30</v>
      </c>
      <c r="B186">
        <v>80.400000000000006</v>
      </c>
      <c r="C186">
        <v>9.9</v>
      </c>
    </row>
    <row r="187" spans="1:3" x14ac:dyDescent="0.25">
      <c r="A187">
        <v>31</v>
      </c>
      <c r="B187">
        <v>80.8</v>
      </c>
      <c r="C187">
        <v>4</v>
      </c>
    </row>
    <row r="188" spans="1:3" x14ac:dyDescent="0.25">
      <c r="A188">
        <v>31</v>
      </c>
      <c r="B188">
        <v>80</v>
      </c>
      <c r="C188">
        <v>19.7</v>
      </c>
    </row>
    <row r="189" spans="1:3" x14ac:dyDescent="0.25">
      <c r="A189">
        <v>31</v>
      </c>
      <c r="B189">
        <v>79</v>
      </c>
      <c r="C189">
        <v>44.1</v>
      </c>
    </row>
    <row r="190" spans="1:3" x14ac:dyDescent="0.25">
      <c r="A190">
        <v>31</v>
      </c>
      <c r="B190">
        <v>79.8</v>
      </c>
      <c r="C190">
        <v>19.8</v>
      </c>
    </row>
    <row r="191" spans="1:3" x14ac:dyDescent="0.25">
      <c r="A191">
        <v>31</v>
      </c>
      <c r="B191">
        <v>80.400000000000006</v>
      </c>
      <c r="C191">
        <v>11.2</v>
      </c>
    </row>
    <row r="192" spans="1:3" x14ac:dyDescent="0.25">
      <c r="A192">
        <v>31</v>
      </c>
      <c r="B192">
        <v>80.400000000000006</v>
      </c>
      <c r="C192">
        <v>13</v>
      </c>
    </row>
    <row r="193" spans="1:3" x14ac:dyDescent="0.25">
      <c r="A193">
        <v>32</v>
      </c>
      <c r="B193">
        <v>80.400000000000006</v>
      </c>
      <c r="C193">
        <v>6.9</v>
      </c>
    </row>
    <row r="194" spans="1:3" x14ac:dyDescent="0.25">
      <c r="A194">
        <v>32</v>
      </c>
      <c r="B194">
        <v>79.900000000000006</v>
      </c>
      <c r="C194">
        <v>16.5</v>
      </c>
    </row>
    <row r="195" spans="1:3" x14ac:dyDescent="0.25">
      <c r="A195">
        <v>32</v>
      </c>
      <c r="B195">
        <v>79.3</v>
      </c>
      <c r="C195">
        <v>32.799999999999997</v>
      </c>
    </row>
    <row r="196" spans="1:3" x14ac:dyDescent="0.25">
      <c r="A196">
        <v>32</v>
      </c>
      <c r="B196">
        <v>79.599999999999994</v>
      </c>
      <c r="C196">
        <v>23.1</v>
      </c>
    </row>
    <row r="197" spans="1:3" x14ac:dyDescent="0.25">
      <c r="A197">
        <v>32</v>
      </c>
      <c r="B197">
        <v>80.3</v>
      </c>
      <c r="C197">
        <v>16.5</v>
      </c>
    </row>
    <row r="198" spans="1:3" x14ac:dyDescent="0.25">
      <c r="A198">
        <v>32</v>
      </c>
      <c r="B198">
        <v>80.400000000000006</v>
      </c>
      <c r="C198">
        <v>16.5</v>
      </c>
    </row>
    <row r="199" spans="1:3" x14ac:dyDescent="0.25">
      <c r="A199">
        <v>33</v>
      </c>
      <c r="B199">
        <v>80.3</v>
      </c>
      <c r="C199">
        <v>7.7</v>
      </c>
    </row>
    <row r="200" spans="1:3" x14ac:dyDescent="0.25">
      <c r="A200">
        <v>33</v>
      </c>
      <c r="B200">
        <v>79.900000000000006</v>
      </c>
      <c r="C200">
        <v>14.7</v>
      </c>
    </row>
    <row r="201" spans="1:3" x14ac:dyDescent="0.25">
      <c r="A201">
        <v>33</v>
      </c>
      <c r="B201">
        <v>79.5</v>
      </c>
      <c r="C201">
        <v>23.7</v>
      </c>
    </row>
    <row r="202" spans="1:3" x14ac:dyDescent="0.25">
      <c r="A202">
        <v>33</v>
      </c>
      <c r="B202">
        <v>79.3</v>
      </c>
      <c r="C202">
        <v>37.799999999999997</v>
      </c>
    </row>
    <row r="203" spans="1:3" x14ac:dyDescent="0.25">
      <c r="A203">
        <v>33</v>
      </c>
      <c r="B203">
        <v>79.900000000000006</v>
      </c>
      <c r="C203">
        <v>16.600000000000001</v>
      </c>
    </row>
    <row r="204" spans="1:3" x14ac:dyDescent="0.25">
      <c r="A204">
        <v>33</v>
      </c>
      <c r="B204">
        <v>80.2</v>
      </c>
      <c r="C204">
        <v>12.6</v>
      </c>
    </row>
    <row r="205" spans="1:3" x14ac:dyDescent="0.25">
      <c r="A205">
        <v>34</v>
      </c>
      <c r="B205">
        <v>80</v>
      </c>
      <c r="C205">
        <v>19.7</v>
      </c>
    </row>
    <row r="206" spans="1:3" x14ac:dyDescent="0.25">
      <c r="A206">
        <v>34</v>
      </c>
      <c r="B206">
        <v>79.900000000000006</v>
      </c>
      <c r="C206">
        <v>16.7</v>
      </c>
    </row>
    <row r="207" spans="1:3" x14ac:dyDescent="0.25">
      <c r="A207">
        <v>34</v>
      </c>
      <c r="B207">
        <v>79.8</v>
      </c>
      <c r="C207">
        <v>29.3</v>
      </c>
    </row>
    <row r="208" spans="1:3" x14ac:dyDescent="0.25">
      <c r="A208">
        <v>34</v>
      </c>
      <c r="B208">
        <v>79.900000000000006</v>
      </c>
      <c r="C208">
        <v>22.7</v>
      </c>
    </row>
    <row r="209" spans="1:3" x14ac:dyDescent="0.25">
      <c r="A209">
        <v>34</v>
      </c>
      <c r="B209">
        <v>80.3</v>
      </c>
      <c r="C209">
        <v>13</v>
      </c>
    </row>
    <row r="210" spans="1:3" x14ac:dyDescent="0.25">
      <c r="A210">
        <v>34</v>
      </c>
      <c r="B210">
        <v>80.599999999999994</v>
      </c>
      <c r="C210">
        <v>11.3</v>
      </c>
    </row>
    <row r="211" spans="1:3" x14ac:dyDescent="0.25">
      <c r="A211">
        <v>35</v>
      </c>
      <c r="B211">
        <v>80.599999999999994</v>
      </c>
      <c r="C211">
        <v>88.5</v>
      </c>
    </row>
    <row r="212" spans="1:3" x14ac:dyDescent="0.25">
      <c r="A212">
        <v>35</v>
      </c>
      <c r="B212">
        <v>81.2</v>
      </c>
      <c r="C212">
        <v>97.8</v>
      </c>
    </row>
    <row r="213" spans="1:3" x14ac:dyDescent="0.25">
      <c r="A213">
        <v>35</v>
      </c>
      <c r="B213">
        <v>82.8</v>
      </c>
      <c r="C213">
        <v>12.5</v>
      </c>
    </row>
    <row r="214" spans="1:3" x14ac:dyDescent="0.25">
      <c r="A214">
        <v>35</v>
      </c>
      <c r="B214">
        <v>83.1</v>
      </c>
      <c r="C214">
        <v>1.6</v>
      </c>
    </row>
    <row r="215" spans="1:3" x14ac:dyDescent="0.25">
      <c r="A215">
        <v>35</v>
      </c>
      <c r="B215">
        <v>82.7</v>
      </c>
      <c r="C215">
        <v>0.1</v>
      </c>
    </row>
    <row r="216" spans="1:3" x14ac:dyDescent="0.25">
      <c r="A216">
        <v>35</v>
      </c>
      <c r="B216">
        <v>81.7</v>
      </c>
      <c r="C216">
        <v>0</v>
      </c>
    </row>
    <row r="217" spans="1:3" x14ac:dyDescent="0.25">
      <c r="A217">
        <v>36</v>
      </c>
      <c r="B217">
        <v>80.599999999999994</v>
      </c>
      <c r="C217">
        <v>0</v>
      </c>
    </row>
    <row r="218" spans="1:3" x14ac:dyDescent="0.25">
      <c r="A218">
        <v>36</v>
      </c>
      <c r="B218">
        <v>79.8</v>
      </c>
      <c r="C218">
        <v>0</v>
      </c>
    </row>
    <row r="219" spans="1:3" x14ac:dyDescent="0.25">
      <c r="A219">
        <v>36</v>
      </c>
      <c r="B219">
        <v>79.099999999999994</v>
      </c>
      <c r="C219">
        <v>0</v>
      </c>
    </row>
    <row r="220" spans="1:3" x14ac:dyDescent="0.25">
      <c r="A220">
        <v>36</v>
      </c>
      <c r="B220">
        <v>78.599999999999994</v>
      </c>
      <c r="C220">
        <v>0</v>
      </c>
    </row>
    <row r="221" spans="1:3" x14ac:dyDescent="0.25">
      <c r="A221">
        <v>36</v>
      </c>
      <c r="B221">
        <v>78.099999999999994</v>
      </c>
      <c r="C221">
        <v>0</v>
      </c>
    </row>
    <row r="222" spans="1:3" x14ac:dyDescent="0.25">
      <c r="A222">
        <v>36</v>
      </c>
      <c r="B222">
        <v>77.7</v>
      </c>
      <c r="C222">
        <v>0</v>
      </c>
    </row>
    <row r="223" spans="1:3" x14ac:dyDescent="0.25">
      <c r="A223">
        <v>37</v>
      </c>
      <c r="B223">
        <v>77.5</v>
      </c>
      <c r="C223">
        <v>0</v>
      </c>
    </row>
    <row r="224" spans="1:3" x14ac:dyDescent="0.25">
      <c r="A224">
        <v>37</v>
      </c>
      <c r="B224">
        <v>76.8</v>
      </c>
      <c r="C224">
        <v>0</v>
      </c>
    </row>
    <row r="225" spans="1:3" x14ac:dyDescent="0.25">
      <c r="A225">
        <v>37</v>
      </c>
      <c r="B225">
        <v>76.5</v>
      </c>
      <c r="C225">
        <v>0</v>
      </c>
    </row>
    <row r="226" spans="1:3" x14ac:dyDescent="0.25">
      <c r="A226">
        <v>37</v>
      </c>
      <c r="B226">
        <v>76.3</v>
      </c>
      <c r="C226">
        <v>2.1</v>
      </c>
    </row>
    <row r="227" spans="1:3" x14ac:dyDescent="0.25">
      <c r="A227">
        <v>38</v>
      </c>
      <c r="B227">
        <v>76.5</v>
      </c>
      <c r="C227">
        <v>87.4</v>
      </c>
    </row>
    <row r="228" spans="1:3" x14ac:dyDescent="0.25">
      <c r="A228">
        <v>38</v>
      </c>
      <c r="B228">
        <v>81.2</v>
      </c>
      <c r="C228">
        <v>28.5</v>
      </c>
    </row>
    <row r="229" spans="1:3" x14ac:dyDescent="0.25">
      <c r="A229">
        <v>38</v>
      </c>
      <c r="B229">
        <v>82.7</v>
      </c>
      <c r="C229">
        <v>79.099999999999994</v>
      </c>
    </row>
    <row r="230" spans="1:3" x14ac:dyDescent="0.25">
      <c r="A230">
        <v>38</v>
      </c>
      <c r="B230">
        <v>84.3</v>
      </c>
      <c r="C230">
        <v>94.7</v>
      </c>
    </row>
    <row r="231" spans="1:3" x14ac:dyDescent="0.25">
      <c r="A231">
        <v>38</v>
      </c>
      <c r="B231">
        <v>86.8</v>
      </c>
      <c r="C231">
        <v>77.400000000000006</v>
      </c>
    </row>
    <row r="232" spans="1:3" x14ac:dyDescent="0.25">
      <c r="A232">
        <v>38</v>
      </c>
      <c r="B232">
        <v>89</v>
      </c>
      <c r="C232">
        <v>85.8</v>
      </c>
    </row>
    <row r="233" spans="1:3" x14ac:dyDescent="0.25">
      <c r="A233">
        <v>39</v>
      </c>
      <c r="B233">
        <v>89.8</v>
      </c>
      <c r="C233">
        <v>97.9</v>
      </c>
    </row>
    <row r="234" spans="1:3" x14ac:dyDescent="0.25">
      <c r="A234">
        <v>39</v>
      </c>
      <c r="B234">
        <v>93.1</v>
      </c>
      <c r="C234">
        <v>81.099999999999994</v>
      </c>
    </row>
    <row r="235" spans="1:3" x14ac:dyDescent="0.25">
      <c r="A235">
        <v>39</v>
      </c>
      <c r="B235">
        <v>93.2</v>
      </c>
      <c r="C235">
        <v>11.9</v>
      </c>
    </row>
    <row r="236" spans="1:3" x14ac:dyDescent="0.25">
      <c r="A236">
        <v>39</v>
      </c>
      <c r="B236">
        <v>92</v>
      </c>
      <c r="C236">
        <v>15.9</v>
      </c>
    </row>
    <row r="237" spans="1:3" x14ac:dyDescent="0.25">
      <c r="A237">
        <v>39</v>
      </c>
      <c r="B237">
        <v>91.1</v>
      </c>
      <c r="C237">
        <v>15.4</v>
      </c>
    </row>
    <row r="238" spans="1:3" x14ac:dyDescent="0.25">
      <c r="A238">
        <v>40</v>
      </c>
      <c r="B238">
        <v>90.3</v>
      </c>
      <c r="C238">
        <v>27.2</v>
      </c>
    </row>
    <row r="239" spans="1:3" x14ac:dyDescent="0.25">
      <c r="A239">
        <v>40</v>
      </c>
      <c r="B239">
        <v>87.9</v>
      </c>
      <c r="C239">
        <v>3.5</v>
      </c>
    </row>
    <row r="240" spans="1:3" x14ac:dyDescent="0.25">
      <c r="A240">
        <v>40</v>
      </c>
      <c r="B240">
        <v>85.6</v>
      </c>
      <c r="C240">
        <v>0.4</v>
      </c>
    </row>
    <row r="241" spans="1:3" x14ac:dyDescent="0.25">
      <c r="A241">
        <v>40</v>
      </c>
      <c r="B241">
        <v>66</v>
      </c>
      <c r="C241">
        <v>0</v>
      </c>
    </row>
    <row r="242" spans="1:3" x14ac:dyDescent="0.25">
      <c r="A242">
        <v>40</v>
      </c>
      <c r="B242">
        <v>52.7</v>
      </c>
      <c r="C242">
        <v>0</v>
      </c>
    </row>
    <row r="243" spans="1:3" x14ac:dyDescent="0.25">
      <c r="A243">
        <v>40</v>
      </c>
      <c r="B243">
        <v>50.3</v>
      </c>
      <c r="C243">
        <v>0</v>
      </c>
    </row>
    <row r="244" spans="1:3" x14ac:dyDescent="0.25">
      <c r="A244">
        <v>41</v>
      </c>
      <c r="B244">
        <v>60.4</v>
      </c>
      <c r="C244">
        <v>0</v>
      </c>
    </row>
    <row r="245" spans="1:3" x14ac:dyDescent="0.25">
      <c r="A245">
        <v>41</v>
      </c>
      <c r="B245">
        <v>66.2</v>
      </c>
      <c r="C245">
        <v>32.799999999999997</v>
      </c>
    </row>
    <row r="246" spans="1:3" x14ac:dyDescent="0.25">
      <c r="A246">
        <v>41</v>
      </c>
      <c r="B246">
        <v>69.8</v>
      </c>
      <c r="C246">
        <v>17.100000000000001</v>
      </c>
    </row>
    <row r="247" spans="1:3" x14ac:dyDescent="0.25">
      <c r="A247">
        <v>41</v>
      </c>
      <c r="B247">
        <v>72.8</v>
      </c>
      <c r="C247">
        <v>53.1</v>
      </c>
    </row>
    <row r="248" spans="1:3" x14ac:dyDescent="0.25">
      <c r="A248">
        <v>41</v>
      </c>
      <c r="B248">
        <v>76.599999999999994</v>
      </c>
      <c r="C248">
        <v>40.299999999999997</v>
      </c>
    </row>
    <row r="249" spans="1:3" x14ac:dyDescent="0.25">
      <c r="A249">
        <v>41</v>
      </c>
      <c r="B249">
        <v>82.3</v>
      </c>
      <c r="C249">
        <v>13</v>
      </c>
    </row>
    <row r="250" spans="1:3" x14ac:dyDescent="0.25">
      <c r="A250">
        <v>42</v>
      </c>
      <c r="B250">
        <v>83.3</v>
      </c>
      <c r="C250">
        <v>85.2</v>
      </c>
    </row>
    <row r="251" spans="1:3" x14ac:dyDescent="0.25">
      <c r="A251">
        <v>42</v>
      </c>
      <c r="B251">
        <v>84.9</v>
      </c>
      <c r="C251">
        <v>95.2</v>
      </c>
    </row>
    <row r="252" spans="1:3" x14ac:dyDescent="0.25">
      <c r="A252">
        <v>42</v>
      </c>
      <c r="B252">
        <v>87.5</v>
      </c>
      <c r="C252">
        <v>79.5</v>
      </c>
    </row>
    <row r="253" spans="1:3" x14ac:dyDescent="0.25">
      <c r="A253">
        <v>42</v>
      </c>
      <c r="B253">
        <v>89.8</v>
      </c>
      <c r="C253">
        <v>63.3</v>
      </c>
    </row>
    <row r="254" spans="1:3" x14ac:dyDescent="0.25">
      <c r="A254">
        <v>42</v>
      </c>
      <c r="B254">
        <v>92.4</v>
      </c>
      <c r="C254">
        <v>83.4</v>
      </c>
    </row>
    <row r="255" spans="1:3" x14ac:dyDescent="0.25">
      <c r="A255">
        <v>42</v>
      </c>
      <c r="B255">
        <v>92.2</v>
      </c>
      <c r="C255">
        <v>17.899999999999999</v>
      </c>
    </row>
    <row r="256" spans="1:3" x14ac:dyDescent="0.25">
      <c r="A256">
        <v>43</v>
      </c>
      <c r="B256">
        <v>91.2</v>
      </c>
      <c r="C256">
        <v>24.1</v>
      </c>
    </row>
    <row r="257" spans="1:3" x14ac:dyDescent="0.25">
      <c r="A257">
        <v>43</v>
      </c>
      <c r="B257">
        <v>90.3</v>
      </c>
      <c r="C257">
        <v>30.9</v>
      </c>
    </row>
    <row r="258" spans="1:3" x14ac:dyDescent="0.25">
      <c r="A258">
        <v>43</v>
      </c>
      <c r="B258">
        <v>89.7</v>
      </c>
      <c r="C258">
        <v>32.1</v>
      </c>
    </row>
    <row r="259" spans="1:3" x14ac:dyDescent="0.25">
      <c r="A259">
        <v>43</v>
      </c>
      <c r="B259">
        <v>90.7</v>
      </c>
      <c r="C259">
        <v>10.7</v>
      </c>
    </row>
    <row r="260" spans="1:3" x14ac:dyDescent="0.25">
      <c r="A260">
        <v>43</v>
      </c>
      <c r="B260">
        <v>87.9</v>
      </c>
      <c r="C260">
        <v>1.3</v>
      </c>
    </row>
    <row r="261" spans="1:3" x14ac:dyDescent="0.25">
      <c r="A261">
        <v>43</v>
      </c>
      <c r="B261">
        <v>86.1</v>
      </c>
      <c r="C261">
        <v>0.1</v>
      </c>
    </row>
    <row r="262" spans="1:3" x14ac:dyDescent="0.25">
      <c r="A262">
        <v>44</v>
      </c>
      <c r="B262">
        <v>84.7</v>
      </c>
      <c r="C262">
        <v>0</v>
      </c>
    </row>
    <row r="263" spans="1:3" x14ac:dyDescent="0.25">
      <c r="A263">
        <v>44</v>
      </c>
      <c r="B263">
        <v>83.7</v>
      </c>
      <c r="C263">
        <v>0</v>
      </c>
    </row>
    <row r="264" spans="1:3" x14ac:dyDescent="0.25">
      <c r="A264">
        <v>44</v>
      </c>
      <c r="B264">
        <v>82.9</v>
      </c>
      <c r="C264">
        <v>0</v>
      </c>
    </row>
    <row r="265" spans="1:3" x14ac:dyDescent="0.25">
      <c r="A265">
        <v>44</v>
      </c>
      <c r="B265">
        <v>81.900000000000006</v>
      </c>
      <c r="C265">
        <v>0</v>
      </c>
    </row>
    <row r="266" spans="1:3" x14ac:dyDescent="0.25">
      <c r="A266">
        <v>44</v>
      </c>
      <c r="B266">
        <v>81.3</v>
      </c>
      <c r="C266">
        <v>0</v>
      </c>
    </row>
    <row r="267" spans="1:3" x14ac:dyDescent="0.25">
      <c r="A267">
        <v>44</v>
      </c>
      <c r="B267">
        <v>81</v>
      </c>
      <c r="C267">
        <v>0</v>
      </c>
    </row>
    <row r="268" spans="1:3" x14ac:dyDescent="0.25">
      <c r="A268">
        <v>45</v>
      </c>
      <c r="B268">
        <v>80.400000000000006</v>
      </c>
      <c r="C268">
        <v>0</v>
      </c>
    </row>
    <row r="269" spans="1:3" x14ac:dyDescent="0.25">
      <c r="A269">
        <v>45</v>
      </c>
      <c r="B269">
        <v>80.2</v>
      </c>
      <c r="C269">
        <v>0</v>
      </c>
    </row>
    <row r="270" spans="1:3" x14ac:dyDescent="0.25">
      <c r="A270">
        <v>45</v>
      </c>
      <c r="B270">
        <v>80.099999999999994</v>
      </c>
      <c r="C270">
        <v>0</v>
      </c>
    </row>
    <row r="271" spans="1:3" x14ac:dyDescent="0.25">
      <c r="A271">
        <v>45</v>
      </c>
      <c r="B271">
        <v>79.599999999999994</v>
      </c>
      <c r="C271">
        <v>0</v>
      </c>
    </row>
    <row r="272" spans="1:3" x14ac:dyDescent="0.25">
      <c r="A272">
        <v>45</v>
      </c>
      <c r="B272">
        <v>79.3</v>
      </c>
      <c r="C272">
        <v>0</v>
      </c>
    </row>
    <row r="273" spans="1:3" x14ac:dyDescent="0.25">
      <c r="A273">
        <v>45</v>
      </c>
      <c r="B273">
        <v>79</v>
      </c>
      <c r="C273">
        <v>0</v>
      </c>
    </row>
    <row r="274" spans="1:3" x14ac:dyDescent="0.25">
      <c r="A274">
        <v>46</v>
      </c>
      <c r="B274">
        <v>78.900000000000006</v>
      </c>
      <c r="C274">
        <v>0</v>
      </c>
    </row>
    <row r="275" spans="1:3" x14ac:dyDescent="0.25">
      <c r="A275">
        <v>46</v>
      </c>
      <c r="B275">
        <v>78.7</v>
      </c>
      <c r="C275">
        <v>0</v>
      </c>
    </row>
    <row r="276" spans="1:3" x14ac:dyDescent="0.25">
      <c r="A276">
        <v>46</v>
      </c>
      <c r="B276">
        <v>78.400000000000006</v>
      </c>
      <c r="C276">
        <v>0</v>
      </c>
    </row>
    <row r="277" spans="1:3" x14ac:dyDescent="0.25">
      <c r="A277">
        <v>46</v>
      </c>
      <c r="B277">
        <v>78</v>
      </c>
      <c r="C277">
        <v>0</v>
      </c>
    </row>
    <row r="278" spans="1:3" x14ac:dyDescent="0.25">
      <c r="A278">
        <v>46</v>
      </c>
      <c r="B278">
        <v>78.099999999999994</v>
      </c>
      <c r="C278">
        <v>0</v>
      </c>
    </row>
    <row r="279" spans="1:3" x14ac:dyDescent="0.25">
      <c r="A279">
        <v>46</v>
      </c>
      <c r="B279">
        <v>77.900000000000006</v>
      </c>
      <c r="C279">
        <v>0</v>
      </c>
    </row>
    <row r="280" spans="1:3" x14ac:dyDescent="0.25">
      <c r="A280">
        <v>47</v>
      </c>
      <c r="B280">
        <v>77.599999999999994</v>
      </c>
      <c r="C280">
        <v>0</v>
      </c>
    </row>
    <row r="281" spans="1:3" x14ac:dyDescent="0.25">
      <c r="A281">
        <v>47</v>
      </c>
      <c r="B281">
        <v>77.3</v>
      </c>
      <c r="C281">
        <v>0</v>
      </c>
    </row>
    <row r="282" spans="1:3" x14ac:dyDescent="0.25">
      <c r="A282">
        <v>47</v>
      </c>
      <c r="B282">
        <v>77.2</v>
      </c>
      <c r="C282">
        <v>0</v>
      </c>
    </row>
    <row r="283" spans="1:3" x14ac:dyDescent="0.25">
      <c r="A283">
        <v>47</v>
      </c>
      <c r="B283">
        <v>77.099999999999994</v>
      </c>
      <c r="C283">
        <v>0</v>
      </c>
    </row>
    <row r="284" spans="1:3" x14ac:dyDescent="0.25">
      <c r="A284">
        <v>47</v>
      </c>
      <c r="B284">
        <v>76.900000000000006</v>
      </c>
      <c r="C284">
        <v>0</v>
      </c>
    </row>
    <row r="285" spans="1:3" x14ac:dyDescent="0.25">
      <c r="A285">
        <v>47</v>
      </c>
      <c r="B285">
        <v>74.099999999999994</v>
      </c>
      <c r="C285">
        <v>0</v>
      </c>
    </row>
    <row r="286" spans="1:3" x14ac:dyDescent="0.25">
      <c r="A286">
        <v>48</v>
      </c>
      <c r="B286">
        <v>64.400000000000006</v>
      </c>
      <c r="C286">
        <v>0</v>
      </c>
    </row>
    <row r="287" spans="1:3" x14ac:dyDescent="0.25">
      <c r="A287">
        <v>48</v>
      </c>
      <c r="B287">
        <v>68.7</v>
      </c>
      <c r="C287">
        <v>0</v>
      </c>
    </row>
    <row r="288" spans="1:3" x14ac:dyDescent="0.25">
      <c r="A288">
        <v>48</v>
      </c>
      <c r="B288">
        <v>71.2</v>
      </c>
      <c r="C288">
        <v>0</v>
      </c>
    </row>
    <row r="289" spans="1:3" x14ac:dyDescent="0.25">
      <c r="A289">
        <v>48</v>
      </c>
      <c r="B289">
        <v>72.8</v>
      </c>
      <c r="C289">
        <v>0</v>
      </c>
    </row>
    <row r="290" spans="1:3" x14ac:dyDescent="0.25">
      <c r="A290">
        <v>48</v>
      </c>
      <c r="B290">
        <v>73.3</v>
      </c>
      <c r="C290">
        <v>0</v>
      </c>
    </row>
    <row r="291" spans="1:3" x14ac:dyDescent="0.25">
      <c r="A291">
        <v>48</v>
      </c>
      <c r="B291">
        <v>73.5</v>
      </c>
      <c r="C291">
        <v>0</v>
      </c>
    </row>
    <row r="292" spans="1:3" x14ac:dyDescent="0.25">
      <c r="A292">
        <v>49</v>
      </c>
      <c r="B292">
        <v>73.900000000000006</v>
      </c>
      <c r="C292">
        <v>87.1</v>
      </c>
    </row>
    <row r="293" spans="1:3" x14ac:dyDescent="0.25">
      <c r="A293">
        <v>49</v>
      </c>
      <c r="B293">
        <v>76.3</v>
      </c>
      <c r="C293">
        <v>75.8</v>
      </c>
    </row>
    <row r="294" spans="1:3" x14ac:dyDescent="0.25">
      <c r="A294">
        <v>49</v>
      </c>
      <c r="B294">
        <v>79.7</v>
      </c>
      <c r="C294">
        <v>48.8</v>
      </c>
    </row>
    <row r="295" spans="1:3" x14ac:dyDescent="0.25">
      <c r="A295">
        <v>49</v>
      </c>
      <c r="B295">
        <v>85.1</v>
      </c>
      <c r="C295">
        <v>15.1</v>
      </c>
    </row>
    <row r="296" spans="1:3" x14ac:dyDescent="0.25">
      <c r="A296">
        <v>49</v>
      </c>
      <c r="B296">
        <v>85.9</v>
      </c>
      <c r="C296">
        <v>87.6</v>
      </c>
    </row>
    <row r="297" spans="1:3" x14ac:dyDescent="0.25">
      <c r="A297">
        <v>49</v>
      </c>
      <c r="B297">
        <v>86.6</v>
      </c>
      <c r="C297">
        <v>96.5</v>
      </c>
    </row>
    <row r="298" spans="1:3" x14ac:dyDescent="0.25">
      <c r="A298">
        <v>50</v>
      </c>
      <c r="B298">
        <v>89.7</v>
      </c>
      <c r="C298">
        <v>74.7</v>
      </c>
    </row>
    <row r="299" spans="1:3" x14ac:dyDescent="0.25">
      <c r="A299">
        <v>50</v>
      </c>
      <c r="B299">
        <v>92.2</v>
      </c>
      <c r="C299">
        <v>67.2</v>
      </c>
    </row>
    <row r="300" spans="1:3" x14ac:dyDescent="0.25">
      <c r="A300">
        <v>50</v>
      </c>
      <c r="B300">
        <v>93.4</v>
      </c>
      <c r="C300">
        <v>8.6</v>
      </c>
    </row>
    <row r="301" spans="1:3" x14ac:dyDescent="0.25">
      <c r="A301">
        <v>50</v>
      </c>
      <c r="B301">
        <v>91.4</v>
      </c>
      <c r="C301">
        <v>29.8</v>
      </c>
    </row>
    <row r="302" spans="1:3" x14ac:dyDescent="0.25">
      <c r="A302">
        <v>50</v>
      </c>
      <c r="B302">
        <v>90.8</v>
      </c>
      <c r="C302">
        <v>22.8</v>
      </c>
    </row>
    <row r="303" spans="1:3" x14ac:dyDescent="0.25">
      <c r="A303">
        <v>51</v>
      </c>
      <c r="B303">
        <v>91.2</v>
      </c>
      <c r="C303">
        <v>7.2</v>
      </c>
    </row>
    <row r="304" spans="1:3" x14ac:dyDescent="0.25">
      <c r="A304">
        <v>51</v>
      </c>
      <c r="B304">
        <v>89.9</v>
      </c>
      <c r="C304">
        <v>34.299999999999997</v>
      </c>
    </row>
    <row r="305" spans="1:3" x14ac:dyDescent="0.25">
      <c r="A305">
        <v>51</v>
      </c>
      <c r="B305">
        <v>90.7</v>
      </c>
      <c r="C305">
        <v>7.1</v>
      </c>
    </row>
    <row r="306" spans="1:3" x14ac:dyDescent="0.25">
      <c r="A306">
        <v>51</v>
      </c>
      <c r="B306">
        <v>89.8</v>
      </c>
      <c r="C306">
        <v>29.5</v>
      </c>
    </row>
    <row r="307" spans="1:3" x14ac:dyDescent="0.25">
      <c r="A307">
        <v>51</v>
      </c>
      <c r="B307">
        <v>89.4</v>
      </c>
      <c r="C307">
        <v>39.6</v>
      </c>
    </row>
    <row r="308" spans="1:3" x14ac:dyDescent="0.25">
      <c r="A308">
        <v>51</v>
      </c>
      <c r="B308">
        <v>91.4</v>
      </c>
      <c r="C308">
        <v>3.3</v>
      </c>
    </row>
    <row r="309" spans="1:3" x14ac:dyDescent="0.25">
      <c r="A309">
        <v>52</v>
      </c>
      <c r="B309">
        <v>90.2</v>
      </c>
      <c r="C309">
        <v>14.8</v>
      </c>
    </row>
    <row r="310" spans="1:3" x14ac:dyDescent="0.25">
      <c r="A310">
        <v>52</v>
      </c>
      <c r="B310">
        <v>89.4</v>
      </c>
      <c r="C310">
        <v>26.1</v>
      </c>
    </row>
    <row r="311" spans="1:3" x14ac:dyDescent="0.25">
      <c r="A311">
        <v>52</v>
      </c>
      <c r="B311">
        <v>89.7</v>
      </c>
      <c r="C311">
        <v>15.2</v>
      </c>
    </row>
    <row r="312" spans="1:3" x14ac:dyDescent="0.25">
      <c r="A312">
        <v>52</v>
      </c>
      <c r="B312">
        <v>89.5</v>
      </c>
      <c r="C312">
        <v>28.5</v>
      </c>
    </row>
    <row r="313" spans="1:3" x14ac:dyDescent="0.25">
      <c r="A313">
        <v>52</v>
      </c>
      <c r="B313">
        <v>90.1</v>
      </c>
      <c r="C313">
        <v>10.5</v>
      </c>
    </row>
    <row r="314" spans="1:3" x14ac:dyDescent="0.25">
      <c r="A314">
        <v>53</v>
      </c>
      <c r="B314">
        <v>88.5</v>
      </c>
      <c r="C314">
        <v>68.900000000000006</v>
      </c>
    </row>
    <row r="315" spans="1:3" x14ac:dyDescent="0.25">
      <c r="A315">
        <v>53</v>
      </c>
      <c r="B315">
        <v>89.1</v>
      </c>
      <c r="C315">
        <v>44.8</v>
      </c>
    </row>
    <row r="316" spans="1:3" x14ac:dyDescent="0.25">
      <c r="A316">
        <v>53</v>
      </c>
      <c r="B316">
        <v>92.1</v>
      </c>
      <c r="C316">
        <v>9.4</v>
      </c>
    </row>
    <row r="317" spans="1:3" x14ac:dyDescent="0.25">
      <c r="A317">
        <v>53</v>
      </c>
      <c r="B317">
        <v>92.1</v>
      </c>
      <c r="C317">
        <v>0.7</v>
      </c>
    </row>
    <row r="318" spans="1:3" x14ac:dyDescent="0.25">
      <c r="A318">
        <v>53</v>
      </c>
      <c r="B318">
        <v>89.9</v>
      </c>
      <c r="C318">
        <v>33.200000000000003</v>
      </c>
    </row>
    <row r="319" spans="1:3" x14ac:dyDescent="0.25">
      <c r="A319">
        <v>54</v>
      </c>
      <c r="B319">
        <v>89.9</v>
      </c>
      <c r="C319">
        <v>14</v>
      </c>
    </row>
    <row r="320" spans="1:3" x14ac:dyDescent="0.25">
      <c r="A320">
        <v>54</v>
      </c>
      <c r="B320">
        <v>90.6</v>
      </c>
      <c r="C320">
        <v>1.7</v>
      </c>
    </row>
    <row r="321" spans="1:3" x14ac:dyDescent="0.25">
      <c r="A321">
        <v>54</v>
      </c>
      <c r="B321">
        <v>89.5</v>
      </c>
      <c r="C321">
        <v>22.8</v>
      </c>
    </row>
    <row r="322" spans="1:3" x14ac:dyDescent="0.25">
      <c r="A322">
        <v>54</v>
      </c>
      <c r="B322">
        <v>89.1</v>
      </c>
      <c r="C322">
        <v>32.299999999999997</v>
      </c>
    </row>
    <row r="323" spans="1:3" x14ac:dyDescent="0.25">
      <c r="A323">
        <v>54</v>
      </c>
      <c r="B323">
        <v>90.2</v>
      </c>
      <c r="C323">
        <v>10.199999999999999</v>
      </c>
    </row>
    <row r="324" spans="1:3" x14ac:dyDescent="0.25">
      <c r="A324">
        <v>55</v>
      </c>
      <c r="B324">
        <v>89.8</v>
      </c>
      <c r="C324">
        <v>20.3</v>
      </c>
    </row>
    <row r="325" spans="1:3" x14ac:dyDescent="0.25">
      <c r="A325">
        <v>55</v>
      </c>
      <c r="B325">
        <v>90.1</v>
      </c>
      <c r="C325">
        <v>10</v>
      </c>
    </row>
    <row r="326" spans="1:3" x14ac:dyDescent="0.25">
      <c r="A326">
        <v>55</v>
      </c>
      <c r="B326">
        <v>90.2</v>
      </c>
      <c r="C326">
        <v>8.1</v>
      </c>
    </row>
    <row r="327" spans="1:3" x14ac:dyDescent="0.25">
      <c r="A327">
        <v>55</v>
      </c>
      <c r="B327">
        <v>89.3</v>
      </c>
      <c r="C327">
        <v>40.799999999999997</v>
      </c>
    </row>
    <row r="328" spans="1:3" x14ac:dyDescent="0.25">
      <c r="A328">
        <v>55</v>
      </c>
      <c r="B328">
        <v>90.9</v>
      </c>
      <c r="C328">
        <v>5.2</v>
      </c>
    </row>
    <row r="329" spans="1:3" x14ac:dyDescent="0.25">
      <c r="A329">
        <v>56</v>
      </c>
      <c r="B329">
        <v>90.5</v>
      </c>
      <c r="C329">
        <v>5.3</v>
      </c>
    </row>
    <row r="330" spans="1:3" x14ac:dyDescent="0.25">
      <c r="A330">
        <v>56</v>
      </c>
      <c r="B330">
        <v>89.6</v>
      </c>
      <c r="C330">
        <v>17.8</v>
      </c>
    </row>
    <row r="331" spans="1:3" x14ac:dyDescent="0.25">
      <c r="A331">
        <v>56</v>
      </c>
      <c r="B331">
        <v>90.3</v>
      </c>
      <c r="C331">
        <v>1.7</v>
      </c>
    </row>
    <row r="332" spans="1:3" x14ac:dyDescent="0.25">
      <c r="A332">
        <v>56</v>
      </c>
      <c r="B332">
        <v>89.4</v>
      </c>
      <c r="C332">
        <v>19.399999999999999</v>
      </c>
    </row>
    <row r="333" spans="1:3" x14ac:dyDescent="0.25">
      <c r="A333">
        <v>56</v>
      </c>
      <c r="B333">
        <v>89.4</v>
      </c>
      <c r="C333">
        <v>20.7</v>
      </c>
    </row>
    <row r="334" spans="1:3" x14ac:dyDescent="0.25">
      <c r="A334">
        <v>56</v>
      </c>
      <c r="B334">
        <v>89.9</v>
      </c>
      <c r="C334">
        <v>9.9</v>
      </c>
    </row>
    <row r="335" spans="1:3" x14ac:dyDescent="0.25">
      <c r="A335">
        <v>57</v>
      </c>
      <c r="B335">
        <v>89.7</v>
      </c>
      <c r="C335">
        <v>16.2</v>
      </c>
    </row>
    <row r="336" spans="1:3" x14ac:dyDescent="0.25">
      <c r="A336">
        <v>57</v>
      </c>
      <c r="B336">
        <v>89.1</v>
      </c>
      <c r="C336">
        <v>40.700000000000003</v>
      </c>
    </row>
    <row r="337" spans="1:3" x14ac:dyDescent="0.25">
      <c r="A337">
        <v>57</v>
      </c>
      <c r="B337">
        <v>90.1</v>
      </c>
      <c r="C337">
        <v>16.7</v>
      </c>
    </row>
    <row r="338" spans="1:3" x14ac:dyDescent="0.25">
      <c r="A338">
        <v>57</v>
      </c>
      <c r="B338">
        <v>90.1</v>
      </c>
      <c r="C338">
        <v>16</v>
      </c>
    </row>
    <row r="339" spans="1:3" x14ac:dyDescent="0.25">
      <c r="A339">
        <v>57</v>
      </c>
      <c r="B339">
        <v>91.5</v>
      </c>
      <c r="C339">
        <v>4.4000000000000004</v>
      </c>
    </row>
    <row r="340" spans="1:3" x14ac:dyDescent="0.25">
      <c r="A340">
        <v>58</v>
      </c>
      <c r="B340">
        <v>91.1</v>
      </c>
      <c r="C340">
        <v>2.2999999999999998</v>
      </c>
    </row>
    <row r="341" spans="1:3" x14ac:dyDescent="0.25">
      <c r="A341">
        <v>58</v>
      </c>
      <c r="B341">
        <v>89.7</v>
      </c>
      <c r="C341">
        <v>17.7</v>
      </c>
    </row>
    <row r="342" spans="1:3" x14ac:dyDescent="0.25">
      <c r="A342">
        <v>58</v>
      </c>
      <c r="B342">
        <v>90</v>
      </c>
      <c r="C342">
        <v>6.5</v>
      </c>
    </row>
    <row r="343" spans="1:3" x14ac:dyDescent="0.25">
      <c r="A343">
        <v>58</v>
      </c>
      <c r="B343">
        <v>89.7</v>
      </c>
      <c r="C343">
        <v>14</v>
      </c>
    </row>
    <row r="344" spans="1:3" x14ac:dyDescent="0.25">
      <c r="A344">
        <v>58</v>
      </c>
      <c r="B344">
        <v>89</v>
      </c>
      <c r="C344">
        <v>42.2</v>
      </c>
    </row>
    <row r="345" spans="1:3" x14ac:dyDescent="0.25">
      <c r="A345">
        <v>59</v>
      </c>
      <c r="B345">
        <v>90.8</v>
      </c>
      <c r="C345">
        <v>5.3</v>
      </c>
    </row>
    <row r="346" spans="1:3" x14ac:dyDescent="0.25">
      <c r="A346">
        <v>59</v>
      </c>
      <c r="B346">
        <v>90.4</v>
      </c>
      <c r="C346">
        <v>3.6</v>
      </c>
    </row>
    <row r="347" spans="1:3" x14ac:dyDescent="0.25">
      <c r="A347">
        <v>59</v>
      </c>
      <c r="B347">
        <v>89.4</v>
      </c>
      <c r="C347">
        <v>20.7</v>
      </c>
    </row>
    <row r="348" spans="1:3" x14ac:dyDescent="0.25">
      <c r="A348">
        <v>59</v>
      </c>
      <c r="B348">
        <v>90</v>
      </c>
      <c r="C348">
        <v>6.2</v>
      </c>
    </row>
    <row r="349" spans="1:3" x14ac:dyDescent="0.25">
      <c r="A349">
        <v>59</v>
      </c>
      <c r="B349">
        <v>89.6</v>
      </c>
      <c r="C349">
        <v>16.399999999999999</v>
      </c>
    </row>
    <row r="350" spans="1:3" x14ac:dyDescent="0.25">
      <c r="A350">
        <v>60</v>
      </c>
      <c r="B350">
        <v>89.1</v>
      </c>
      <c r="C350">
        <v>44.7</v>
      </c>
    </row>
    <row r="351" spans="1:3" x14ac:dyDescent="0.25">
      <c r="A351">
        <v>60</v>
      </c>
      <c r="B351">
        <v>90.9</v>
      </c>
      <c r="C351">
        <v>5.7</v>
      </c>
    </row>
    <row r="352" spans="1:3" x14ac:dyDescent="0.25">
      <c r="A352">
        <v>60</v>
      </c>
      <c r="B352">
        <v>90.6</v>
      </c>
      <c r="C352">
        <v>2.6</v>
      </c>
    </row>
    <row r="353" spans="1:3" x14ac:dyDescent="0.25">
      <c r="A353">
        <v>60</v>
      </c>
      <c r="B353">
        <v>89.7</v>
      </c>
      <c r="C353">
        <v>14.5</v>
      </c>
    </row>
    <row r="354" spans="1:3" x14ac:dyDescent="0.25">
      <c r="A354">
        <v>60</v>
      </c>
      <c r="B354">
        <v>89.7</v>
      </c>
      <c r="C354">
        <v>9</v>
      </c>
    </row>
    <row r="355" spans="1:3" x14ac:dyDescent="0.25">
      <c r="A355">
        <v>60</v>
      </c>
      <c r="B355">
        <v>89.7</v>
      </c>
      <c r="C355">
        <v>9.5</v>
      </c>
    </row>
    <row r="356" spans="1:3" x14ac:dyDescent="0.25">
      <c r="A356">
        <v>61</v>
      </c>
      <c r="B356">
        <v>89.6</v>
      </c>
      <c r="C356">
        <v>16.3</v>
      </c>
    </row>
    <row r="357" spans="1:3" x14ac:dyDescent="0.25">
      <c r="A357">
        <v>61</v>
      </c>
      <c r="B357">
        <v>89.6</v>
      </c>
      <c r="C357">
        <v>19.100000000000001</v>
      </c>
    </row>
    <row r="358" spans="1:3" x14ac:dyDescent="0.25">
      <c r="A358">
        <v>61</v>
      </c>
      <c r="B358">
        <v>89.4</v>
      </c>
      <c r="C358">
        <v>30.4</v>
      </c>
    </row>
    <row r="359" spans="1:3" x14ac:dyDescent="0.25">
      <c r="A359">
        <v>61</v>
      </c>
      <c r="B359">
        <v>91.5</v>
      </c>
      <c r="C359">
        <v>12.6</v>
      </c>
    </row>
    <row r="360" spans="1:3" x14ac:dyDescent="0.25">
      <c r="A360">
        <v>61</v>
      </c>
      <c r="B360">
        <v>93.1</v>
      </c>
      <c r="C360">
        <v>1.1000000000000001</v>
      </c>
    </row>
    <row r="361" spans="1:3" x14ac:dyDescent="0.25">
      <c r="A361">
        <v>62</v>
      </c>
      <c r="B361">
        <v>91.3</v>
      </c>
      <c r="C361">
        <v>7.5</v>
      </c>
    </row>
    <row r="362" spans="1:3" x14ac:dyDescent="0.25">
      <c r="A362">
        <v>62</v>
      </c>
      <c r="B362">
        <v>90.8</v>
      </c>
      <c r="C362">
        <v>10.6</v>
      </c>
    </row>
    <row r="363" spans="1:3" x14ac:dyDescent="0.25">
      <c r="A363">
        <v>62</v>
      </c>
      <c r="B363">
        <v>90.5</v>
      </c>
      <c r="C363">
        <v>3</v>
      </c>
    </row>
    <row r="364" spans="1:3" x14ac:dyDescent="0.25">
      <c r="A364">
        <v>62</v>
      </c>
      <c r="B364">
        <v>89.5</v>
      </c>
      <c r="C364">
        <v>19.5</v>
      </c>
    </row>
    <row r="365" spans="1:3" x14ac:dyDescent="0.25">
      <c r="A365">
        <v>62</v>
      </c>
      <c r="B365">
        <v>90.1</v>
      </c>
      <c r="C365">
        <v>3</v>
      </c>
    </row>
    <row r="366" spans="1:3" x14ac:dyDescent="0.25">
      <c r="A366">
        <v>63</v>
      </c>
      <c r="B366">
        <v>89.6</v>
      </c>
      <c r="C366">
        <v>14.9</v>
      </c>
    </row>
    <row r="367" spans="1:3" x14ac:dyDescent="0.25">
      <c r="A367">
        <v>63</v>
      </c>
      <c r="B367">
        <v>89.6</v>
      </c>
      <c r="C367">
        <v>14.4</v>
      </c>
    </row>
    <row r="368" spans="1:3" x14ac:dyDescent="0.25">
      <c r="A368">
        <v>63</v>
      </c>
      <c r="B368">
        <v>89.6</v>
      </c>
      <c r="C368">
        <v>17.2</v>
      </c>
    </row>
    <row r="369" spans="1:3" x14ac:dyDescent="0.25">
      <c r="A369">
        <v>63</v>
      </c>
      <c r="B369">
        <v>89.9</v>
      </c>
      <c r="C369">
        <v>11.4</v>
      </c>
    </row>
    <row r="370" spans="1:3" x14ac:dyDescent="0.25">
      <c r="A370">
        <v>63</v>
      </c>
      <c r="B370">
        <v>90.1</v>
      </c>
      <c r="C370">
        <v>8.5</v>
      </c>
    </row>
    <row r="371" spans="1:3" x14ac:dyDescent="0.25">
      <c r="A371">
        <v>64</v>
      </c>
      <c r="B371">
        <v>89.9</v>
      </c>
      <c r="C371">
        <v>16</v>
      </c>
    </row>
    <row r="372" spans="1:3" x14ac:dyDescent="0.25">
      <c r="A372">
        <v>64</v>
      </c>
      <c r="B372">
        <v>89.9</v>
      </c>
      <c r="C372">
        <v>12.6</v>
      </c>
    </row>
    <row r="373" spans="1:3" x14ac:dyDescent="0.25">
      <c r="A373">
        <v>64</v>
      </c>
      <c r="B373">
        <v>89.9</v>
      </c>
      <c r="C373">
        <v>20.3</v>
      </c>
    </row>
    <row r="374" spans="1:3" x14ac:dyDescent="0.25">
      <c r="A374">
        <v>64</v>
      </c>
      <c r="B374">
        <v>91.2</v>
      </c>
      <c r="C374">
        <v>2.6</v>
      </c>
    </row>
    <row r="375" spans="1:3" x14ac:dyDescent="0.25">
      <c r="A375">
        <v>64</v>
      </c>
      <c r="B375">
        <v>90.4</v>
      </c>
      <c r="C375">
        <v>5.0999999999999996</v>
      </c>
    </row>
    <row r="376" spans="1:3" x14ac:dyDescent="0.25">
      <c r="A376">
        <v>65</v>
      </c>
      <c r="B376">
        <v>90.1</v>
      </c>
      <c r="C376">
        <v>6.9</v>
      </c>
    </row>
    <row r="377" spans="1:3" x14ac:dyDescent="0.25">
      <c r="A377">
        <v>65</v>
      </c>
      <c r="B377">
        <v>90</v>
      </c>
      <c r="C377">
        <v>6</v>
      </c>
    </row>
    <row r="378" spans="1:3" x14ac:dyDescent="0.25">
      <c r="A378">
        <v>65</v>
      </c>
      <c r="B378">
        <v>89.8</v>
      </c>
      <c r="C378">
        <v>5.8</v>
      </c>
    </row>
    <row r="379" spans="1:3" x14ac:dyDescent="0.25">
      <c r="A379">
        <v>65</v>
      </c>
      <c r="B379">
        <v>89.7</v>
      </c>
      <c r="C379">
        <v>9.9</v>
      </c>
    </row>
    <row r="380" spans="1:3" x14ac:dyDescent="0.25">
      <c r="A380">
        <v>65</v>
      </c>
      <c r="B380">
        <v>89.7</v>
      </c>
      <c r="C380">
        <v>9.3000000000000007</v>
      </c>
    </row>
    <row r="381" spans="1:3" x14ac:dyDescent="0.25">
      <c r="A381">
        <v>66</v>
      </c>
      <c r="B381">
        <v>89.8</v>
      </c>
      <c r="C381">
        <v>12</v>
      </c>
    </row>
    <row r="382" spans="1:3" x14ac:dyDescent="0.25">
      <c r="A382">
        <v>66</v>
      </c>
      <c r="B382">
        <v>89</v>
      </c>
      <c r="C382">
        <v>43.1</v>
      </c>
    </row>
    <row r="383" spans="1:3" x14ac:dyDescent="0.25">
      <c r="A383">
        <v>66</v>
      </c>
      <c r="B383">
        <v>89.5</v>
      </c>
      <c r="C383">
        <v>29.3</v>
      </c>
    </row>
    <row r="384" spans="1:3" x14ac:dyDescent="0.25">
      <c r="A384">
        <v>66</v>
      </c>
      <c r="B384">
        <v>89.6</v>
      </c>
      <c r="C384">
        <v>31.3</v>
      </c>
    </row>
    <row r="385" spans="1:3" x14ac:dyDescent="0.25">
      <c r="A385">
        <v>66</v>
      </c>
      <c r="B385">
        <v>92.7</v>
      </c>
      <c r="C385">
        <v>5.3</v>
      </c>
    </row>
    <row r="386" spans="1:3" x14ac:dyDescent="0.25">
      <c r="A386">
        <v>66</v>
      </c>
      <c r="B386">
        <v>92.7</v>
      </c>
      <c r="C386">
        <v>0.6</v>
      </c>
    </row>
    <row r="387" spans="1:3" x14ac:dyDescent="0.25">
      <c r="A387">
        <v>67</v>
      </c>
      <c r="B387">
        <v>90.7</v>
      </c>
      <c r="C387">
        <v>7.1</v>
      </c>
    </row>
    <row r="388" spans="1:3" x14ac:dyDescent="0.25">
      <c r="A388">
        <v>67</v>
      </c>
      <c r="B388">
        <v>90.2</v>
      </c>
      <c r="C388">
        <v>3.3</v>
      </c>
    </row>
    <row r="389" spans="1:3" x14ac:dyDescent="0.25">
      <c r="A389">
        <v>67</v>
      </c>
      <c r="B389">
        <v>89.6</v>
      </c>
      <c r="C389">
        <v>15.5</v>
      </c>
    </row>
    <row r="390" spans="1:3" x14ac:dyDescent="0.25">
      <c r="A390">
        <v>67</v>
      </c>
      <c r="B390">
        <v>89.3</v>
      </c>
      <c r="C390">
        <v>25.2</v>
      </c>
    </row>
    <row r="391" spans="1:3" x14ac:dyDescent="0.25">
      <c r="A391">
        <v>67</v>
      </c>
      <c r="B391">
        <v>90.3</v>
      </c>
      <c r="C391">
        <v>3.3</v>
      </c>
    </row>
    <row r="392" spans="1:3" x14ac:dyDescent="0.25">
      <c r="A392">
        <v>68</v>
      </c>
      <c r="B392">
        <v>89.6</v>
      </c>
      <c r="C392">
        <v>23.1</v>
      </c>
    </row>
    <row r="393" spans="1:3" x14ac:dyDescent="0.25">
      <c r="A393">
        <v>68</v>
      </c>
      <c r="B393">
        <v>89.5</v>
      </c>
      <c r="C393">
        <v>23.8</v>
      </c>
    </row>
    <row r="394" spans="1:3" x14ac:dyDescent="0.25">
      <c r="A394">
        <v>68</v>
      </c>
      <c r="B394">
        <v>90.5</v>
      </c>
      <c r="C394">
        <v>4.4000000000000004</v>
      </c>
    </row>
    <row r="395" spans="1:3" x14ac:dyDescent="0.25">
      <c r="A395">
        <v>68</v>
      </c>
      <c r="B395">
        <v>90.7</v>
      </c>
      <c r="C395">
        <v>0.6</v>
      </c>
    </row>
    <row r="396" spans="1:3" x14ac:dyDescent="0.25">
      <c r="A396">
        <v>68</v>
      </c>
      <c r="B396">
        <v>89.5</v>
      </c>
      <c r="C396">
        <v>28.4</v>
      </c>
    </row>
    <row r="397" spans="1:3" x14ac:dyDescent="0.25">
      <c r="A397">
        <v>69</v>
      </c>
      <c r="B397">
        <v>90.1</v>
      </c>
      <c r="C397">
        <v>4.5</v>
      </c>
    </row>
    <row r="398" spans="1:3" x14ac:dyDescent="0.25">
      <c r="A398">
        <v>69</v>
      </c>
      <c r="B398">
        <v>89.7</v>
      </c>
      <c r="C398">
        <v>13.5</v>
      </c>
    </row>
    <row r="399" spans="1:3" x14ac:dyDescent="0.25">
      <c r="A399">
        <v>69</v>
      </c>
      <c r="B399">
        <v>89.5</v>
      </c>
      <c r="C399">
        <v>19.399999999999999</v>
      </c>
    </row>
    <row r="400" spans="1:3" x14ac:dyDescent="0.25">
      <c r="A400">
        <v>69</v>
      </c>
      <c r="B400">
        <v>90.3</v>
      </c>
      <c r="C400">
        <v>1.7</v>
      </c>
    </row>
    <row r="401" spans="1:3" x14ac:dyDescent="0.25">
      <c r="A401">
        <v>69</v>
      </c>
      <c r="B401">
        <v>90.1</v>
      </c>
      <c r="C401">
        <v>4</v>
      </c>
    </row>
    <row r="402" spans="1:3" x14ac:dyDescent="0.25">
      <c r="A402">
        <v>70</v>
      </c>
      <c r="B402">
        <v>89.5</v>
      </c>
      <c r="C402">
        <v>17.100000000000001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E0148-FAAE-4B3F-AE6E-DEFD126065EE}">
  <dimension ref="A1:C139"/>
  <sheetViews>
    <sheetView workbookViewId="0">
      <selection activeCell="C91" sqref="C91"/>
    </sheetView>
  </sheetViews>
  <sheetFormatPr defaultRowHeight="15" x14ac:dyDescent="0.25"/>
  <cols>
    <col min="1" max="1" width="7.42578125" bestFit="1" customWidth="1"/>
    <col min="2" max="2" width="5" bestFit="1" customWidth="1"/>
    <col min="3" max="3" width="7.85546875" bestFit="1" customWidth="1"/>
  </cols>
  <sheetData>
    <row r="1" spans="1:3" x14ac:dyDescent="0.25">
      <c r="A1" t="s">
        <v>5</v>
      </c>
      <c r="B1" t="s">
        <v>10</v>
      </c>
      <c r="C1" t="s">
        <v>11</v>
      </c>
    </row>
    <row r="2" spans="1:3" x14ac:dyDescent="0.25">
      <c r="A2">
        <v>0</v>
      </c>
      <c r="B2">
        <v>25</v>
      </c>
      <c r="C2">
        <v>0</v>
      </c>
    </row>
    <row r="3" spans="1:3" x14ac:dyDescent="0.25">
      <c r="A3">
        <v>0</v>
      </c>
      <c r="B3">
        <v>25.1</v>
      </c>
      <c r="C3">
        <v>0</v>
      </c>
    </row>
    <row r="4" spans="1:3" x14ac:dyDescent="0.25">
      <c r="A4">
        <v>0</v>
      </c>
      <c r="B4">
        <v>25.7</v>
      </c>
      <c r="C4">
        <v>81.400000000000006</v>
      </c>
    </row>
    <row r="5" spans="1:3" x14ac:dyDescent="0.25">
      <c r="A5">
        <v>0</v>
      </c>
      <c r="B5">
        <v>30</v>
      </c>
      <c r="C5">
        <v>19.2</v>
      </c>
    </row>
    <row r="6" spans="1:3" x14ac:dyDescent="0.25">
      <c r="A6">
        <v>0</v>
      </c>
      <c r="B6">
        <v>32.9</v>
      </c>
      <c r="C6">
        <v>40</v>
      </c>
    </row>
    <row r="7" spans="1:3" x14ac:dyDescent="0.25">
      <c r="A7">
        <v>1</v>
      </c>
      <c r="B7">
        <v>35.1</v>
      </c>
      <c r="C7">
        <v>57.4</v>
      </c>
    </row>
    <row r="8" spans="1:3" x14ac:dyDescent="0.25">
      <c r="A8">
        <v>1</v>
      </c>
      <c r="B8">
        <v>38.4</v>
      </c>
      <c r="C8">
        <v>34</v>
      </c>
    </row>
    <row r="9" spans="1:3" x14ac:dyDescent="0.25">
      <c r="A9">
        <v>1</v>
      </c>
      <c r="B9">
        <v>39.200000000000003</v>
      </c>
      <c r="C9">
        <v>90.1</v>
      </c>
    </row>
    <row r="10" spans="1:3" x14ac:dyDescent="0.25">
      <c r="A10">
        <v>1</v>
      </c>
      <c r="B10">
        <v>40.1</v>
      </c>
      <c r="C10">
        <v>92.8</v>
      </c>
    </row>
    <row r="11" spans="1:3" x14ac:dyDescent="0.25">
      <c r="A11">
        <v>1</v>
      </c>
      <c r="B11">
        <v>41.4</v>
      </c>
      <c r="C11">
        <v>82.5</v>
      </c>
    </row>
    <row r="12" spans="1:3" x14ac:dyDescent="0.25">
      <c r="A12">
        <v>1</v>
      </c>
      <c r="B12">
        <v>42.5</v>
      </c>
      <c r="C12">
        <v>92.1</v>
      </c>
    </row>
    <row r="13" spans="1:3" x14ac:dyDescent="0.25">
      <c r="A13">
        <v>2</v>
      </c>
      <c r="B13">
        <v>43.1</v>
      </c>
      <c r="C13">
        <v>94.9</v>
      </c>
    </row>
    <row r="14" spans="1:3" x14ac:dyDescent="0.25">
      <c r="A14">
        <v>2</v>
      </c>
      <c r="B14">
        <v>44.2</v>
      </c>
      <c r="C14">
        <v>92.7</v>
      </c>
    </row>
    <row r="15" spans="1:3" x14ac:dyDescent="0.25">
      <c r="A15">
        <v>2</v>
      </c>
      <c r="B15">
        <v>44.8</v>
      </c>
      <c r="C15">
        <v>98.6</v>
      </c>
    </row>
    <row r="16" spans="1:3" x14ac:dyDescent="0.25">
      <c r="A16">
        <v>2</v>
      </c>
      <c r="B16">
        <v>45.8</v>
      </c>
      <c r="C16">
        <v>97.3</v>
      </c>
    </row>
    <row r="17" spans="1:3" x14ac:dyDescent="0.25">
      <c r="A17">
        <v>2</v>
      </c>
      <c r="B17">
        <v>47.8</v>
      </c>
      <c r="C17">
        <v>64.7</v>
      </c>
    </row>
    <row r="18" spans="1:3" x14ac:dyDescent="0.25">
      <c r="A18">
        <v>2</v>
      </c>
      <c r="B18">
        <v>47.9</v>
      </c>
      <c r="C18">
        <v>95.4</v>
      </c>
    </row>
    <row r="19" spans="1:3" x14ac:dyDescent="0.25">
      <c r="A19">
        <v>3</v>
      </c>
      <c r="B19">
        <v>47.7</v>
      </c>
      <c r="C19">
        <v>99.4</v>
      </c>
    </row>
    <row r="20" spans="1:3" x14ac:dyDescent="0.25">
      <c r="A20">
        <v>3</v>
      </c>
      <c r="B20">
        <v>48.7</v>
      </c>
      <c r="C20">
        <v>93.4</v>
      </c>
    </row>
    <row r="21" spans="1:3" x14ac:dyDescent="0.25">
      <c r="A21">
        <v>3</v>
      </c>
      <c r="B21">
        <v>49.5</v>
      </c>
      <c r="C21">
        <v>88.7</v>
      </c>
    </row>
    <row r="22" spans="1:3" x14ac:dyDescent="0.25">
      <c r="A22">
        <v>3</v>
      </c>
      <c r="B22">
        <v>50.4</v>
      </c>
      <c r="C22">
        <v>90.4</v>
      </c>
    </row>
    <row r="23" spans="1:3" x14ac:dyDescent="0.25">
      <c r="A23">
        <v>3</v>
      </c>
      <c r="B23">
        <v>51.6</v>
      </c>
      <c r="C23">
        <v>82.6</v>
      </c>
    </row>
    <row r="24" spans="1:3" x14ac:dyDescent="0.25">
      <c r="A24">
        <v>3</v>
      </c>
      <c r="B24">
        <v>51.9</v>
      </c>
      <c r="C24">
        <v>93.7</v>
      </c>
    </row>
    <row r="25" spans="1:3" x14ac:dyDescent="0.25">
      <c r="A25">
        <v>4</v>
      </c>
      <c r="B25">
        <v>51.6</v>
      </c>
      <c r="C25">
        <v>99.1</v>
      </c>
    </row>
    <row r="26" spans="1:3" x14ac:dyDescent="0.25">
      <c r="A26">
        <v>4</v>
      </c>
      <c r="B26">
        <v>52.7</v>
      </c>
      <c r="C26">
        <v>88.6</v>
      </c>
    </row>
    <row r="27" spans="1:3" x14ac:dyDescent="0.25">
      <c r="A27">
        <v>4</v>
      </c>
      <c r="B27">
        <v>52.8</v>
      </c>
      <c r="C27">
        <v>96.6</v>
      </c>
    </row>
    <row r="28" spans="1:3" x14ac:dyDescent="0.25">
      <c r="A28">
        <v>4</v>
      </c>
      <c r="B28">
        <v>54.3</v>
      </c>
      <c r="C28">
        <v>85.8</v>
      </c>
    </row>
    <row r="29" spans="1:3" x14ac:dyDescent="0.25">
      <c r="A29">
        <v>4</v>
      </c>
      <c r="B29">
        <v>55.3</v>
      </c>
      <c r="C29">
        <v>92</v>
      </c>
    </row>
    <row r="30" spans="1:3" x14ac:dyDescent="0.25">
      <c r="A30">
        <v>4</v>
      </c>
      <c r="B30">
        <v>56.5</v>
      </c>
      <c r="C30">
        <v>90.8</v>
      </c>
    </row>
    <row r="31" spans="1:3" x14ac:dyDescent="0.25">
      <c r="A31">
        <v>5</v>
      </c>
      <c r="B31">
        <v>56.9</v>
      </c>
      <c r="C31">
        <v>96.2</v>
      </c>
    </row>
    <row r="32" spans="1:3" x14ac:dyDescent="0.25">
      <c r="A32">
        <v>5</v>
      </c>
      <c r="B32">
        <v>58.5</v>
      </c>
      <c r="C32">
        <v>93</v>
      </c>
    </row>
    <row r="33" spans="1:3" x14ac:dyDescent="0.25">
      <c r="A33">
        <v>5</v>
      </c>
      <c r="B33">
        <v>58.5</v>
      </c>
      <c r="C33">
        <v>98.9</v>
      </c>
    </row>
    <row r="34" spans="1:3" x14ac:dyDescent="0.25">
      <c r="A34">
        <v>5</v>
      </c>
      <c r="B34">
        <v>58.3</v>
      </c>
      <c r="C34">
        <v>99.8</v>
      </c>
    </row>
    <row r="35" spans="1:3" x14ac:dyDescent="0.25">
      <c r="A35">
        <v>5</v>
      </c>
      <c r="B35">
        <v>59.2</v>
      </c>
      <c r="C35">
        <v>96.5</v>
      </c>
    </row>
    <row r="36" spans="1:3" x14ac:dyDescent="0.25">
      <c r="A36">
        <v>5</v>
      </c>
      <c r="B36">
        <v>59.2</v>
      </c>
      <c r="C36">
        <v>99.5</v>
      </c>
    </row>
    <row r="37" spans="1:3" x14ac:dyDescent="0.25">
      <c r="A37">
        <v>6</v>
      </c>
      <c r="B37">
        <v>60.3</v>
      </c>
      <c r="C37">
        <v>87.5</v>
      </c>
    </row>
    <row r="38" spans="1:3" x14ac:dyDescent="0.25">
      <c r="A38">
        <v>6</v>
      </c>
      <c r="B38">
        <v>61</v>
      </c>
      <c r="C38">
        <v>95.5</v>
      </c>
    </row>
    <row r="39" spans="1:3" x14ac:dyDescent="0.25">
      <c r="A39">
        <v>6</v>
      </c>
      <c r="B39">
        <v>60.4</v>
      </c>
      <c r="C39">
        <v>99.4</v>
      </c>
    </row>
    <row r="40" spans="1:3" x14ac:dyDescent="0.25">
      <c r="A40">
        <v>6</v>
      </c>
      <c r="B40">
        <v>61</v>
      </c>
      <c r="C40">
        <v>99.1</v>
      </c>
    </row>
    <row r="41" spans="1:3" x14ac:dyDescent="0.25">
      <c r="A41">
        <v>6</v>
      </c>
      <c r="B41">
        <v>62.2</v>
      </c>
      <c r="C41">
        <v>93.2</v>
      </c>
    </row>
    <row r="42" spans="1:3" x14ac:dyDescent="0.25">
      <c r="A42">
        <v>6</v>
      </c>
      <c r="B42">
        <v>63.4</v>
      </c>
      <c r="C42">
        <v>97.7</v>
      </c>
    </row>
    <row r="43" spans="1:3" x14ac:dyDescent="0.25">
      <c r="A43">
        <v>7</v>
      </c>
      <c r="B43">
        <v>62.8</v>
      </c>
      <c r="C43">
        <v>99.7</v>
      </c>
    </row>
    <row r="44" spans="1:3" x14ac:dyDescent="0.25">
      <c r="A44">
        <v>7</v>
      </c>
      <c r="B44">
        <v>62.9</v>
      </c>
      <c r="C44">
        <v>97.4</v>
      </c>
    </row>
    <row r="45" spans="1:3" x14ac:dyDescent="0.25">
      <c r="A45">
        <v>7</v>
      </c>
      <c r="B45">
        <v>63.9</v>
      </c>
      <c r="C45">
        <v>98.5</v>
      </c>
    </row>
    <row r="46" spans="1:3" x14ac:dyDescent="0.25">
      <c r="A46">
        <v>7</v>
      </c>
      <c r="B46">
        <v>64.099999999999994</v>
      </c>
      <c r="C46">
        <v>99.8</v>
      </c>
    </row>
    <row r="47" spans="1:3" x14ac:dyDescent="0.25">
      <c r="A47">
        <v>7</v>
      </c>
      <c r="B47">
        <v>65.5</v>
      </c>
      <c r="C47">
        <v>92.8</v>
      </c>
    </row>
    <row r="48" spans="1:3" x14ac:dyDescent="0.25">
      <c r="A48">
        <v>7</v>
      </c>
      <c r="B48">
        <v>66.5</v>
      </c>
      <c r="C48">
        <v>97.4</v>
      </c>
    </row>
    <row r="49" spans="1:3" x14ac:dyDescent="0.25">
      <c r="A49">
        <v>8</v>
      </c>
      <c r="B49">
        <v>66</v>
      </c>
      <c r="C49">
        <v>99.6</v>
      </c>
    </row>
    <row r="50" spans="1:3" x14ac:dyDescent="0.25">
      <c r="A50">
        <v>8</v>
      </c>
      <c r="B50">
        <v>67</v>
      </c>
      <c r="C50">
        <v>98.8</v>
      </c>
    </row>
    <row r="51" spans="1:3" x14ac:dyDescent="0.25">
      <c r="A51">
        <v>8</v>
      </c>
      <c r="B51">
        <v>66.3</v>
      </c>
      <c r="C51">
        <v>99.8</v>
      </c>
    </row>
    <row r="52" spans="1:3" x14ac:dyDescent="0.25">
      <c r="A52">
        <v>8</v>
      </c>
      <c r="B52">
        <v>66.900000000000006</v>
      </c>
      <c r="C52">
        <v>99.8</v>
      </c>
    </row>
    <row r="53" spans="1:3" x14ac:dyDescent="0.25">
      <c r="A53">
        <v>8</v>
      </c>
      <c r="B53">
        <v>67.8</v>
      </c>
      <c r="C53">
        <v>98.7</v>
      </c>
    </row>
    <row r="54" spans="1:3" x14ac:dyDescent="0.25">
      <c r="A54">
        <v>8</v>
      </c>
      <c r="B54">
        <v>68.7</v>
      </c>
      <c r="C54">
        <v>99.6</v>
      </c>
    </row>
    <row r="55" spans="1:3" x14ac:dyDescent="0.25">
      <c r="A55">
        <v>9</v>
      </c>
      <c r="B55">
        <v>69</v>
      </c>
      <c r="C55">
        <v>99.9</v>
      </c>
    </row>
    <row r="56" spans="1:3" x14ac:dyDescent="0.25">
      <c r="A56">
        <v>9</v>
      </c>
      <c r="B56">
        <v>68.2</v>
      </c>
      <c r="C56">
        <v>99.9</v>
      </c>
    </row>
    <row r="57" spans="1:3" x14ac:dyDescent="0.25">
      <c r="A57">
        <v>9</v>
      </c>
      <c r="B57">
        <v>69.2</v>
      </c>
      <c r="C57">
        <v>98.3</v>
      </c>
    </row>
    <row r="58" spans="1:3" x14ac:dyDescent="0.25">
      <c r="A58">
        <v>9</v>
      </c>
      <c r="B58">
        <v>68.900000000000006</v>
      </c>
      <c r="C58">
        <v>99.7</v>
      </c>
    </row>
    <row r="59" spans="1:3" x14ac:dyDescent="0.25">
      <c r="A59">
        <v>9</v>
      </c>
      <c r="B59">
        <v>68.5</v>
      </c>
      <c r="C59">
        <v>99.9</v>
      </c>
    </row>
    <row r="60" spans="1:3" x14ac:dyDescent="0.25">
      <c r="A60">
        <v>9</v>
      </c>
      <c r="B60">
        <v>69.8</v>
      </c>
      <c r="C60">
        <v>97.1</v>
      </c>
    </row>
    <row r="61" spans="1:3" x14ac:dyDescent="0.25">
      <c r="A61">
        <v>10</v>
      </c>
      <c r="B61">
        <v>70.7</v>
      </c>
      <c r="C61">
        <v>98.5</v>
      </c>
    </row>
    <row r="62" spans="1:3" x14ac:dyDescent="0.25">
      <c r="A62">
        <v>10</v>
      </c>
      <c r="B62">
        <v>69.8</v>
      </c>
      <c r="C62">
        <v>98.9</v>
      </c>
    </row>
    <row r="63" spans="1:3" x14ac:dyDescent="0.25">
      <c r="A63">
        <v>10</v>
      </c>
      <c r="B63">
        <v>71</v>
      </c>
      <c r="C63">
        <v>98.1</v>
      </c>
    </row>
    <row r="64" spans="1:3" x14ac:dyDescent="0.25">
      <c r="A64">
        <v>10</v>
      </c>
      <c r="B64">
        <v>71.900000000000006</v>
      </c>
      <c r="C64">
        <v>99.7</v>
      </c>
    </row>
    <row r="65" spans="1:3" x14ac:dyDescent="0.25">
      <c r="A65">
        <v>10</v>
      </c>
      <c r="B65">
        <v>70.599999999999994</v>
      </c>
      <c r="C65">
        <v>99.9</v>
      </c>
    </row>
    <row r="66" spans="1:3" x14ac:dyDescent="0.25">
      <c r="A66">
        <v>10</v>
      </c>
      <c r="B66">
        <v>71.900000000000006</v>
      </c>
      <c r="C66">
        <v>98.3</v>
      </c>
    </row>
    <row r="67" spans="1:3" x14ac:dyDescent="0.25">
      <c r="A67">
        <v>11</v>
      </c>
      <c r="B67">
        <v>73</v>
      </c>
      <c r="C67">
        <v>98.1</v>
      </c>
    </row>
    <row r="68" spans="1:3" x14ac:dyDescent="0.25">
      <c r="A68">
        <v>11</v>
      </c>
      <c r="B68">
        <v>72.900000000000006</v>
      </c>
      <c r="C68">
        <v>99.7</v>
      </c>
    </row>
    <row r="69" spans="1:3" x14ac:dyDescent="0.25">
      <c r="A69">
        <v>11</v>
      </c>
      <c r="B69">
        <v>74.099999999999994</v>
      </c>
      <c r="C69">
        <v>96.4</v>
      </c>
    </row>
    <row r="70" spans="1:3" x14ac:dyDescent="0.25">
      <c r="A70">
        <v>11</v>
      </c>
      <c r="B70">
        <v>74.5</v>
      </c>
      <c r="C70">
        <v>99.5</v>
      </c>
    </row>
    <row r="71" spans="1:3" x14ac:dyDescent="0.25">
      <c r="A71">
        <v>11</v>
      </c>
      <c r="B71">
        <v>74.8</v>
      </c>
      <c r="C71">
        <v>99.9</v>
      </c>
    </row>
    <row r="72" spans="1:3" x14ac:dyDescent="0.25">
      <c r="A72">
        <v>11</v>
      </c>
      <c r="B72">
        <v>73.5</v>
      </c>
      <c r="C72">
        <v>99.9</v>
      </c>
    </row>
    <row r="73" spans="1:3" x14ac:dyDescent="0.25">
      <c r="A73">
        <v>12</v>
      </c>
      <c r="B73">
        <v>73.7</v>
      </c>
      <c r="C73">
        <v>99.7</v>
      </c>
    </row>
    <row r="74" spans="1:3" x14ac:dyDescent="0.25">
      <c r="A74">
        <v>12</v>
      </c>
      <c r="B74">
        <v>74.900000000000006</v>
      </c>
      <c r="C74">
        <v>95.5</v>
      </c>
    </row>
    <row r="75" spans="1:3" x14ac:dyDescent="0.25">
      <c r="A75">
        <v>12</v>
      </c>
      <c r="B75">
        <v>75.2</v>
      </c>
      <c r="C75">
        <v>99.4</v>
      </c>
    </row>
    <row r="76" spans="1:3" x14ac:dyDescent="0.25">
      <c r="A76">
        <v>12</v>
      </c>
      <c r="B76">
        <v>74.5</v>
      </c>
      <c r="C76">
        <v>99.9</v>
      </c>
    </row>
    <row r="77" spans="1:3" x14ac:dyDescent="0.25">
      <c r="A77">
        <v>12</v>
      </c>
      <c r="B77">
        <v>73.8</v>
      </c>
      <c r="C77">
        <v>99.9</v>
      </c>
    </row>
    <row r="78" spans="1:3" x14ac:dyDescent="0.25">
      <c r="A78">
        <v>12</v>
      </c>
      <c r="B78">
        <v>75.8</v>
      </c>
      <c r="C78">
        <v>88.1</v>
      </c>
    </row>
    <row r="79" spans="1:3" x14ac:dyDescent="0.25">
      <c r="A79">
        <v>13</v>
      </c>
      <c r="B79">
        <v>75.599999999999994</v>
      </c>
      <c r="C79">
        <v>98.4</v>
      </c>
    </row>
    <row r="80" spans="1:3" x14ac:dyDescent="0.25">
      <c r="A80">
        <v>13</v>
      </c>
      <c r="B80">
        <v>76.2</v>
      </c>
      <c r="C80">
        <v>99.7</v>
      </c>
    </row>
    <row r="81" spans="1:3" x14ac:dyDescent="0.25">
      <c r="A81">
        <v>13</v>
      </c>
      <c r="B81">
        <v>76.8</v>
      </c>
      <c r="C81">
        <v>99.9</v>
      </c>
    </row>
    <row r="82" spans="1:3" x14ac:dyDescent="0.25">
      <c r="A82">
        <v>13</v>
      </c>
      <c r="B82">
        <v>76.900000000000006</v>
      </c>
      <c r="C82">
        <v>99.9</v>
      </c>
    </row>
    <row r="83" spans="1:3" x14ac:dyDescent="0.25">
      <c r="A83">
        <v>13</v>
      </c>
      <c r="B83">
        <v>77.599999999999994</v>
      </c>
      <c r="C83">
        <v>99.9</v>
      </c>
    </row>
    <row r="84" spans="1:3" x14ac:dyDescent="0.25">
      <c r="A84">
        <v>13</v>
      </c>
      <c r="B84">
        <v>77.5</v>
      </c>
      <c r="C84">
        <v>99.9</v>
      </c>
    </row>
    <row r="85" spans="1:3" x14ac:dyDescent="0.25">
      <c r="A85">
        <v>14</v>
      </c>
      <c r="B85">
        <v>77</v>
      </c>
      <c r="C85">
        <v>99.9</v>
      </c>
    </row>
    <row r="86" spans="1:3" x14ac:dyDescent="0.25">
      <c r="A86">
        <v>14</v>
      </c>
      <c r="B86">
        <v>78.099999999999994</v>
      </c>
      <c r="C86">
        <v>96.9</v>
      </c>
    </row>
    <row r="87" spans="1:3" x14ac:dyDescent="0.25">
      <c r="A87">
        <v>14</v>
      </c>
      <c r="B87">
        <v>78.900000000000006</v>
      </c>
      <c r="C87">
        <v>99.6</v>
      </c>
    </row>
    <row r="88" spans="1:3" x14ac:dyDescent="0.25">
      <c r="A88">
        <v>14</v>
      </c>
      <c r="B88">
        <v>79.2</v>
      </c>
      <c r="C88">
        <v>99.9</v>
      </c>
    </row>
    <row r="89" spans="1:3" x14ac:dyDescent="0.25">
      <c r="A89">
        <v>14</v>
      </c>
      <c r="B89">
        <v>79.2</v>
      </c>
      <c r="C89">
        <v>99.9</v>
      </c>
    </row>
    <row r="90" spans="1:3" x14ac:dyDescent="0.25">
      <c r="A90">
        <v>14</v>
      </c>
      <c r="B90">
        <v>79.599999999999994</v>
      </c>
      <c r="C90">
        <v>99.8</v>
      </c>
    </row>
    <row r="91" spans="1:3" x14ac:dyDescent="0.25">
      <c r="A91">
        <v>15</v>
      </c>
      <c r="B91">
        <v>79.900000000000006</v>
      </c>
      <c r="C91">
        <v>99.9</v>
      </c>
    </row>
    <row r="92" spans="1:3" x14ac:dyDescent="0.25">
      <c r="A92">
        <v>15</v>
      </c>
      <c r="B92">
        <v>80.2</v>
      </c>
      <c r="C92">
        <v>99.9</v>
      </c>
    </row>
    <row r="93" spans="1:3" x14ac:dyDescent="0.25">
      <c r="A93">
        <v>15</v>
      </c>
      <c r="B93">
        <v>79.8</v>
      </c>
      <c r="C93">
        <v>99.9</v>
      </c>
    </row>
    <row r="94" spans="1:3" x14ac:dyDescent="0.25">
      <c r="A94">
        <v>15</v>
      </c>
      <c r="B94">
        <v>80.099999999999994</v>
      </c>
      <c r="C94">
        <v>99.9</v>
      </c>
    </row>
    <row r="95" spans="1:3" x14ac:dyDescent="0.25">
      <c r="A95">
        <v>15</v>
      </c>
      <c r="B95">
        <v>81</v>
      </c>
      <c r="C95">
        <v>99.9</v>
      </c>
    </row>
    <row r="96" spans="1:3" x14ac:dyDescent="0.25">
      <c r="A96">
        <v>15</v>
      </c>
      <c r="B96">
        <v>80.400000000000006</v>
      </c>
      <c r="C96">
        <v>99.9</v>
      </c>
    </row>
    <row r="97" spans="1:3" x14ac:dyDescent="0.25">
      <c r="A97">
        <v>16</v>
      </c>
      <c r="B97">
        <v>80.599999999999994</v>
      </c>
      <c r="C97">
        <v>99.9</v>
      </c>
    </row>
    <row r="98" spans="1:3" x14ac:dyDescent="0.25">
      <c r="A98">
        <v>16</v>
      </c>
      <c r="B98">
        <v>81.400000000000006</v>
      </c>
      <c r="C98">
        <v>98.6</v>
      </c>
    </row>
    <row r="99" spans="1:3" x14ac:dyDescent="0.25">
      <c r="A99">
        <v>16</v>
      </c>
      <c r="B99">
        <v>81</v>
      </c>
      <c r="C99">
        <v>99.8</v>
      </c>
    </row>
    <row r="100" spans="1:3" x14ac:dyDescent="0.25">
      <c r="A100">
        <v>16</v>
      </c>
      <c r="B100">
        <v>82.2</v>
      </c>
      <c r="C100">
        <v>99.9</v>
      </c>
    </row>
    <row r="101" spans="1:3" x14ac:dyDescent="0.25">
      <c r="A101">
        <v>16</v>
      </c>
      <c r="B101">
        <v>82.9</v>
      </c>
      <c r="C101">
        <v>99.8</v>
      </c>
    </row>
    <row r="102" spans="1:3" x14ac:dyDescent="0.25">
      <c r="A102">
        <v>16</v>
      </c>
      <c r="B102">
        <v>83.4</v>
      </c>
      <c r="C102">
        <v>99.9</v>
      </c>
    </row>
    <row r="103" spans="1:3" x14ac:dyDescent="0.25">
      <c r="A103">
        <v>17</v>
      </c>
      <c r="B103">
        <v>83</v>
      </c>
      <c r="C103">
        <v>99.9</v>
      </c>
    </row>
    <row r="104" spans="1:3" x14ac:dyDescent="0.25">
      <c r="A104">
        <v>17</v>
      </c>
      <c r="B104">
        <v>82.9</v>
      </c>
      <c r="C104">
        <v>99.9</v>
      </c>
    </row>
    <row r="105" spans="1:3" x14ac:dyDescent="0.25">
      <c r="A105">
        <v>17</v>
      </c>
      <c r="B105">
        <v>81.099999999999994</v>
      </c>
      <c r="C105">
        <v>99.9</v>
      </c>
    </row>
    <row r="106" spans="1:3" x14ac:dyDescent="0.25">
      <c r="A106">
        <v>17</v>
      </c>
      <c r="B106">
        <v>82.1</v>
      </c>
      <c r="C106">
        <v>99.4</v>
      </c>
    </row>
    <row r="107" spans="1:3" x14ac:dyDescent="0.25">
      <c r="A107">
        <v>17</v>
      </c>
      <c r="B107">
        <v>83</v>
      </c>
      <c r="C107">
        <v>99.8</v>
      </c>
    </row>
    <row r="108" spans="1:3" x14ac:dyDescent="0.25">
      <c r="A108">
        <v>17</v>
      </c>
      <c r="B108">
        <v>82.7</v>
      </c>
      <c r="C108">
        <v>99.9</v>
      </c>
    </row>
    <row r="109" spans="1:3" x14ac:dyDescent="0.25">
      <c r="A109">
        <v>18</v>
      </c>
      <c r="B109">
        <v>83.7</v>
      </c>
      <c r="C109">
        <v>99.1</v>
      </c>
    </row>
    <row r="110" spans="1:3" x14ac:dyDescent="0.25">
      <c r="A110">
        <v>18</v>
      </c>
      <c r="B110">
        <v>84.4</v>
      </c>
      <c r="C110">
        <v>99.8</v>
      </c>
    </row>
    <row r="111" spans="1:3" x14ac:dyDescent="0.25">
      <c r="A111">
        <v>18</v>
      </c>
      <c r="B111">
        <v>84.1</v>
      </c>
      <c r="C111">
        <v>99.9</v>
      </c>
    </row>
    <row r="112" spans="1:3" x14ac:dyDescent="0.25">
      <c r="A112">
        <v>18</v>
      </c>
      <c r="B112">
        <v>83.8</v>
      </c>
      <c r="C112">
        <v>99.9</v>
      </c>
    </row>
    <row r="113" spans="1:3" x14ac:dyDescent="0.25">
      <c r="A113">
        <v>18</v>
      </c>
      <c r="B113">
        <v>83.8</v>
      </c>
      <c r="C113">
        <v>99.9</v>
      </c>
    </row>
    <row r="114" spans="1:3" x14ac:dyDescent="0.25">
      <c r="A114">
        <v>18</v>
      </c>
      <c r="B114">
        <v>85.2</v>
      </c>
      <c r="C114">
        <v>98.4</v>
      </c>
    </row>
    <row r="115" spans="1:3" x14ac:dyDescent="0.25">
      <c r="A115">
        <v>19</v>
      </c>
      <c r="B115">
        <v>84.7</v>
      </c>
      <c r="C115">
        <v>99.8</v>
      </c>
    </row>
    <row r="116" spans="1:3" x14ac:dyDescent="0.25">
      <c r="A116">
        <v>19</v>
      </c>
      <c r="B116">
        <v>84.8</v>
      </c>
      <c r="C116">
        <v>99.9</v>
      </c>
    </row>
    <row r="117" spans="1:3" x14ac:dyDescent="0.25">
      <c r="A117">
        <v>19</v>
      </c>
      <c r="B117">
        <v>86.4</v>
      </c>
      <c r="C117">
        <v>96.9</v>
      </c>
    </row>
    <row r="118" spans="1:3" x14ac:dyDescent="0.25">
      <c r="A118">
        <v>19</v>
      </c>
      <c r="B118">
        <v>86.1</v>
      </c>
      <c r="C118">
        <v>99.6</v>
      </c>
    </row>
    <row r="119" spans="1:3" x14ac:dyDescent="0.25">
      <c r="A119">
        <v>19</v>
      </c>
      <c r="B119">
        <v>86.6</v>
      </c>
      <c r="C119">
        <v>99.9</v>
      </c>
    </row>
    <row r="120" spans="1:3" x14ac:dyDescent="0.25">
      <c r="A120">
        <v>19</v>
      </c>
      <c r="B120">
        <v>87.2</v>
      </c>
      <c r="C120">
        <v>99.9</v>
      </c>
    </row>
    <row r="121" spans="1:3" x14ac:dyDescent="0.25">
      <c r="A121">
        <v>20</v>
      </c>
      <c r="B121">
        <v>87.7</v>
      </c>
      <c r="C121">
        <v>99.9</v>
      </c>
    </row>
    <row r="122" spans="1:3" x14ac:dyDescent="0.25">
      <c r="A122">
        <v>20</v>
      </c>
      <c r="B122">
        <v>87.4</v>
      </c>
      <c r="C122">
        <v>99.9</v>
      </c>
    </row>
    <row r="123" spans="1:3" x14ac:dyDescent="0.25">
      <c r="A123">
        <v>20</v>
      </c>
      <c r="B123">
        <v>85.7</v>
      </c>
      <c r="C123">
        <v>99.9</v>
      </c>
    </row>
    <row r="124" spans="1:3" x14ac:dyDescent="0.25">
      <c r="A124">
        <v>20</v>
      </c>
      <c r="B124">
        <v>86.8</v>
      </c>
      <c r="C124">
        <v>99.9</v>
      </c>
    </row>
    <row r="125" spans="1:3" x14ac:dyDescent="0.25">
      <c r="A125">
        <v>20</v>
      </c>
      <c r="B125">
        <v>87.1</v>
      </c>
      <c r="C125">
        <v>99.9</v>
      </c>
    </row>
    <row r="126" spans="1:3" x14ac:dyDescent="0.25">
      <c r="A126">
        <v>20</v>
      </c>
      <c r="B126">
        <v>88.6</v>
      </c>
      <c r="C126">
        <v>99</v>
      </c>
    </row>
    <row r="127" spans="1:3" x14ac:dyDescent="0.25">
      <c r="A127">
        <v>21</v>
      </c>
      <c r="B127">
        <v>88.3</v>
      </c>
      <c r="C127">
        <v>99.8</v>
      </c>
    </row>
    <row r="128" spans="1:3" x14ac:dyDescent="0.25">
      <c r="A128">
        <v>21</v>
      </c>
      <c r="B128">
        <v>88.7</v>
      </c>
      <c r="C128">
        <v>99.9</v>
      </c>
    </row>
    <row r="129" spans="1:3" x14ac:dyDescent="0.25">
      <c r="A129">
        <v>21</v>
      </c>
      <c r="B129">
        <v>88.7</v>
      </c>
      <c r="C129">
        <v>99.9</v>
      </c>
    </row>
    <row r="130" spans="1:3" x14ac:dyDescent="0.25">
      <c r="A130">
        <v>21</v>
      </c>
      <c r="B130">
        <v>89.6</v>
      </c>
      <c r="C130">
        <v>99.9</v>
      </c>
    </row>
    <row r="131" spans="1:3" x14ac:dyDescent="0.25">
      <c r="A131">
        <v>21</v>
      </c>
      <c r="B131">
        <v>89</v>
      </c>
      <c r="C131">
        <v>99.9</v>
      </c>
    </row>
    <row r="132" spans="1:3" x14ac:dyDescent="0.25">
      <c r="A132">
        <v>21</v>
      </c>
      <c r="B132">
        <v>88.4</v>
      </c>
      <c r="C132">
        <v>99.9</v>
      </c>
    </row>
    <row r="133" spans="1:3" x14ac:dyDescent="0.25">
      <c r="A133">
        <v>22</v>
      </c>
      <c r="B133">
        <v>88.1</v>
      </c>
      <c r="C133">
        <v>99.9</v>
      </c>
    </row>
    <row r="134" spans="1:3" x14ac:dyDescent="0.25">
      <c r="A134">
        <v>22</v>
      </c>
      <c r="B134">
        <v>88.8</v>
      </c>
      <c r="C134">
        <v>99.9</v>
      </c>
    </row>
    <row r="135" spans="1:3" x14ac:dyDescent="0.25">
      <c r="A135">
        <v>22</v>
      </c>
      <c r="B135">
        <v>89.3</v>
      </c>
      <c r="C135">
        <v>99.9</v>
      </c>
    </row>
    <row r="136" spans="1:3" x14ac:dyDescent="0.25">
      <c r="A136">
        <v>22</v>
      </c>
      <c r="B136">
        <v>89.6</v>
      </c>
      <c r="C136">
        <v>99.9</v>
      </c>
    </row>
    <row r="137" spans="1:3" x14ac:dyDescent="0.25">
      <c r="A137">
        <v>22</v>
      </c>
      <c r="B137">
        <v>91.2</v>
      </c>
      <c r="C137">
        <v>98.7</v>
      </c>
    </row>
    <row r="138" spans="1:3" x14ac:dyDescent="0.25">
      <c r="A138">
        <v>22</v>
      </c>
      <c r="B138">
        <v>90.7</v>
      </c>
      <c r="C138">
        <v>44.5</v>
      </c>
    </row>
    <row r="139" spans="1:3" x14ac:dyDescent="0.25">
      <c r="A139">
        <v>23</v>
      </c>
      <c r="B139">
        <v>90</v>
      </c>
      <c r="C139">
        <v>53.7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799FC-C53B-449F-901B-79465D64227F}">
  <dimension ref="A1:C178"/>
  <sheetViews>
    <sheetView tabSelected="1" workbookViewId="0">
      <selection activeCell="B1" sqref="B1:C1048576"/>
    </sheetView>
  </sheetViews>
  <sheetFormatPr defaultRowHeight="15" x14ac:dyDescent="0.25"/>
  <cols>
    <col min="1" max="1" width="7.42578125" bestFit="1" customWidth="1"/>
    <col min="2" max="2" width="6" bestFit="1" customWidth="1"/>
    <col min="3" max="3" width="7.85546875" bestFit="1" customWidth="1"/>
  </cols>
  <sheetData>
    <row r="1" spans="1:3" x14ac:dyDescent="0.25">
      <c r="A1" t="s">
        <v>5</v>
      </c>
      <c r="B1" t="s">
        <v>10</v>
      </c>
      <c r="C1" t="s">
        <v>11</v>
      </c>
    </row>
    <row r="2" spans="1:3" x14ac:dyDescent="0.25">
      <c r="A2">
        <v>0</v>
      </c>
      <c r="B2">
        <v>23.7</v>
      </c>
      <c r="C2">
        <v>0</v>
      </c>
    </row>
    <row r="3" spans="1:3" x14ac:dyDescent="0.25">
      <c r="A3">
        <v>0</v>
      </c>
      <c r="B3">
        <v>23.7</v>
      </c>
      <c r="C3">
        <v>0</v>
      </c>
    </row>
    <row r="4" spans="1:3" x14ac:dyDescent="0.25">
      <c r="A4">
        <v>0</v>
      </c>
      <c r="B4">
        <v>24.1</v>
      </c>
      <c r="C4">
        <v>87.1</v>
      </c>
    </row>
    <row r="5" spans="1:3" x14ac:dyDescent="0.25">
      <c r="A5">
        <v>0</v>
      </c>
      <c r="B5">
        <v>27.5</v>
      </c>
      <c r="C5">
        <v>98.4</v>
      </c>
    </row>
    <row r="6" spans="1:3" x14ac:dyDescent="0.25">
      <c r="A6">
        <v>0</v>
      </c>
      <c r="B6">
        <v>32.1</v>
      </c>
      <c r="C6">
        <v>99.7</v>
      </c>
    </row>
    <row r="7" spans="1:3" x14ac:dyDescent="0.25">
      <c r="A7">
        <v>1</v>
      </c>
      <c r="B7">
        <v>36.299999999999997</v>
      </c>
      <c r="C7">
        <v>99.9</v>
      </c>
    </row>
    <row r="8" spans="1:3" x14ac:dyDescent="0.25">
      <c r="A8">
        <v>1</v>
      </c>
      <c r="B8">
        <v>39.5</v>
      </c>
      <c r="C8">
        <v>99.9</v>
      </c>
    </row>
    <row r="9" spans="1:3" x14ac:dyDescent="0.25">
      <c r="A9">
        <v>1</v>
      </c>
      <c r="B9">
        <v>41.7</v>
      </c>
      <c r="C9">
        <v>99.9</v>
      </c>
    </row>
    <row r="10" spans="1:3" x14ac:dyDescent="0.25">
      <c r="A10">
        <v>1</v>
      </c>
      <c r="B10">
        <v>43.5</v>
      </c>
      <c r="C10">
        <v>99.9</v>
      </c>
    </row>
    <row r="11" spans="1:3" x14ac:dyDescent="0.25">
      <c r="A11">
        <v>1</v>
      </c>
      <c r="B11">
        <v>45.2</v>
      </c>
      <c r="C11">
        <v>99.9</v>
      </c>
    </row>
    <row r="12" spans="1:3" x14ac:dyDescent="0.25">
      <c r="A12">
        <v>1</v>
      </c>
      <c r="B12">
        <v>46.6</v>
      </c>
      <c r="C12">
        <v>99.9</v>
      </c>
    </row>
    <row r="13" spans="1:3" x14ac:dyDescent="0.25">
      <c r="A13">
        <v>2</v>
      </c>
      <c r="B13">
        <v>47.8</v>
      </c>
      <c r="C13">
        <v>99.9</v>
      </c>
    </row>
    <row r="14" spans="1:3" x14ac:dyDescent="0.25">
      <c r="A14">
        <v>2</v>
      </c>
      <c r="B14">
        <v>48.8</v>
      </c>
      <c r="C14">
        <v>99.9</v>
      </c>
    </row>
    <row r="15" spans="1:3" x14ac:dyDescent="0.25">
      <c r="A15">
        <v>2</v>
      </c>
      <c r="B15">
        <v>49.7</v>
      </c>
      <c r="C15">
        <v>99.9</v>
      </c>
    </row>
    <row r="16" spans="1:3" x14ac:dyDescent="0.25">
      <c r="A16">
        <v>2</v>
      </c>
      <c r="B16">
        <v>50.7</v>
      </c>
      <c r="C16">
        <v>99.9</v>
      </c>
    </row>
    <row r="17" spans="1:3" x14ac:dyDescent="0.25">
      <c r="A17">
        <v>2</v>
      </c>
      <c r="B17">
        <v>51.6</v>
      </c>
      <c r="C17">
        <v>99.9</v>
      </c>
    </row>
    <row r="18" spans="1:3" x14ac:dyDescent="0.25">
      <c r="A18">
        <v>2</v>
      </c>
      <c r="B18">
        <v>52.4</v>
      </c>
      <c r="C18">
        <v>99.9</v>
      </c>
    </row>
    <row r="19" spans="1:3" x14ac:dyDescent="0.25">
      <c r="A19">
        <v>3</v>
      </c>
      <c r="B19">
        <v>53.1</v>
      </c>
      <c r="C19">
        <v>99.9</v>
      </c>
    </row>
    <row r="20" spans="1:3" x14ac:dyDescent="0.25">
      <c r="A20">
        <v>3</v>
      </c>
      <c r="B20">
        <v>53.7</v>
      </c>
      <c r="C20">
        <v>99.9</v>
      </c>
    </row>
    <row r="21" spans="1:3" x14ac:dyDescent="0.25">
      <c r="A21">
        <v>3</v>
      </c>
      <c r="B21">
        <v>54.4</v>
      </c>
      <c r="C21">
        <v>99.9</v>
      </c>
    </row>
    <row r="22" spans="1:3" x14ac:dyDescent="0.25">
      <c r="A22">
        <v>3</v>
      </c>
      <c r="B22">
        <v>55.2</v>
      </c>
      <c r="C22">
        <v>99.9</v>
      </c>
    </row>
    <row r="23" spans="1:3" x14ac:dyDescent="0.25">
      <c r="A23">
        <v>3</v>
      </c>
      <c r="B23">
        <v>55.7</v>
      </c>
      <c r="C23">
        <v>99.9</v>
      </c>
    </row>
    <row r="24" spans="1:3" x14ac:dyDescent="0.25">
      <c r="A24">
        <v>3</v>
      </c>
      <c r="B24">
        <v>56.4</v>
      </c>
      <c r="C24">
        <v>99.9</v>
      </c>
    </row>
    <row r="25" spans="1:3" x14ac:dyDescent="0.25">
      <c r="A25">
        <v>4</v>
      </c>
      <c r="B25">
        <v>57</v>
      </c>
      <c r="C25">
        <v>99.9</v>
      </c>
    </row>
    <row r="26" spans="1:3" x14ac:dyDescent="0.25">
      <c r="A26">
        <v>4</v>
      </c>
      <c r="B26">
        <v>57.6</v>
      </c>
      <c r="C26">
        <v>99.9</v>
      </c>
    </row>
    <row r="27" spans="1:3" x14ac:dyDescent="0.25">
      <c r="A27">
        <v>4</v>
      </c>
      <c r="B27">
        <v>58.2</v>
      </c>
      <c r="C27">
        <v>99.9</v>
      </c>
    </row>
    <row r="28" spans="1:3" x14ac:dyDescent="0.25">
      <c r="A28">
        <v>4</v>
      </c>
      <c r="B28">
        <v>58.9</v>
      </c>
      <c r="C28">
        <v>99.9</v>
      </c>
    </row>
    <row r="29" spans="1:3" x14ac:dyDescent="0.25">
      <c r="A29">
        <v>4</v>
      </c>
      <c r="B29">
        <v>59.2</v>
      </c>
      <c r="C29">
        <v>99.9</v>
      </c>
    </row>
    <row r="30" spans="1:3" x14ac:dyDescent="0.25">
      <c r="A30">
        <v>4</v>
      </c>
      <c r="B30">
        <v>59.9</v>
      </c>
      <c r="C30">
        <v>99.9</v>
      </c>
    </row>
    <row r="31" spans="1:3" x14ac:dyDescent="0.25">
      <c r="A31">
        <v>5</v>
      </c>
      <c r="B31">
        <v>60.4</v>
      </c>
      <c r="C31">
        <v>99.9</v>
      </c>
    </row>
    <row r="32" spans="1:3" x14ac:dyDescent="0.25">
      <c r="A32">
        <v>5</v>
      </c>
      <c r="B32">
        <v>61</v>
      </c>
      <c r="C32">
        <v>99.9</v>
      </c>
    </row>
    <row r="33" spans="1:3" x14ac:dyDescent="0.25">
      <c r="A33">
        <v>5</v>
      </c>
      <c r="B33">
        <v>61.3</v>
      </c>
      <c r="C33">
        <v>99.9</v>
      </c>
    </row>
    <row r="34" spans="1:3" x14ac:dyDescent="0.25">
      <c r="A34">
        <v>5</v>
      </c>
      <c r="B34">
        <v>61.7</v>
      </c>
      <c r="C34">
        <v>99.9</v>
      </c>
    </row>
    <row r="35" spans="1:3" x14ac:dyDescent="0.25">
      <c r="A35">
        <v>5</v>
      </c>
      <c r="B35">
        <v>62.3</v>
      </c>
      <c r="C35">
        <v>99.9</v>
      </c>
    </row>
    <row r="36" spans="1:3" x14ac:dyDescent="0.25">
      <c r="A36">
        <v>5</v>
      </c>
      <c r="B36">
        <v>62.7</v>
      </c>
      <c r="C36">
        <v>99.9</v>
      </c>
    </row>
    <row r="37" spans="1:3" x14ac:dyDescent="0.25">
      <c r="A37">
        <v>6</v>
      </c>
      <c r="B37">
        <v>63.2</v>
      </c>
      <c r="C37">
        <v>99.9</v>
      </c>
    </row>
    <row r="38" spans="1:3" x14ac:dyDescent="0.25">
      <c r="A38">
        <v>6</v>
      </c>
      <c r="B38">
        <v>63.8</v>
      </c>
      <c r="C38">
        <v>99.9</v>
      </c>
    </row>
    <row r="39" spans="1:3" x14ac:dyDescent="0.25">
      <c r="A39">
        <v>6</v>
      </c>
      <c r="B39">
        <v>64.2</v>
      </c>
      <c r="C39">
        <v>99.9</v>
      </c>
    </row>
    <row r="40" spans="1:3" x14ac:dyDescent="0.25">
      <c r="A40">
        <v>6</v>
      </c>
      <c r="B40">
        <v>64.8</v>
      </c>
      <c r="C40">
        <v>99.9</v>
      </c>
    </row>
    <row r="41" spans="1:3" x14ac:dyDescent="0.25">
      <c r="A41">
        <v>6</v>
      </c>
      <c r="B41">
        <v>65.2</v>
      </c>
      <c r="C41">
        <v>99.9</v>
      </c>
    </row>
    <row r="42" spans="1:3" x14ac:dyDescent="0.25">
      <c r="A42">
        <v>6</v>
      </c>
      <c r="B42">
        <v>65.8</v>
      </c>
      <c r="C42">
        <v>99.9</v>
      </c>
    </row>
    <row r="43" spans="1:3" x14ac:dyDescent="0.25">
      <c r="A43">
        <v>7</v>
      </c>
      <c r="B43">
        <v>66.099999999999994</v>
      </c>
      <c r="C43">
        <v>99.9</v>
      </c>
    </row>
    <row r="44" spans="1:3" x14ac:dyDescent="0.25">
      <c r="A44">
        <v>7</v>
      </c>
      <c r="B44">
        <v>66.2</v>
      </c>
      <c r="C44">
        <v>99.9</v>
      </c>
    </row>
    <row r="45" spans="1:3" x14ac:dyDescent="0.25">
      <c r="A45">
        <v>7</v>
      </c>
      <c r="B45">
        <v>66.599999999999994</v>
      </c>
      <c r="C45">
        <v>99.9</v>
      </c>
    </row>
    <row r="46" spans="1:3" x14ac:dyDescent="0.25">
      <c r="A46">
        <v>7</v>
      </c>
      <c r="B46">
        <v>67.2</v>
      </c>
      <c r="C46">
        <v>99.9</v>
      </c>
    </row>
    <row r="47" spans="1:3" x14ac:dyDescent="0.25">
      <c r="A47">
        <v>7</v>
      </c>
      <c r="B47">
        <v>67.7</v>
      </c>
      <c r="C47">
        <v>99.9</v>
      </c>
    </row>
    <row r="48" spans="1:3" x14ac:dyDescent="0.25">
      <c r="A48">
        <v>7</v>
      </c>
      <c r="B48">
        <v>68.099999999999994</v>
      </c>
      <c r="C48">
        <v>99.9</v>
      </c>
    </row>
    <row r="49" spans="1:3" x14ac:dyDescent="0.25">
      <c r="A49">
        <v>8</v>
      </c>
      <c r="B49">
        <v>68.599999999999994</v>
      </c>
      <c r="C49">
        <v>99.9</v>
      </c>
    </row>
    <row r="50" spans="1:3" x14ac:dyDescent="0.25">
      <c r="A50">
        <v>8</v>
      </c>
      <c r="B50">
        <v>68.7</v>
      </c>
      <c r="C50">
        <v>99.9</v>
      </c>
    </row>
    <row r="51" spans="1:3" x14ac:dyDescent="0.25">
      <c r="A51">
        <v>8</v>
      </c>
      <c r="B51">
        <v>69.2</v>
      </c>
      <c r="C51">
        <v>99.9</v>
      </c>
    </row>
    <row r="52" spans="1:3" x14ac:dyDescent="0.25">
      <c r="A52">
        <v>8</v>
      </c>
      <c r="B52">
        <v>69.599999999999994</v>
      </c>
      <c r="C52">
        <v>99.9</v>
      </c>
    </row>
    <row r="53" spans="1:3" x14ac:dyDescent="0.25">
      <c r="A53">
        <v>8</v>
      </c>
      <c r="B53">
        <v>70</v>
      </c>
      <c r="C53">
        <v>99.9</v>
      </c>
    </row>
    <row r="54" spans="1:3" x14ac:dyDescent="0.25">
      <c r="A54">
        <v>8</v>
      </c>
      <c r="B54">
        <v>70.400000000000006</v>
      </c>
      <c r="C54">
        <v>99.9</v>
      </c>
    </row>
    <row r="55" spans="1:3" x14ac:dyDescent="0.25">
      <c r="A55">
        <v>9</v>
      </c>
      <c r="B55">
        <v>70.7</v>
      </c>
      <c r="C55">
        <v>99.9</v>
      </c>
    </row>
    <row r="56" spans="1:3" x14ac:dyDescent="0.25">
      <c r="A56">
        <v>9</v>
      </c>
      <c r="B56">
        <v>71.2</v>
      </c>
      <c r="C56">
        <v>99.9</v>
      </c>
    </row>
    <row r="57" spans="1:3" x14ac:dyDescent="0.25">
      <c r="A57">
        <v>9</v>
      </c>
      <c r="B57">
        <v>71.599999999999994</v>
      </c>
      <c r="C57">
        <v>99.9</v>
      </c>
    </row>
    <row r="58" spans="1:3" x14ac:dyDescent="0.25">
      <c r="A58">
        <v>9</v>
      </c>
      <c r="B58">
        <v>71.8</v>
      </c>
      <c r="C58">
        <v>99.9</v>
      </c>
    </row>
    <row r="59" spans="1:3" x14ac:dyDescent="0.25">
      <c r="A59">
        <v>9</v>
      </c>
      <c r="B59">
        <v>72.3</v>
      </c>
      <c r="C59">
        <v>99.9</v>
      </c>
    </row>
    <row r="60" spans="1:3" x14ac:dyDescent="0.25">
      <c r="A60">
        <v>9</v>
      </c>
      <c r="B60">
        <v>72.599999999999994</v>
      </c>
      <c r="C60">
        <v>99.9</v>
      </c>
    </row>
    <row r="61" spans="1:3" x14ac:dyDescent="0.25">
      <c r="A61">
        <v>10</v>
      </c>
      <c r="B61">
        <v>73.3</v>
      </c>
      <c r="C61">
        <v>99.9</v>
      </c>
    </row>
    <row r="62" spans="1:3" x14ac:dyDescent="0.25">
      <c r="A62">
        <v>10</v>
      </c>
      <c r="B62">
        <v>73.5</v>
      </c>
      <c r="C62">
        <v>99.9</v>
      </c>
    </row>
    <row r="63" spans="1:3" x14ac:dyDescent="0.25">
      <c r="A63">
        <v>10</v>
      </c>
      <c r="B63">
        <v>73.8</v>
      </c>
      <c r="C63">
        <v>99.9</v>
      </c>
    </row>
    <row r="64" spans="1:3" x14ac:dyDescent="0.25">
      <c r="A64">
        <v>10</v>
      </c>
      <c r="B64">
        <v>74.400000000000006</v>
      </c>
      <c r="C64">
        <v>99.9</v>
      </c>
    </row>
    <row r="65" spans="1:3" x14ac:dyDescent="0.25">
      <c r="A65">
        <v>10</v>
      </c>
      <c r="B65">
        <v>74.7</v>
      </c>
      <c r="C65">
        <v>99.9</v>
      </c>
    </row>
    <row r="66" spans="1:3" x14ac:dyDescent="0.25">
      <c r="A66">
        <v>10</v>
      </c>
      <c r="B66">
        <v>74.900000000000006</v>
      </c>
      <c r="C66">
        <v>99.9</v>
      </c>
    </row>
    <row r="67" spans="1:3" x14ac:dyDescent="0.25">
      <c r="A67">
        <v>11</v>
      </c>
      <c r="B67">
        <v>75.099999999999994</v>
      </c>
      <c r="C67">
        <v>99.9</v>
      </c>
    </row>
    <row r="68" spans="1:3" x14ac:dyDescent="0.25">
      <c r="A68">
        <v>11</v>
      </c>
      <c r="B68">
        <v>75.2</v>
      </c>
      <c r="C68">
        <v>99.9</v>
      </c>
    </row>
    <row r="69" spans="1:3" x14ac:dyDescent="0.25">
      <c r="A69">
        <v>11</v>
      </c>
      <c r="B69">
        <v>75.5</v>
      </c>
      <c r="C69">
        <v>99.9</v>
      </c>
    </row>
    <row r="70" spans="1:3" x14ac:dyDescent="0.25">
      <c r="A70">
        <v>11</v>
      </c>
      <c r="B70">
        <v>76.2</v>
      </c>
      <c r="C70">
        <v>99.9</v>
      </c>
    </row>
    <row r="71" spans="1:3" x14ac:dyDescent="0.25">
      <c r="A71">
        <v>11</v>
      </c>
      <c r="B71">
        <v>76.5</v>
      </c>
      <c r="C71">
        <v>99.9</v>
      </c>
    </row>
    <row r="72" spans="1:3" x14ac:dyDescent="0.25">
      <c r="A72">
        <v>11</v>
      </c>
      <c r="B72">
        <v>76.8</v>
      </c>
      <c r="C72">
        <v>99.9</v>
      </c>
    </row>
    <row r="73" spans="1:3" x14ac:dyDescent="0.25">
      <c r="A73">
        <v>12</v>
      </c>
      <c r="B73">
        <v>77</v>
      </c>
      <c r="C73">
        <v>99.9</v>
      </c>
    </row>
    <row r="74" spans="1:3" x14ac:dyDescent="0.25">
      <c r="A74">
        <v>12</v>
      </c>
      <c r="B74">
        <v>77.3</v>
      </c>
      <c r="C74">
        <v>99.9</v>
      </c>
    </row>
    <row r="75" spans="1:3" x14ac:dyDescent="0.25">
      <c r="A75">
        <v>12</v>
      </c>
      <c r="B75">
        <v>77.599999999999994</v>
      </c>
      <c r="C75">
        <v>99.9</v>
      </c>
    </row>
    <row r="76" spans="1:3" x14ac:dyDescent="0.25">
      <c r="A76">
        <v>12</v>
      </c>
      <c r="B76">
        <v>77.900000000000006</v>
      </c>
      <c r="C76">
        <v>99.9</v>
      </c>
    </row>
    <row r="77" spans="1:3" x14ac:dyDescent="0.25">
      <c r="A77">
        <v>12</v>
      </c>
      <c r="B77">
        <v>78.099999999999994</v>
      </c>
      <c r="C77">
        <v>99.9</v>
      </c>
    </row>
    <row r="78" spans="1:3" x14ac:dyDescent="0.25">
      <c r="A78">
        <v>12</v>
      </c>
      <c r="B78">
        <v>78.599999999999994</v>
      </c>
      <c r="C78">
        <v>99.9</v>
      </c>
    </row>
    <row r="79" spans="1:3" x14ac:dyDescent="0.25">
      <c r="A79">
        <v>13</v>
      </c>
      <c r="B79">
        <v>79</v>
      </c>
      <c r="C79">
        <v>99.9</v>
      </c>
    </row>
    <row r="80" spans="1:3" x14ac:dyDescent="0.25">
      <c r="A80">
        <v>13</v>
      </c>
      <c r="B80">
        <v>79.099999999999994</v>
      </c>
      <c r="C80">
        <v>99.9</v>
      </c>
    </row>
    <row r="81" spans="1:3" x14ac:dyDescent="0.25">
      <c r="A81">
        <v>13</v>
      </c>
      <c r="B81">
        <v>79.5</v>
      </c>
      <c r="C81">
        <v>99.9</v>
      </c>
    </row>
    <row r="82" spans="1:3" x14ac:dyDescent="0.25">
      <c r="A82">
        <v>13</v>
      </c>
      <c r="B82">
        <v>79.599999999999994</v>
      </c>
      <c r="C82">
        <v>99.9</v>
      </c>
    </row>
    <row r="83" spans="1:3" x14ac:dyDescent="0.25">
      <c r="A83">
        <v>13</v>
      </c>
      <c r="B83">
        <v>80</v>
      </c>
      <c r="C83">
        <v>99.9</v>
      </c>
    </row>
    <row r="84" spans="1:3" x14ac:dyDescent="0.25">
      <c r="A84">
        <v>13</v>
      </c>
      <c r="B84">
        <v>80.3</v>
      </c>
      <c r="C84">
        <v>99.9</v>
      </c>
    </row>
    <row r="85" spans="1:3" x14ac:dyDescent="0.25">
      <c r="A85">
        <v>14</v>
      </c>
      <c r="B85">
        <v>80.5</v>
      </c>
      <c r="C85">
        <v>99.9</v>
      </c>
    </row>
    <row r="86" spans="1:3" x14ac:dyDescent="0.25">
      <c r="A86">
        <v>14</v>
      </c>
      <c r="B86">
        <v>80.8</v>
      </c>
      <c r="C86">
        <v>99.9</v>
      </c>
    </row>
    <row r="87" spans="1:3" x14ac:dyDescent="0.25">
      <c r="A87">
        <v>14</v>
      </c>
      <c r="B87">
        <v>81.2</v>
      </c>
      <c r="C87">
        <v>99.9</v>
      </c>
    </row>
    <row r="88" spans="1:3" x14ac:dyDescent="0.25">
      <c r="A88">
        <v>14</v>
      </c>
      <c r="B88">
        <v>81.599999999999994</v>
      </c>
      <c r="C88">
        <v>99.9</v>
      </c>
    </row>
    <row r="89" spans="1:3" x14ac:dyDescent="0.25">
      <c r="A89">
        <v>14</v>
      </c>
      <c r="B89">
        <v>81.599999999999994</v>
      </c>
      <c r="C89">
        <v>99.9</v>
      </c>
    </row>
    <row r="90" spans="1:3" x14ac:dyDescent="0.25">
      <c r="A90">
        <v>14</v>
      </c>
      <c r="B90">
        <v>81.900000000000006</v>
      </c>
      <c r="C90">
        <v>99.9</v>
      </c>
    </row>
    <row r="91" spans="1:3" x14ac:dyDescent="0.25">
      <c r="A91">
        <v>15</v>
      </c>
      <c r="B91">
        <v>82.1</v>
      </c>
      <c r="C91">
        <v>99.9</v>
      </c>
    </row>
    <row r="92" spans="1:3" x14ac:dyDescent="0.25">
      <c r="A92">
        <v>15</v>
      </c>
      <c r="B92">
        <v>82.4</v>
      </c>
      <c r="C92">
        <v>99.9</v>
      </c>
    </row>
    <row r="93" spans="1:3" x14ac:dyDescent="0.25">
      <c r="A93">
        <v>15</v>
      </c>
      <c r="B93">
        <v>82.5</v>
      </c>
      <c r="C93">
        <v>99.9</v>
      </c>
    </row>
    <row r="94" spans="1:3" x14ac:dyDescent="0.25">
      <c r="A94">
        <v>15</v>
      </c>
      <c r="B94">
        <v>83.3</v>
      </c>
      <c r="C94">
        <v>99.9</v>
      </c>
    </row>
    <row r="95" spans="1:3" x14ac:dyDescent="0.25">
      <c r="A95">
        <v>15</v>
      </c>
      <c r="B95">
        <v>83.6</v>
      </c>
      <c r="C95">
        <v>99.9</v>
      </c>
    </row>
    <row r="96" spans="1:3" x14ac:dyDescent="0.25">
      <c r="A96">
        <v>15</v>
      </c>
      <c r="B96">
        <v>83.8</v>
      </c>
      <c r="C96">
        <v>99.9</v>
      </c>
    </row>
    <row r="97" spans="1:3" x14ac:dyDescent="0.25">
      <c r="A97">
        <v>16</v>
      </c>
      <c r="B97">
        <v>83.9</v>
      </c>
      <c r="C97">
        <v>99.9</v>
      </c>
    </row>
    <row r="98" spans="1:3" x14ac:dyDescent="0.25">
      <c r="A98">
        <v>16</v>
      </c>
      <c r="B98">
        <v>83.8</v>
      </c>
      <c r="C98">
        <v>99.9</v>
      </c>
    </row>
    <row r="99" spans="1:3" x14ac:dyDescent="0.25">
      <c r="A99">
        <v>16</v>
      </c>
      <c r="B99">
        <v>84.1</v>
      </c>
      <c r="C99">
        <v>99.9</v>
      </c>
    </row>
    <row r="100" spans="1:3" x14ac:dyDescent="0.25">
      <c r="A100">
        <v>16</v>
      </c>
      <c r="B100">
        <v>84.4</v>
      </c>
      <c r="C100">
        <v>99.9</v>
      </c>
    </row>
    <row r="101" spans="1:3" x14ac:dyDescent="0.25">
      <c r="A101">
        <v>16</v>
      </c>
      <c r="B101">
        <v>85.1</v>
      </c>
      <c r="C101">
        <v>99.9</v>
      </c>
    </row>
    <row r="102" spans="1:3" x14ac:dyDescent="0.25">
      <c r="A102">
        <v>16</v>
      </c>
      <c r="B102">
        <v>85.3</v>
      </c>
      <c r="C102">
        <v>99.9</v>
      </c>
    </row>
    <row r="103" spans="1:3" x14ac:dyDescent="0.25">
      <c r="A103">
        <v>17</v>
      </c>
      <c r="B103">
        <v>85.4</v>
      </c>
      <c r="C103">
        <v>99.9</v>
      </c>
    </row>
    <row r="104" spans="1:3" x14ac:dyDescent="0.25">
      <c r="A104">
        <v>17</v>
      </c>
      <c r="B104">
        <v>85.7</v>
      </c>
      <c r="C104">
        <v>99.9</v>
      </c>
    </row>
    <row r="105" spans="1:3" x14ac:dyDescent="0.25">
      <c r="A105">
        <v>17</v>
      </c>
      <c r="B105">
        <v>86</v>
      </c>
      <c r="C105">
        <v>99.9</v>
      </c>
    </row>
    <row r="106" spans="1:3" x14ac:dyDescent="0.25">
      <c r="A106">
        <v>17</v>
      </c>
      <c r="B106">
        <v>86.1</v>
      </c>
      <c r="C106">
        <v>99.9</v>
      </c>
    </row>
    <row r="107" spans="1:3" x14ac:dyDescent="0.25">
      <c r="A107">
        <v>17</v>
      </c>
      <c r="B107">
        <v>86.7</v>
      </c>
      <c r="C107">
        <v>99.9</v>
      </c>
    </row>
    <row r="108" spans="1:3" x14ac:dyDescent="0.25">
      <c r="A108">
        <v>17</v>
      </c>
      <c r="B108">
        <v>86.5</v>
      </c>
      <c r="C108">
        <v>99.9</v>
      </c>
    </row>
    <row r="109" spans="1:3" x14ac:dyDescent="0.25">
      <c r="A109">
        <v>18</v>
      </c>
      <c r="B109">
        <v>86.4</v>
      </c>
      <c r="C109">
        <v>99.9</v>
      </c>
    </row>
    <row r="110" spans="1:3" x14ac:dyDescent="0.25">
      <c r="A110">
        <v>18</v>
      </c>
      <c r="B110">
        <v>86.8</v>
      </c>
      <c r="C110">
        <v>99.9</v>
      </c>
    </row>
    <row r="111" spans="1:3" x14ac:dyDescent="0.25">
      <c r="A111">
        <v>18</v>
      </c>
      <c r="B111">
        <v>87.3</v>
      </c>
      <c r="C111">
        <v>99.9</v>
      </c>
    </row>
    <row r="112" spans="1:3" x14ac:dyDescent="0.25">
      <c r="A112">
        <v>18</v>
      </c>
      <c r="B112">
        <v>87.9</v>
      </c>
      <c r="C112">
        <v>99.9</v>
      </c>
    </row>
    <row r="113" spans="1:3" x14ac:dyDescent="0.25">
      <c r="A113">
        <v>18</v>
      </c>
      <c r="B113">
        <v>87.8</v>
      </c>
      <c r="C113">
        <v>99.9</v>
      </c>
    </row>
    <row r="114" spans="1:3" x14ac:dyDescent="0.25">
      <c r="A114">
        <v>18</v>
      </c>
      <c r="B114">
        <v>87.9</v>
      </c>
      <c r="C114">
        <v>99.9</v>
      </c>
    </row>
    <row r="115" spans="1:3" x14ac:dyDescent="0.25">
      <c r="A115">
        <v>19</v>
      </c>
      <c r="B115">
        <v>88.2</v>
      </c>
      <c r="C115">
        <v>99.9</v>
      </c>
    </row>
    <row r="116" spans="1:3" x14ac:dyDescent="0.25">
      <c r="A116">
        <v>19</v>
      </c>
      <c r="B116">
        <v>88.5</v>
      </c>
      <c r="C116">
        <v>99.9</v>
      </c>
    </row>
    <row r="117" spans="1:3" x14ac:dyDescent="0.25">
      <c r="A117">
        <v>19</v>
      </c>
      <c r="B117">
        <v>88.9</v>
      </c>
      <c r="C117">
        <v>99.9</v>
      </c>
    </row>
    <row r="118" spans="1:3" x14ac:dyDescent="0.25">
      <c r="A118">
        <v>19</v>
      </c>
      <c r="B118">
        <v>88.9</v>
      </c>
      <c r="C118">
        <v>99.9</v>
      </c>
    </row>
    <row r="119" spans="1:3" x14ac:dyDescent="0.25">
      <c r="A119">
        <v>19</v>
      </c>
      <c r="B119">
        <v>89.1</v>
      </c>
      <c r="C119">
        <v>99.9</v>
      </c>
    </row>
    <row r="120" spans="1:3" x14ac:dyDescent="0.25">
      <c r="A120">
        <v>19</v>
      </c>
      <c r="B120">
        <v>89.5</v>
      </c>
      <c r="C120">
        <v>99.9</v>
      </c>
    </row>
    <row r="121" spans="1:3" x14ac:dyDescent="0.25">
      <c r="A121">
        <v>20</v>
      </c>
      <c r="B121">
        <v>89.6</v>
      </c>
      <c r="C121">
        <v>99.9</v>
      </c>
    </row>
    <row r="122" spans="1:3" x14ac:dyDescent="0.25">
      <c r="A122">
        <v>20</v>
      </c>
      <c r="B122">
        <v>90.1</v>
      </c>
      <c r="C122">
        <v>99.9</v>
      </c>
    </row>
    <row r="123" spans="1:3" x14ac:dyDescent="0.25">
      <c r="A123">
        <v>20</v>
      </c>
      <c r="B123">
        <v>90.2</v>
      </c>
      <c r="C123">
        <v>99.9</v>
      </c>
    </row>
    <row r="124" spans="1:3" x14ac:dyDescent="0.25">
      <c r="A124">
        <v>20</v>
      </c>
      <c r="B124">
        <v>90.7</v>
      </c>
      <c r="C124">
        <v>99.9</v>
      </c>
    </row>
    <row r="125" spans="1:3" x14ac:dyDescent="0.25">
      <c r="A125">
        <v>20</v>
      </c>
      <c r="B125">
        <v>90.6</v>
      </c>
      <c r="C125">
        <v>99.9</v>
      </c>
    </row>
    <row r="126" spans="1:3" x14ac:dyDescent="0.25">
      <c r="A126">
        <v>20</v>
      </c>
      <c r="B126">
        <v>90.9</v>
      </c>
      <c r="C126">
        <v>99.9</v>
      </c>
    </row>
    <row r="127" spans="1:3" x14ac:dyDescent="0.25">
      <c r="A127">
        <v>21</v>
      </c>
      <c r="B127">
        <v>90.9</v>
      </c>
      <c r="C127">
        <v>99.9</v>
      </c>
    </row>
    <row r="128" spans="1:3" x14ac:dyDescent="0.25">
      <c r="A128">
        <v>21</v>
      </c>
      <c r="B128">
        <v>91.1</v>
      </c>
      <c r="C128">
        <v>99.9</v>
      </c>
    </row>
    <row r="129" spans="1:3" x14ac:dyDescent="0.25">
      <c r="A129">
        <v>21</v>
      </c>
      <c r="B129">
        <v>91.6</v>
      </c>
      <c r="C129">
        <v>99.9</v>
      </c>
    </row>
    <row r="130" spans="1:3" x14ac:dyDescent="0.25">
      <c r="A130">
        <v>21</v>
      </c>
      <c r="B130">
        <v>91.9</v>
      </c>
      <c r="C130">
        <v>99.9</v>
      </c>
    </row>
    <row r="131" spans="1:3" x14ac:dyDescent="0.25">
      <c r="A131">
        <v>21</v>
      </c>
      <c r="B131">
        <v>91.9</v>
      </c>
      <c r="C131">
        <v>99.9</v>
      </c>
    </row>
    <row r="132" spans="1:3" x14ac:dyDescent="0.25">
      <c r="A132">
        <v>21</v>
      </c>
      <c r="B132">
        <v>92.3</v>
      </c>
      <c r="C132">
        <v>99.9</v>
      </c>
    </row>
    <row r="133" spans="1:3" x14ac:dyDescent="0.25">
      <c r="A133">
        <v>22</v>
      </c>
      <c r="B133">
        <v>92.3</v>
      </c>
      <c r="C133">
        <v>99.9</v>
      </c>
    </row>
    <row r="134" spans="1:3" x14ac:dyDescent="0.25">
      <c r="A134">
        <v>22</v>
      </c>
      <c r="B134">
        <v>92.4</v>
      </c>
      <c r="C134">
        <v>99.9</v>
      </c>
    </row>
    <row r="135" spans="1:3" x14ac:dyDescent="0.25">
      <c r="A135">
        <v>22</v>
      </c>
      <c r="B135">
        <v>92.8</v>
      </c>
      <c r="C135">
        <v>99.9</v>
      </c>
    </row>
    <row r="136" spans="1:3" x14ac:dyDescent="0.25">
      <c r="A136">
        <v>22</v>
      </c>
      <c r="B136">
        <v>93.2</v>
      </c>
      <c r="C136">
        <v>99.9</v>
      </c>
    </row>
    <row r="137" spans="1:3" x14ac:dyDescent="0.25">
      <c r="A137">
        <v>22</v>
      </c>
      <c r="B137">
        <v>93.2</v>
      </c>
      <c r="C137">
        <v>99.9</v>
      </c>
    </row>
    <row r="138" spans="1:3" x14ac:dyDescent="0.25">
      <c r="A138">
        <v>22</v>
      </c>
      <c r="B138">
        <v>93.4</v>
      </c>
      <c r="C138">
        <v>99.9</v>
      </c>
    </row>
    <row r="139" spans="1:3" x14ac:dyDescent="0.25">
      <c r="A139">
        <v>23</v>
      </c>
      <c r="B139">
        <v>93.6</v>
      </c>
      <c r="C139">
        <v>99.9</v>
      </c>
    </row>
    <row r="140" spans="1:3" x14ac:dyDescent="0.25">
      <c r="A140">
        <v>23</v>
      </c>
      <c r="B140">
        <v>93.8</v>
      </c>
      <c r="C140">
        <v>99.9</v>
      </c>
    </row>
    <row r="141" spans="1:3" x14ac:dyDescent="0.25">
      <c r="A141">
        <v>23</v>
      </c>
      <c r="B141">
        <v>93.9</v>
      </c>
      <c r="C141">
        <v>99.9</v>
      </c>
    </row>
    <row r="142" spans="1:3" x14ac:dyDescent="0.25">
      <c r="A142">
        <v>23</v>
      </c>
      <c r="B142">
        <v>94.2</v>
      </c>
      <c r="C142">
        <v>99.9</v>
      </c>
    </row>
    <row r="143" spans="1:3" x14ac:dyDescent="0.25">
      <c r="A143">
        <v>23</v>
      </c>
      <c r="B143">
        <v>94.7</v>
      </c>
      <c r="C143">
        <v>99.9</v>
      </c>
    </row>
    <row r="144" spans="1:3" x14ac:dyDescent="0.25">
      <c r="A144">
        <v>23</v>
      </c>
      <c r="B144">
        <v>95</v>
      </c>
      <c r="C144">
        <v>99.9</v>
      </c>
    </row>
    <row r="145" spans="1:3" x14ac:dyDescent="0.25">
      <c r="A145">
        <v>24</v>
      </c>
      <c r="B145">
        <v>94.9</v>
      </c>
      <c r="C145">
        <v>99.9</v>
      </c>
    </row>
    <row r="146" spans="1:3" x14ac:dyDescent="0.25">
      <c r="A146">
        <v>24</v>
      </c>
      <c r="B146">
        <v>94.9</v>
      </c>
      <c r="C146">
        <v>99.9</v>
      </c>
    </row>
    <row r="147" spans="1:3" x14ac:dyDescent="0.25">
      <c r="A147">
        <v>24</v>
      </c>
      <c r="B147">
        <v>95</v>
      </c>
      <c r="C147">
        <v>99.9</v>
      </c>
    </row>
    <row r="148" spans="1:3" x14ac:dyDescent="0.25">
      <c r="A148">
        <v>24</v>
      </c>
      <c r="B148">
        <v>95.4</v>
      </c>
      <c r="C148">
        <v>99.9</v>
      </c>
    </row>
    <row r="149" spans="1:3" x14ac:dyDescent="0.25">
      <c r="A149">
        <v>24</v>
      </c>
      <c r="B149">
        <v>95.7</v>
      </c>
      <c r="C149">
        <v>99.9</v>
      </c>
    </row>
    <row r="150" spans="1:3" x14ac:dyDescent="0.25">
      <c r="A150">
        <v>24</v>
      </c>
      <c r="B150">
        <v>95.6</v>
      </c>
      <c r="C150">
        <v>99.9</v>
      </c>
    </row>
    <row r="151" spans="1:3" x14ac:dyDescent="0.25">
      <c r="A151">
        <v>25</v>
      </c>
      <c r="B151">
        <v>96.1</v>
      </c>
      <c r="C151">
        <v>99.9</v>
      </c>
    </row>
    <row r="152" spans="1:3" x14ac:dyDescent="0.25">
      <c r="A152">
        <v>25</v>
      </c>
      <c r="B152">
        <v>96.2</v>
      </c>
      <c r="C152">
        <v>99.9</v>
      </c>
    </row>
    <row r="153" spans="1:3" x14ac:dyDescent="0.25">
      <c r="A153">
        <v>25</v>
      </c>
      <c r="B153">
        <v>96.5</v>
      </c>
      <c r="C153">
        <v>99.9</v>
      </c>
    </row>
    <row r="154" spans="1:3" x14ac:dyDescent="0.25">
      <c r="A154">
        <v>25</v>
      </c>
      <c r="B154">
        <v>96.6</v>
      </c>
      <c r="C154">
        <v>99.9</v>
      </c>
    </row>
    <row r="155" spans="1:3" x14ac:dyDescent="0.25">
      <c r="A155">
        <v>25</v>
      </c>
      <c r="B155">
        <v>96.7</v>
      </c>
      <c r="C155">
        <v>99.9</v>
      </c>
    </row>
    <row r="156" spans="1:3" x14ac:dyDescent="0.25">
      <c r="A156">
        <v>25</v>
      </c>
      <c r="B156">
        <v>96.9</v>
      </c>
      <c r="C156">
        <v>99.9</v>
      </c>
    </row>
    <row r="157" spans="1:3" x14ac:dyDescent="0.25">
      <c r="A157">
        <v>26</v>
      </c>
      <c r="B157">
        <v>97.1</v>
      </c>
      <c r="C157">
        <v>99.9</v>
      </c>
    </row>
    <row r="158" spans="1:3" x14ac:dyDescent="0.25">
      <c r="A158">
        <v>26</v>
      </c>
      <c r="B158">
        <v>97.3</v>
      </c>
      <c r="C158">
        <v>99.9</v>
      </c>
    </row>
    <row r="159" spans="1:3" x14ac:dyDescent="0.25">
      <c r="A159">
        <v>26</v>
      </c>
      <c r="B159">
        <v>97.2</v>
      </c>
      <c r="C159">
        <v>99.9</v>
      </c>
    </row>
    <row r="160" spans="1:3" x14ac:dyDescent="0.25">
      <c r="A160">
        <v>26</v>
      </c>
      <c r="B160">
        <v>97.5</v>
      </c>
      <c r="C160">
        <v>99.9</v>
      </c>
    </row>
    <row r="161" spans="1:3" x14ac:dyDescent="0.25">
      <c r="A161">
        <v>26</v>
      </c>
      <c r="B161">
        <v>97.6</v>
      </c>
      <c r="C161">
        <v>99.9</v>
      </c>
    </row>
    <row r="162" spans="1:3" x14ac:dyDescent="0.25">
      <c r="A162">
        <v>26</v>
      </c>
      <c r="B162">
        <v>97.9</v>
      </c>
      <c r="C162">
        <v>99.9</v>
      </c>
    </row>
    <row r="163" spans="1:3" x14ac:dyDescent="0.25">
      <c r="A163">
        <v>27</v>
      </c>
      <c r="B163">
        <v>98.2</v>
      </c>
      <c r="C163">
        <v>99.9</v>
      </c>
    </row>
    <row r="164" spans="1:3" x14ac:dyDescent="0.25">
      <c r="A164">
        <v>27</v>
      </c>
      <c r="B164">
        <v>98.5</v>
      </c>
      <c r="C164">
        <v>99.9</v>
      </c>
    </row>
    <row r="165" spans="1:3" x14ac:dyDescent="0.25">
      <c r="A165">
        <v>27</v>
      </c>
      <c r="B165">
        <v>98.7</v>
      </c>
      <c r="C165">
        <v>99.9</v>
      </c>
    </row>
    <row r="166" spans="1:3" x14ac:dyDescent="0.25">
      <c r="A166">
        <v>27</v>
      </c>
      <c r="B166">
        <v>98.6</v>
      </c>
      <c r="C166">
        <v>99.9</v>
      </c>
    </row>
    <row r="167" spans="1:3" x14ac:dyDescent="0.25">
      <c r="A167">
        <v>27</v>
      </c>
      <c r="B167">
        <v>99</v>
      </c>
      <c r="C167">
        <v>99.9</v>
      </c>
    </row>
    <row r="168" spans="1:3" x14ac:dyDescent="0.25">
      <c r="A168">
        <v>27</v>
      </c>
      <c r="B168">
        <v>99.4</v>
      </c>
      <c r="C168">
        <v>99.9</v>
      </c>
    </row>
    <row r="169" spans="1:3" x14ac:dyDescent="0.25">
      <c r="A169">
        <v>28</v>
      </c>
      <c r="B169">
        <v>99.1</v>
      </c>
      <c r="C169">
        <v>99.9</v>
      </c>
    </row>
    <row r="170" spans="1:3" x14ac:dyDescent="0.25">
      <c r="A170">
        <v>28</v>
      </c>
      <c r="B170">
        <v>99.3</v>
      </c>
      <c r="C170">
        <v>99.9</v>
      </c>
    </row>
    <row r="171" spans="1:3" x14ac:dyDescent="0.25">
      <c r="A171">
        <v>28</v>
      </c>
      <c r="B171">
        <v>99.7</v>
      </c>
      <c r="C171">
        <v>99.9</v>
      </c>
    </row>
    <row r="172" spans="1:3" x14ac:dyDescent="0.25">
      <c r="A172">
        <v>28</v>
      </c>
      <c r="B172">
        <v>99.8</v>
      </c>
      <c r="C172">
        <v>99.9</v>
      </c>
    </row>
    <row r="173" spans="1:3" x14ac:dyDescent="0.25">
      <c r="A173">
        <v>28</v>
      </c>
      <c r="B173">
        <v>100.1</v>
      </c>
      <c r="C173">
        <v>99.9</v>
      </c>
    </row>
    <row r="174" spans="1:3" x14ac:dyDescent="0.25">
      <c r="A174">
        <v>28</v>
      </c>
      <c r="B174">
        <v>99.8</v>
      </c>
      <c r="C174">
        <v>49.9</v>
      </c>
    </row>
    <row r="175" spans="1:3" x14ac:dyDescent="0.25">
      <c r="A175">
        <v>29</v>
      </c>
      <c r="B175">
        <v>99.3</v>
      </c>
      <c r="C175">
        <v>28.5</v>
      </c>
    </row>
    <row r="176" spans="1:3" x14ac:dyDescent="0.25">
      <c r="A176">
        <v>29</v>
      </c>
      <c r="B176">
        <v>98.9</v>
      </c>
      <c r="C176">
        <v>55.9</v>
      </c>
    </row>
    <row r="177" spans="1:3" x14ac:dyDescent="0.25">
      <c r="A177">
        <v>29</v>
      </c>
      <c r="B177">
        <v>98.9</v>
      </c>
      <c r="C177">
        <v>48.4</v>
      </c>
    </row>
    <row r="178" spans="1:3" x14ac:dyDescent="0.25">
      <c r="A178">
        <v>29</v>
      </c>
      <c r="B178">
        <v>99</v>
      </c>
      <c r="C178">
        <v>50.5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2C650-9490-4E1E-8605-514D749B14E1}">
  <dimension ref="A1:C153"/>
  <sheetViews>
    <sheetView workbookViewId="0">
      <selection activeCell="B1" sqref="B1:C1048576"/>
    </sheetView>
  </sheetViews>
  <sheetFormatPr defaultRowHeight="15" x14ac:dyDescent="0.25"/>
  <cols>
    <col min="1" max="1" width="7.42578125" bestFit="1" customWidth="1"/>
    <col min="2" max="2" width="5" bestFit="1" customWidth="1"/>
    <col min="3" max="3" width="7.85546875" bestFit="1" customWidth="1"/>
  </cols>
  <sheetData>
    <row r="1" spans="1:3" x14ac:dyDescent="0.25">
      <c r="A1" t="s">
        <v>5</v>
      </c>
      <c r="B1" t="s">
        <v>10</v>
      </c>
      <c r="C1" t="s">
        <v>11</v>
      </c>
    </row>
    <row r="2" spans="1:3" x14ac:dyDescent="0.25">
      <c r="A2">
        <v>0</v>
      </c>
      <c r="B2">
        <v>23.8</v>
      </c>
      <c r="C2">
        <v>0</v>
      </c>
    </row>
    <row r="3" spans="1:3" x14ac:dyDescent="0.25">
      <c r="A3">
        <v>0</v>
      </c>
      <c r="B3">
        <v>23.8</v>
      </c>
      <c r="C3">
        <v>0</v>
      </c>
    </row>
    <row r="4" spans="1:3" x14ac:dyDescent="0.25">
      <c r="A4">
        <v>0</v>
      </c>
      <c r="B4">
        <v>23.9</v>
      </c>
      <c r="C4">
        <v>0</v>
      </c>
    </row>
    <row r="5" spans="1:3" x14ac:dyDescent="0.25">
      <c r="A5">
        <v>0</v>
      </c>
      <c r="B5">
        <v>23.9</v>
      </c>
      <c r="C5">
        <v>0</v>
      </c>
    </row>
    <row r="6" spans="1:3" x14ac:dyDescent="0.25">
      <c r="A6">
        <v>0</v>
      </c>
      <c r="B6">
        <v>23.9</v>
      </c>
      <c r="C6">
        <v>0</v>
      </c>
    </row>
    <row r="7" spans="1:3" x14ac:dyDescent="0.25">
      <c r="A7">
        <v>0</v>
      </c>
      <c r="B7">
        <v>23.9</v>
      </c>
      <c r="C7">
        <v>0</v>
      </c>
    </row>
    <row r="8" spans="1:3" x14ac:dyDescent="0.25">
      <c r="A8">
        <v>1</v>
      </c>
      <c r="B8">
        <v>23.9</v>
      </c>
      <c r="C8">
        <v>0</v>
      </c>
    </row>
    <row r="9" spans="1:3" x14ac:dyDescent="0.25">
      <c r="A9">
        <v>1</v>
      </c>
      <c r="B9">
        <v>23.9</v>
      </c>
      <c r="C9">
        <v>0</v>
      </c>
    </row>
    <row r="10" spans="1:3" x14ac:dyDescent="0.25">
      <c r="A10">
        <v>1</v>
      </c>
      <c r="B10">
        <v>23.9</v>
      </c>
      <c r="C10">
        <v>0</v>
      </c>
    </row>
    <row r="11" spans="1:3" x14ac:dyDescent="0.25">
      <c r="A11">
        <v>1</v>
      </c>
      <c r="B11">
        <v>23.9</v>
      </c>
      <c r="C11">
        <v>0</v>
      </c>
    </row>
    <row r="12" spans="1:3" x14ac:dyDescent="0.25">
      <c r="A12">
        <v>1</v>
      </c>
      <c r="B12">
        <v>24.5</v>
      </c>
      <c r="C12">
        <v>87.1</v>
      </c>
    </row>
    <row r="13" spans="1:3" x14ac:dyDescent="0.25">
      <c r="A13">
        <v>1</v>
      </c>
      <c r="B13">
        <v>28.6</v>
      </c>
      <c r="C13">
        <v>98.3</v>
      </c>
    </row>
    <row r="14" spans="1:3" x14ac:dyDescent="0.25">
      <c r="A14">
        <v>2</v>
      </c>
      <c r="B14">
        <v>34</v>
      </c>
      <c r="C14">
        <v>81.2</v>
      </c>
    </row>
    <row r="15" spans="1:3" x14ac:dyDescent="0.25">
      <c r="A15">
        <v>2</v>
      </c>
      <c r="B15">
        <v>38.299999999999997</v>
      </c>
      <c r="C15">
        <v>97.5</v>
      </c>
    </row>
    <row r="16" spans="1:3" x14ac:dyDescent="0.25">
      <c r="A16">
        <v>2</v>
      </c>
      <c r="B16">
        <v>41.4</v>
      </c>
      <c r="C16">
        <v>99.6</v>
      </c>
    </row>
    <row r="17" spans="1:3" x14ac:dyDescent="0.25">
      <c r="A17">
        <v>2</v>
      </c>
      <c r="B17">
        <v>44.3</v>
      </c>
      <c r="C17">
        <v>99.9</v>
      </c>
    </row>
    <row r="18" spans="1:3" x14ac:dyDescent="0.25">
      <c r="A18">
        <v>2</v>
      </c>
      <c r="B18">
        <v>46.8</v>
      </c>
      <c r="C18">
        <v>99.9</v>
      </c>
    </row>
    <row r="19" spans="1:3" x14ac:dyDescent="0.25">
      <c r="A19">
        <v>2</v>
      </c>
      <c r="B19">
        <v>48.2</v>
      </c>
      <c r="C19">
        <v>99.9</v>
      </c>
    </row>
    <row r="20" spans="1:3" x14ac:dyDescent="0.25">
      <c r="A20">
        <v>3</v>
      </c>
      <c r="B20">
        <v>48.6</v>
      </c>
      <c r="C20">
        <v>99.9</v>
      </c>
    </row>
    <row r="21" spans="1:3" x14ac:dyDescent="0.25">
      <c r="A21">
        <v>3</v>
      </c>
      <c r="B21">
        <v>49.7</v>
      </c>
      <c r="C21">
        <v>99.9</v>
      </c>
    </row>
    <row r="22" spans="1:3" x14ac:dyDescent="0.25">
      <c r="A22">
        <v>3</v>
      </c>
      <c r="B22">
        <v>50.6</v>
      </c>
      <c r="C22">
        <v>99.9</v>
      </c>
    </row>
    <row r="23" spans="1:3" x14ac:dyDescent="0.25">
      <c r="A23">
        <v>3</v>
      </c>
      <c r="B23">
        <v>52.1</v>
      </c>
      <c r="C23">
        <v>99.9</v>
      </c>
    </row>
    <row r="24" spans="1:3" x14ac:dyDescent="0.25">
      <c r="A24">
        <v>3</v>
      </c>
      <c r="B24">
        <v>52.7</v>
      </c>
      <c r="C24">
        <v>99.9</v>
      </c>
    </row>
    <row r="25" spans="1:3" x14ac:dyDescent="0.25">
      <c r="A25">
        <v>3</v>
      </c>
      <c r="B25">
        <v>53.9</v>
      </c>
      <c r="C25">
        <v>99.9</v>
      </c>
    </row>
    <row r="26" spans="1:3" x14ac:dyDescent="0.25">
      <c r="A26">
        <v>4</v>
      </c>
      <c r="B26">
        <v>54.5</v>
      </c>
      <c r="C26">
        <v>99.9</v>
      </c>
    </row>
    <row r="27" spans="1:3" x14ac:dyDescent="0.25">
      <c r="A27">
        <v>4</v>
      </c>
      <c r="B27">
        <v>55.1</v>
      </c>
      <c r="C27">
        <v>99.9</v>
      </c>
    </row>
    <row r="28" spans="1:3" x14ac:dyDescent="0.25">
      <c r="A28">
        <v>4</v>
      </c>
      <c r="B28">
        <v>55.9</v>
      </c>
      <c r="C28">
        <v>99.9</v>
      </c>
    </row>
    <row r="29" spans="1:3" x14ac:dyDescent="0.25">
      <c r="A29">
        <v>4</v>
      </c>
      <c r="B29">
        <v>56.8</v>
      </c>
      <c r="C29">
        <v>99.9</v>
      </c>
    </row>
    <row r="30" spans="1:3" x14ac:dyDescent="0.25">
      <c r="A30">
        <v>4</v>
      </c>
      <c r="B30">
        <v>57.3</v>
      </c>
      <c r="C30">
        <v>99.9</v>
      </c>
    </row>
    <row r="31" spans="1:3" x14ac:dyDescent="0.25">
      <c r="A31">
        <v>4</v>
      </c>
      <c r="B31">
        <v>58.3</v>
      </c>
      <c r="C31">
        <v>99.9</v>
      </c>
    </row>
    <row r="32" spans="1:3" x14ac:dyDescent="0.25">
      <c r="A32">
        <v>5</v>
      </c>
      <c r="B32">
        <v>58.7</v>
      </c>
      <c r="C32">
        <v>99.9</v>
      </c>
    </row>
    <row r="33" spans="1:3" x14ac:dyDescent="0.25">
      <c r="A33">
        <v>5</v>
      </c>
      <c r="B33">
        <v>59.6</v>
      </c>
      <c r="C33">
        <v>99.9</v>
      </c>
    </row>
    <row r="34" spans="1:3" x14ac:dyDescent="0.25">
      <c r="A34">
        <v>5</v>
      </c>
      <c r="B34">
        <v>60</v>
      </c>
      <c r="C34">
        <v>99.9</v>
      </c>
    </row>
    <row r="35" spans="1:3" x14ac:dyDescent="0.25">
      <c r="A35">
        <v>5</v>
      </c>
      <c r="B35">
        <v>60.6</v>
      </c>
      <c r="C35">
        <v>99.9</v>
      </c>
    </row>
    <row r="36" spans="1:3" x14ac:dyDescent="0.25">
      <c r="A36">
        <v>5</v>
      </c>
      <c r="B36">
        <v>61</v>
      </c>
      <c r="C36">
        <v>99.9</v>
      </c>
    </row>
    <row r="37" spans="1:3" x14ac:dyDescent="0.25">
      <c r="A37">
        <v>5</v>
      </c>
      <c r="B37">
        <v>61.7</v>
      </c>
      <c r="C37">
        <v>99.9</v>
      </c>
    </row>
    <row r="38" spans="1:3" x14ac:dyDescent="0.25">
      <c r="A38">
        <v>6</v>
      </c>
      <c r="B38">
        <v>62.4</v>
      </c>
      <c r="C38">
        <v>99.9</v>
      </c>
    </row>
    <row r="39" spans="1:3" x14ac:dyDescent="0.25">
      <c r="A39">
        <v>6</v>
      </c>
      <c r="B39">
        <v>62.8</v>
      </c>
      <c r="C39">
        <v>99.9</v>
      </c>
    </row>
    <row r="40" spans="1:3" x14ac:dyDescent="0.25">
      <c r="A40">
        <v>6</v>
      </c>
      <c r="B40">
        <v>63.4</v>
      </c>
      <c r="C40">
        <v>99.9</v>
      </c>
    </row>
    <row r="41" spans="1:3" x14ac:dyDescent="0.25">
      <c r="A41">
        <v>6</v>
      </c>
      <c r="B41">
        <v>64</v>
      </c>
      <c r="C41">
        <v>99.9</v>
      </c>
    </row>
    <row r="42" spans="1:3" x14ac:dyDescent="0.25">
      <c r="A42">
        <v>6</v>
      </c>
      <c r="B42">
        <v>64.400000000000006</v>
      </c>
      <c r="C42">
        <v>99.9</v>
      </c>
    </row>
    <row r="43" spans="1:3" x14ac:dyDescent="0.25">
      <c r="A43">
        <v>6</v>
      </c>
      <c r="B43">
        <v>65.099999999999994</v>
      </c>
      <c r="C43">
        <v>99.9</v>
      </c>
    </row>
    <row r="44" spans="1:3" x14ac:dyDescent="0.25">
      <c r="A44">
        <v>7</v>
      </c>
      <c r="B44">
        <v>65.400000000000006</v>
      </c>
      <c r="C44">
        <v>99.9</v>
      </c>
    </row>
    <row r="45" spans="1:3" x14ac:dyDescent="0.25">
      <c r="A45">
        <v>7</v>
      </c>
      <c r="B45">
        <v>65.8</v>
      </c>
      <c r="C45">
        <v>99.9</v>
      </c>
    </row>
    <row r="46" spans="1:3" x14ac:dyDescent="0.25">
      <c r="A46">
        <v>7</v>
      </c>
      <c r="B46">
        <v>66.599999999999994</v>
      </c>
      <c r="C46">
        <v>99.9</v>
      </c>
    </row>
    <row r="47" spans="1:3" x14ac:dyDescent="0.25">
      <c r="A47">
        <v>7</v>
      </c>
      <c r="B47">
        <v>66.900000000000006</v>
      </c>
      <c r="C47">
        <v>99.9</v>
      </c>
    </row>
    <row r="48" spans="1:3" x14ac:dyDescent="0.25">
      <c r="A48">
        <v>7</v>
      </c>
      <c r="B48">
        <v>67.099999999999994</v>
      </c>
      <c r="C48">
        <v>99.9</v>
      </c>
    </row>
    <row r="49" spans="1:3" x14ac:dyDescent="0.25">
      <c r="A49">
        <v>8</v>
      </c>
      <c r="B49">
        <v>67.7</v>
      </c>
      <c r="C49">
        <v>99.9</v>
      </c>
    </row>
    <row r="50" spans="1:3" x14ac:dyDescent="0.25">
      <c r="A50">
        <v>8</v>
      </c>
      <c r="B50">
        <v>68.2</v>
      </c>
      <c r="C50">
        <v>99.9</v>
      </c>
    </row>
    <row r="51" spans="1:3" x14ac:dyDescent="0.25">
      <c r="A51">
        <v>8</v>
      </c>
      <c r="B51">
        <v>68.599999999999994</v>
      </c>
      <c r="C51">
        <v>99.9</v>
      </c>
    </row>
    <row r="52" spans="1:3" x14ac:dyDescent="0.25">
      <c r="A52">
        <v>8</v>
      </c>
      <c r="B52">
        <v>69.099999999999994</v>
      </c>
      <c r="C52">
        <v>99.9</v>
      </c>
    </row>
    <row r="53" spans="1:3" x14ac:dyDescent="0.25">
      <c r="A53">
        <v>8</v>
      </c>
      <c r="B53">
        <v>69.5</v>
      </c>
      <c r="C53">
        <v>99.9</v>
      </c>
    </row>
    <row r="54" spans="1:3" x14ac:dyDescent="0.25">
      <c r="A54">
        <v>8</v>
      </c>
      <c r="B54">
        <v>70.099999999999994</v>
      </c>
      <c r="C54">
        <v>99.9</v>
      </c>
    </row>
    <row r="55" spans="1:3" x14ac:dyDescent="0.25">
      <c r="A55">
        <v>9</v>
      </c>
      <c r="B55">
        <v>70.400000000000006</v>
      </c>
      <c r="C55">
        <v>99.9</v>
      </c>
    </row>
    <row r="56" spans="1:3" x14ac:dyDescent="0.25">
      <c r="A56">
        <v>9</v>
      </c>
      <c r="B56">
        <v>71.099999999999994</v>
      </c>
      <c r="C56">
        <v>99.9</v>
      </c>
    </row>
    <row r="57" spans="1:3" x14ac:dyDescent="0.25">
      <c r="A57">
        <v>9</v>
      </c>
      <c r="B57">
        <v>71.3</v>
      </c>
      <c r="C57">
        <v>99.9</v>
      </c>
    </row>
    <row r="58" spans="1:3" x14ac:dyDescent="0.25">
      <c r="A58">
        <v>9</v>
      </c>
      <c r="B58">
        <v>71.599999999999994</v>
      </c>
      <c r="C58">
        <v>99.9</v>
      </c>
    </row>
    <row r="59" spans="1:3" x14ac:dyDescent="0.25">
      <c r="A59">
        <v>9</v>
      </c>
      <c r="B59">
        <v>72.3</v>
      </c>
      <c r="C59">
        <v>99.9</v>
      </c>
    </row>
    <row r="60" spans="1:3" x14ac:dyDescent="0.25">
      <c r="A60">
        <v>9</v>
      </c>
      <c r="B60">
        <v>72.400000000000006</v>
      </c>
      <c r="C60">
        <v>99.9</v>
      </c>
    </row>
    <row r="61" spans="1:3" x14ac:dyDescent="0.25">
      <c r="A61">
        <v>10</v>
      </c>
      <c r="B61">
        <v>73</v>
      </c>
      <c r="C61">
        <v>99.9</v>
      </c>
    </row>
    <row r="62" spans="1:3" x14ac:dyDescent="0.25">
      <c r="A62">
        <v>10</v>
      </c>
      <c r="B62">
        <v>73.3</v>
      </c>
      <c r="C62">
        <v>99.9</v>
      </c>
    </row>
    <row r="63" spans="1:3" x14ac:dyDescent="0.25">
      <c r="A63">
        <v>10</v>
      </c>
      <c r="B63">
        <v>73.900000000000006</v>
      </c>
      <c r="C63">
        <v>99.9</v>
      </c>
    </row>
    <row r="64" spans="1:3" x14ac:dyDescent="0.25">
      <c r="A64">
        <v>10</v>
      </c>
      <c r="B64">
        <v>74.099999999999994</v>
      </c>
      <c r="C64">
        <v>99.9</v>
      </c>
    </row>
    <row r="65" spans="1:3" x14ac:dyDescent="0.25">
      <c r="A65">
        <v>10</v>
      </c>
      <c r="B65">
        <v>74.7</v>
      </c>
      <c r="C65">
        <v>99.9</v>
      </c>
    </row>
    <row r="66" spans="1:3" x14ac:dyDescent="0.25">
      <c r="A66">
        <v>10</v>
      </c>
      <c r="B66">
        <v>74.900000000000006</v>
      </c>
      <c r="C66">
        <v>99.9</v>
      </c>
    </row>
    <row r="67" spans="1:3" x14ac:dyDescent="0.25">
      <c r="A67">
        <v>11</v>
      </c>
      <c r="B67">
        <v>75.400000000000006</v>
      </c>
      <c r="C67">
        <v>99.9</v>
      </c>
    </row>
    <row r="68" spans="1:3" x14ac:dyDescent="0.25">
      <c r="A68">
        <v>11</v>
      </c>
      <c r="B68">
        <v>75.400000000000006</v>
      </c>
      <c r="C68">
        <v>99.9</v>
      </c>
    </row>
    <row r="69" spans="1:3" x14ac:dyDescent="0.25">
      <c r="A69">
        <v>11</v>
      </c>
      <c r="B69">
        <v>76</v>
      </c>
      <c r="C69">
        <v>99.9</v>
      </c>
    </row>
    <row r="70" spans="1:3" x14ac:dyDescent="0.25">
      <c r="A70">
        <v>11</v>
      </c>
      <c r="B70">
        <v>76.2</v>
      </c>
      <c r="C70">
        <v>99.9</v>
      </c>
    </row>
    <row r="71" spans="1:3" x14ac:dyDescent="0.25">
      <c r="A71">
        <v>11</v>
      </c>
      <c r="B71">
        <v>76.7</v>
      </c>
      <c r="C71">
        <v>99.9</v>
      </c>
    </row>
    <row r="72" spans="1:3" x14ac:dyDescent="0.25">
      <c r="A72">
        <v>11</v>
      </c>
      <c r="B72">
        <v>76.900000000000006</v>
      </c>
      <c r="C72">
        <v>99.9</v>
      </c>
    </row>
    <row r="73" spans="1:3" x14ac:dyDescent="0.25">
      <c r="A73">
        <v>12</v>
      </c>
      <c r="B73">
        <v>77</v>
      </c>
      <c r="C73">
        <v>99.9</v>
      </c>
    </row>
    <row r="74" spans="1:3" x14ac:dyDescent="0.25">
      <c r="A74">
        <v>12</v>
      </c>
      <c r="B74">
        <v>77</v>
      </c>
      <c r="C74">
        <v>99.9</v>
      </c>
    </row>
    <row r="75" spans="1:3" x14ac:dyDescent="0.25">
      <c r="A75">
        <v>12</v>
      </c>
      <c r="B75">
        <v>77.3</v>
      </c>
      <c r="C75">
        <v>99.9</v>
      </c>
    </row>
    <row r="76" spans="1:3" x14ac:dyDescent="0.25">
      <c r="A76">
        <v>12</v>
      </c>
      <c r="B76">
        <v>77.400000000000006</v>
      </c>
      <c r="C76">
        <v>99.9</v>
      </c>
    </row>
    <row r="77" spans="1:3" x14ac:dyDescent="0.25">
      <c r="A77">
        <v>12</v>
      </c>
      <c r="B77">
        <v>77.8</v>
      </c>
      <c r="C77">
        <v>99.9</v>
      </c>
    </row>
    <row r="78" spans="1:3" x14ac:dyDescent="0.25">
      <c r="A78">
        <v>12</v>
      </c>
      <c r="B78">
        <v>77.900000000000006</v>
      </c>
      <c r="C78">
        <v>99.9</v>
      </c>
    </row>
    <row r="79" spans="1:3" x14ac:dyDescent="0.25">
      <c r="A79">
        <v>13</v>
      </c>
      <c r="B79">
        <v>78</v>
      </c>
      <c r="C79">
        <v>99.9</v>
      </c>
    </row>
    <row r="80" spans="1:3" x14ac:dyDescent="0.25">
      <c r="A80">
        <v>13</v>
      </c>
      <c r="B80">
        <v>78.599999999999994</v>
      </c>
      <c r="C80">
        <v>99.9</v>
      </c>
    </row>
    <row r="81" spans="1:3" x14ac:dyDescent="0.25">
      <c r="A81">
        <v>13</v>
      </c>
      <c r="B81">
        <v>78.599999999999994</v>
      </c>
      <c r="C81">
        <v>99.9</v>
      </c>
    </row>
    <row r="82" spans="1:3" x14ac:dyDescent="0.25">
      <c r="A82">
        <v>13</v>
      </c>
      <c r="B82">
        <v>79</v>
      </c>
      <c r="C82">
        <v>99.9</v>
      </c>
    </row>
    <row r="83" spans="1:3" x14ac:dyDescent="0.25">
      <c r="A83">
        <v>13</v>
      </c>
      <c r="B83">
        <v>79.3</v>
      </c>
      <c r="C83">
        <v>99.9</v>
      </c>
    </row>
    <row r="84" spans="1:3" x14ac:dyDescent="0.25">
      <c r="A84">
        <v>13</v>
      </c>
      <c r="B84">
        <v>79.5</v>
      </c>
      <c r="C84">
        <v>99.9</v>
      </c>
    </row>
    <row r="85" spans="1:3" x14ac:dyDescent="0.25">
      <c r="A85">
        <v>14</v>
      </c>
      <c r="B85">
        <v>79.599999999999994</v>
      </c>
      <c r="C85">
        <v>99.9</v>
      </c>
    </row>
    <row r="86" spans="1:3" x14ac:dyDescent="0.25">
      <c r="A86">
        <v>14</v>
      </c>
      <c r="B86">
        <v>79.8</v>
      </c>
      <c r="C86">
        <v>99.9</v>
      </c>
    </row>
    <row r="87" spans="1:3" x14ac:dyDescent="0.25">
      <c r="A87">
        <v>14</v>
      </c>
      <c r="B87">
        <v>80.400000000000006</v>
      </c>
      <c r="C87">
        <v>99.9</v>
      </c>
    </row>
    <row r="88" spans="1:3" x14ac:dyDescent="0.25">
      <c r="A88">
        <v>14</v>
      </c>
      <c r="B88">
        <v>80.8</v>
      </c>
      <c r="C88">
        <v>99.9</v>
      </c>
    </row>
    <row r="89" spans="1:3" x14ac:dyDescent="0.25">
      <c r="A89">
        <v>14</v>
      </c>
      <c r="B89">
        <v>80.900000000000006</v>
      </c>
      <c r="C89">
        <v>99.9</v>
      </c>
    </row>
    <row r="90" spans="1:3" x14ac:dyDescent="0.25">
      <c r="A90">
        <v>14</v>
      </c>
      <c r="B90">
        <v>81.2</v>
      </c>
      <c r="C90">
        <v>99.9</v>
      </c>
    </row>
    <row r="91" spans="1:3" x14ac:dyDescent="0.25">
      <c r="A91">
        <v>15</v>
      </c>
      <c r="B91">
        <v>81.3</v>
      </c>
      <c r="C91">
        <v>99.9</v>
      </c>
    </row>
    <row r="92" spans="1:3" x14ac:dyDescent="0.25">
      <c r="A92">
        <v>15</v>
      </c>
      <c r="B92">
        <v>81.7</v>
      </c>
      <c r="C92">
        <v>99.9</v>
      </c>
    </row>
    <row r="93" spans="1:3" x14ac:dyDescent="0.25">
      <c r="A93">
        <v>15</v>
      </c>
      <c r="B93">
        <v>81.900000000000006</v>
      </c>
      <c r="C93">
        <v>99.9</v>
      </c>
    </row>
    <row r="94" spans="1:3" x14ac:dyDescent="0.25">
      <c r="A94">
        <v>15</v>
      </c>
      <c r="B94">
        <v>82.3</v>
      </c>
      <c r="C94">
        <v>99.9</v>
      </c>
    </row>
    <row r="95" spans="1:3" x14ac:dyDescent="0.25">
      <c r="A95">
        <v>15</v>
      </c>
      <c r="B95">
        <v>82.6</v>
      </c>
      <c r="C95">
        <v>99.9</v>
      </c>
    </row>
    <row r="96" spans="1:3" x14ac:dyDescent="0.25">
      <c r="A96">
        <v>15</v>
      </c>
      <c r="B96">
        <v>83</v>
      </c>
      <c r="C96">
        <v>99.9</v>
      </c>
    </row>
    <row r="97" spans="1:3" x14ac:dyDescent="0.25">
      <c r="A97">
        <v>16</v>
      </c>
      <c r="B97">
        <v>83.3</v>
      </c>
      <c r="C97">
        <v>99.9</v>
      </c>
    </row>
    <row r="98" spans="1:3" x14ac:dyDescent="0.25">
      <c r="A98">
        <v>16</v>
      </c>
      <c r="B98">
        <v>83.8</v>
      </c>
      <c r="C98">
        <v>99.9</v>
      </c>
    </row>
    <row r="99" spans="1:3" x14ac:dyDescent="0.25">
      <c r="A99">
        <v>16</v>
      </c>
      <c r="B99">
        <v>83.9</v>
      </c>
      <c r="C99">
        <v>99.9</v>
      </c>
    </row>
    <row r="100" spans="1:3" x14ac:dyDescent="0.25">
      <c r="A100">
        <v>16</v>
      </c>
      <c r="B100">
        <v>83.8</v>
      </c>
      <c r="C100">
        <v>99.9</v>
      </c>
    </row>
    <row r="101" spans="1:3" x14ac:dyDescent="0.25">
      <c r="A101">
        <v>16</v>
      </c>
      <c r="B101">
        <v>84.2</v>
      </c>
      <c r="C101">
        <v>99.9</v>
      </c>
    </row>
    <row r="102" spans="1:3" x14ac:dyDescent="0.25">
      <c r="A102">
        <v>16</v>
      </c>
      <c r="B102">
        <v>84.2</v>
      </c>
      <c r="C102">
        <v>99.9</v>
      </c>
    </row>
    <row r="103" spans="1:3" x14ac:dyDescent="0.25">
      <c r="A103">
        <v>17</v>
      </c>
      <c r="B103">
        <v>84.7</v>
      </c>
      <c r="C103">
        <v>99.9</v>
      </c>
    </row>
    <row r="104" spans="1:3" x14ac:dyDescent="0.25">
      <c r="A104">
        <v>17</v>
      </c>
      <c r="B104">
        <v>84.8</v>
      </c>
      <c r="C104">
        <v>99.9</v>
      </c>
    </row>
    <row r="105" spans="1:3" x14ac:dyDescent="0.25">
      <c r="A105">
        <v>17</v>
      </c>
      <c r="B105">
        <v>85.3</v>
      </c>
      <c r="C105">
        <v>99.9</v>
      </c>
    </row>
    <row r="106" spans="1:3" x14ac:dyDescent="0.25">
      <c r="A106">
        <v>17</v>
      </c>
      <c r="B106">
        <v>85.5</v>
      </c>
      <c r="C106">
        <v>99.9</v>
      </c>
    </row>
    <row r="107" spans="1:3" x14ac:dyDescent="0.25">
      <c r="A107">
        <v>17</v>
      </c>
      <c r="B107">
        <v>85.7</v>
      </c>
      <c r="C107">
        <v>99.9</v>
      </c>
    </row>
    <row r="108" spans="1:3" x14ac:dyDescent="0.25">
      <c r="A108">
        <v>17</v>
      </c>
      <c r="B108">
        <v>85.8</v>
      </c>
      <c r="C108">
        <v>99.9</v>
      </c>
    </row>
    <row r="109" spans="1:3" x14ac:dyDescent="0.25">
      <c r="A109">
        <v>18</v>
      </c>
      <c r="B109">
        <v>86.1</v>
      </c>
      <c r="C109">
        <v>99.9</v>
      </c>
    </row>
    <row r="110" spans="1:3" x14ac:dyDescent="0.25">
      <c r="A110">
        <v>18</v>
      </c>
      <c r="B110">
        <v>86.5</v>
      </c>
      <c r="C110">
        <v>99.9</v>
      </c>
    </row>
    <row r="111" spans="1:3" x14ac:dyDescent="0.25">
      <c r="A111">
        <v>18</v>
      </c>
      <c r="B111">
        <v>86.7</v>
      </c>
      <c r="C111">
        <v>99.9</v>
      </c>
    </row>
    <row r="112" spans="1:3" x14ac:dyDescent="0.25">
      <c r="A112">
        <v>18</v>
      </c>
      <c r="B112">
        <v>86.9</v>
      </c>
      <c r="C112">
        <v>99.9</v>
      </c>
    </row>
    <row r="113" spans="1:3" x14ac:dyDescent="0.25">
      <c r="A113">
        <v>18</v>
      </c>
      <c r="B113">
        <v>87.3</v>
      </c>
      <c r="C113">
        <v>99.9</v>
      </c>
    </row>
    <row r="114" spans="1:3" x14ac:dyDescent="0.25">
      <c r="A114">
        <v>18</v>
      </c>
      <c r="B114">
        <v>87.5</v>
      </c>
      <c r="C114">
        <v>99.9</v>
      </c>
    </row>
    <row r="115" spans="1:3" x14ac:dyDescent="0.25">
      <c r="A115">
        <v>19</v>
      </c>
      <c r="B115">
        <v>87.6</v>
      </c>
      <c r="C115">
        <v>99.9</v>
      </c>
    </row>
    <row r="116" spans="1:3" x14ac:dyDescent="0.25">
      <c r="A116">
        <v>19</v>
      </c>
      <c r="B116">
        <v>87.7</v>
      </c>
      <c r="C116">
        <v>99.9</v>
      </c>
    </row>
    <row r="117" spans="1:3" x14ac:dyDescent="0.25">
      <c r="A117">
        <v>19</v>
      </c>
      <c r="B117">
        <v>88.1</v>
      </c>
      <c r="C117">
        <v>99.9</v>
      </c>
    </row>
    <row r="118" spans="1:3" x14ac:dyDescent="0.25">
      <c r="A118">
        <v>19</v>
      </c>
      <c r="B118">
        <v>88.1</v>
      </c>
      <c r="C118">
        <v>99.9</v>
      </c>
    </row>
    <row r="119" spans="1:3" x14ac:dyDescent="0.25">
      <c r="A119">
        <v>19</v>
      </c>
      <c r="B119">
        <v>88.5</v>
      </c>
      <c r="C119">
        <v>99.9</v>
      </c>
    </row>
    <row r="120" spans="1:3" x14ac:dyDescent="0.25">
      <c r="A120">
        <v>19</v>
      </c>
      <c r="B120">
        <v>88.8</v>
      </c>
      <c r="C120">
        <v>99.9</v>
      </c>
    </row>
    <row r="121" spans="1:3" x14ac:dyDescent="0.25">
      <c r="A121">
        <v>20</v>
      </c>
      <c r="B121">
        <v>89.2</v>
      </c>
      <c r="C121">
        <v>99.9</v>
      </c>
    </row>
    <row r="122" spans="1:3" x14ac:dyDescent="0.25">
      <c r="A122">
        <v>20</v>
      </c>
      <c r="B122">
        <v>89.1</v>
      </c>
      <c r="C122">
        <v>99.9</v>
      </c>
    </row>
    <row r="123" spans="1:3" x14ac:dyDescent="0.25">
      <c r="A123">
        <v>20</v>
      </c>
      <c r="B123">
        <v>89.5</v>
      </c>
      <c r="C123">
        <v>99.9</v>
      </c>
    </row>
    <row r="124" spans="1:3" x14ac:dyDescent="0.25">
      <c r="A124">
        <v>20</v>
      </c>
      <c r="B124">
        <v>90</v>
      </c>
      <c r="C124">
        <v>99.9</v>
      </c>
    </row>
    <row r="125" spans="1:3" x14ac:dyDescent="0.25">
      <c r="A125">
        <v>20</v>
      </c>
      <c r="B125">
        <v>89.7</v>
      </c>
      <c r="C125">
        <v>73.400000000000006</v>
      </c>
    </row>
    <row r="126" spans="1:3" x14ac:dyDescent="0.25">
      <c r="A126">
        <v>20</v>
      </c>
      <c r="B126">
        <v>89.7</v>
      </c>
      <c r="C126">
        <v>96.5</v>
      </c>
    </row>
    <row r="127" spans="1:3" x14ac:dyDescent="0.25">
      <c r="A127">
        <v>21</v>
      </c>
      <c r="B127">
        <v>89.8</v>
      </c>
      <c r="C127">
        <v>99.5</v>
      </c>
    </row>
    <row r="128" spans="1:3" x14ac:dyDescent="0.25">
      <c r="A128">
        <v>21</v>
      </c>
      <c r="B128">
        <v>90</v>
      </c>
      <c r="C128">
        <v>16.5</v>
      </c>
    </row>
    <row r="129" spans="1:3" x14ac:dyDescent="0.25">
      <c r="A129">
        <v>21</v>
      </c>
      <c r="B129">
        <v>88.7</v>
      </c>
      <c r="C129">
        <v>86.3</v>
      </c>
    </row>
    <row r="130" spans="1:3" x14ac:dyDescent="0.25">
      <c r="A130">
        <v>21</v>
      </c>
      <c r="B130">
        <v>89</v>
      </c>
      <c r="C130">
        <v>98.2</v>
      </c>
    </row>
    <row r="131" spans="1:3" x14ac:dyDescent="0.25">
      <c r="A131">
        <v>21</v>
      </c>
      <c r="B131">
        <v>89.9</v>
      </c>
      <c r="C131">
        <v>99.7</v>
      </c>
    </row>
    <row r="132" spans="1:3" x14ac:dyDescent="0.25">
      <c r="A132">
        <v>21</v>
      </c>
      <c r="B132">
        <v>90.3</v>
      </c>
      <c r="C132">
        <v>15.7</v>
      </c>
    </row>
    <row r="133" spans="1:3" x14ac:dyDescent="0.25">
      <c r="A133">
        <v>22</v>
      </c>
      <c r="B133">
        <v>88.8</v>
      </c>
      <c r="C133">
        <v>79.400000000000006</v>
      </c>
    </row>
    <row r="134" spans="1:3" x14ac:dyDescent="0.25">
      <c r="A134">
        <v>22</v>
      </c>
      <c r="B134">
        <v>88.8</v>
      </c>
      <c r="C134">
        <v>97.3</v>
      </c>
    </row>
    <row r="135" spans="1:3" x14ac:dyDescent="0.25">
      <c r="A135">
        <v>22</v>
      </c>
      <c r="B135">
        <v>90</v>
      </c>
      <c r="C135">
        <v>85.3</v>
      </c>
    </row>
    <row r="136" spans="1:3" x14ac:dyDescent="0.25">
      <c r="A136">
        <v>22</v>
      </c>
      <c r="B136">
        <v>90.3</v>
      </c>
      <c r="C136">
        <v>11.6</v>
      </c>
    </row>
    <row r="137" spans="1:3" x14ac:dyDescent="0.25">
      <c r="A137">
        <v>22</v>
      </c>
      <c r="B137">
        <v>88.6</v>
      </c>
      <c r="C137">
        <v>78.900000000000006</v>
      </c>
    </row>
    <row r="138" spans="1:3" x14ac:dyDescent="0.25">
      <c r="A138">
        <v>22</v>
      </c>
      <c r="B138">
        <v>88.8</v>
      </c>
      <c r="C138">
        <v>97.2</v>
      </c>
    </row>
    <row r="139" spans="1:3" x14ac:dyDescent="0.25">
      <c r="A139">
        <v>23</v>
      </c>
      <c r="B139">
        <v>89.9</v>
      </c>
      <c r="C139">
        <v>99.6</v>
      </c>
    </row>
    <row r="140" spans="1:3" x14ac:dyDescent="0.25">
      <c r="A140">
        <v>23</v>
      </c>
      <c r="B140">
        <v>90.6</v>
      </c>
      <c r="C140">
        <v>16.5</v>
      </c>
    </row>
    <row r="141" spans="1:3" x14ac:dyDescent="0.25">
      <c r="A141">
        <v>23</v>
      </c>
      <c r="B141">
        <v>89.1</v>
      </c>
      <c r="C141">
        <v>53.3</v>
      </c>
    </row>
    <row r="142" spans="1:3" x14ac:dyDescent="0.25">
      <c r="A142">
        <v>23</v>
      </c>
      <c r="B142">
        <v>88.1</v>
      </c>
      <c r="C142">
        <v>94</v>
      </c>
    </row>
    <row r="143" spans="1:3" x14ac:dyDescent="0.25">
      <c r="A143">
        <v>23</v>
      </c>
      <c r="B143">
        <v>89.3</v>
      </c>
      <c r="C143">
        <v>99.2</v>
      </c>
    </row>
    <row r="144" spans="1:3" x14ac:dyDescent="0.25">
      <c r="A144">
        <v>23</v>
      </c>
      <c r="B144">
        <v>90.6</v>
      </c>
      <c r="C144">
        <v>32.200000000000003</v>
      </c>
    </row>
    <row r="145" spans="1:3" x14ac:dyDescent="0.25">
      <c r="A145">
        <v>24</v>
      </c>
      <c r="B145">
        <v>90.1</v>
      </c>
      <c r="C145">
        <v>4.0999999999999996</v>
      </c>
    </row>
    <row r="146" spans="1:3" x14ac:dyDescent="0.25">
      <c r="A146">
        <v>24</v>
      </c>
      <c r="B146">
        <v>88.2</v>
      </c>
      <c r="C146">
        <v>86.2</v>
      </c>
    </row>
    <row r="147" spans="1:3" x14ac:dyDescent="0.25">
      <c r="A147">
        <v>24</v>
      </c>
      <c r="B147">
        <v>89</v>
      </c>
      <c r="C147">
        <v>98.2</v>
      </c>
    </row>
    <row r="148" spans="1:3" x14ac:dyDescent="0.25">
      <c r="A148">
        <v>24</v>
      </c>
      <c r="B148">
        <v>90.4</v>
      </c>
      <c r="C148">
        <v>39.4</v>
      </c>
    </row>
    <row r="149" spans="1:3" x14ac:dyDescent="0.25">
      <c r="A149">
        <v>24</v>
      </c>
      <c r="B149">
        <v>90.3</v>
      </c>
      <c r="C149">
        <v>5</v>
      </c>
    </row>
    <row r="150" spans="1:3" x14ac:dyDescent="0.25">
      <c r="A150">
        <v>24</v>
      </c>
      <c r="B150">
        <v>88.6</v>
      </c>
      <c r="C150">
        <v>81.2</v>
      </c>
    </row>
    <row r="151" spans="1:3" x14ac:dyDescent="0.25">
      <c r="A151">
        <v>25</v>
      </c>
      <c r="B151">
        <v>89.3</v>
      </c>
      <c r="C151">
        <v>97.5</v>
      </c>
    </row>
    <row r="152" spans="1:3" x14ac:dyDescent="0.25">
      <c r="A152">
        <v>25</v>
      </c>
      <c r="B152">
        <v>90.6</v>
      </c>
      <c r="C152">
        <v>43.7</v>
      </c>
    </row>
    <row r="153" spans="1:3" x14ac:dyDescent="0.25">
      <c r="A153">
        <v>25</v>
      </c>
      <c r="B153">
        <v>90.8</v>
      </c>
      <c r="C153">
        <v>5.3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AD2329-ADE9-4E3D-B825-48C530D60D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0524</vt:lpstr>
      <vt:lpstr>0525</vt:lpstr>
      <vt:lpstr>0530</vt:lpstr>
      <vt:lpstr>0606</vt:lpstr>
      <vt:lpstr>0607</vt:lpstr>
      <vt:lpstr>0607-a</vt:lpstr>
      <vt:lpstr>0608-a</vt:lpstr>
      <vt:lpstr>0609-a</vt:lpstr>
      <vt:lpstr>0610-a</vt:lpstr>
      <vt:lpstr>0611-a</vt:lpstr>
      <vt:lpstr>0613</vt:lpstr>
      <vt:lpstr>0703-a</vt:lpstr>
      <vt:lpstr>0719-a</vt:lpstr>
      <vt:lpstr>logtemperature (17)</vt:lpstr>
      <vt:lpstr>0720-bb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 Berntsen</dc:creator>
  <cp:lastModifiedBy>Roy Berntsen</cp:lastModifiedBy>
  <dcterms:created xsi:type="dcterms:W3CDTF">2026-05-24T18:18:30Z</dcterms:created>
  <dcterms:modified xsi:type="dcterms:W3CDTF">2026-07-26T10:42:10Z</dcterms:modified>
</cp:coreProperties>
</file>