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"/>
    </mc:Choice>
  </mc:AlternateContent>
  <xr:revisionPtr revIDLastSave="935" documentId="8_{5EBD612E-DB25-4D8F-A3D2-9D9DAC2F75C7}" xr6:coauthVersionLast="47" xr6:coauthVersionMax="47" xr10:uidLastSave="{61BD77AE-1225-4DF8-B4A3-9090C9494E79}"/>
  <bookViews>
    <workbookView xWindow="-120" yWindow="-120" windowWidth="29040" windowHeight="15720" xr2:uid="{2C3FE0EF-5913-4BB0-AF1C-A9D355B6C72F}"/>
  </bookViews>
  <sheets>
    <sheet name="TOTAL" sheetId="10" r:id="rId1"/>
    <sheet name="2021" sheetId="7" r:id="rId2"/>
    <sheet name="2022" sheetId="1" r:id="rId3"/>
    <sheet name="2023" sheetId="8" r:id="rId4"/>
    <sheet name="2024" sheetId="9" r:id="rId5"/>
    <sheet name="2025" sheetId="11" r:id="rId6"/>
    <sheet name="2026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0" l="1"/>
  <c r="A71" i="12"/>
  <c r="A67" i="12"/>
  <c r="A62" i="12"/>
  <c r="A55" i="12"/>
  <c r="A45" i="12"/>
  <c r="A38" i="12"/>
  <c r="A34" i="12"/>
  <c r="A25" i="12"/>
  <c r="A20" i="12"/>
  <c r="A14" i="12"/>
  <c r="A10" i="12"/>
  <c r="B6" i="10"/>
  <c r="A60" i="11"/>
  <c r="A97" i="11"/>
  <c r="A72" i="11"/>
  <c r="A50" i="11"/>
  <c r="A39" i="11"/>
  <c r="A10" i="11"/>
  <c r="A76" i="11"/>
  <c r="A67" i="11"/>
  <c r="A43" i="11"/>
  <c r="A30" i="11"/>
  <c r="A25" i="11"/>
  <c r="A18" i="11"/>
  <c r="B5" i="10"/>
  <c r="B4" i="10"/>
  <c r="B3" i="10"/>
  <c r="B2" i="10"/>
  <c r="B85" i="9"/>
  <c r="B84" i="9"/>
  <c r="A81" i="9"/>
  <c r="A77" i="9"/>
  <c r="A71" i="9"/>
  <c r="A66" i="9"/>
  <c r="A54" i="9"/>
  <c r="A35" i="9"/>
  <c r="A23" i="9"/>
  <c r="A28" i="9"/>
  <c r="A18" i="9"/>
  <c r="A13" i="9"/>
  <c r="A9" i="9"/>
  <c r="A5" i="9"/>
  <c r="A44" i="8"/>
  <c r="A52" i="8"/>
  <c r="A48" i="8"/>
  <c r="A40" i="8"/>
  <c r="A36" i="8"/>
  <c r="A32" i="8"/>
  <c r="A26" i="8"/>
  <c r="A21" i="8"/>
  <c r="A17" i="8"/>
  <c r="A13" i="8"/>
  <c r="A9" i="8"/>
  <c r="A5" i="8"/>
  <c r="B92" i="7"/>
  <c r="A89" i="7"/>
  <c r="A77" i="7"/>
  <c r="A69" i="7"/>
  <c r="A22" i="7"/>
  <c r="A12" i="7"/>
  <c r="A65" i="7"/>
  <c r="A61" i="7"/>
  <c r="A56" i="7"/>
  <c r="A52" i="7"/>
  <c r="A48" i="7"/>
  <c r="A41" i="7"/>
  <c r="A32" i="7"/>
  <c r="B111" i="1"/>
  <c r="B110" i="1"/>
  <c r="A107" i="1"/>
  <c r="A103" i="1"/>
  <c r="A95" i="1"/>
  <c r="A91" i="1"/>
  <c r="A81" i="1"/>
  <c r="A68" i="1"/>
  <c r="A60" i="1"/>
  <c r="A41" i="1"/>
  <c r="A34" i="1"/>
  <c r="A23" i="1"/>
  <c r="A15" i="1"/>
  <c r="A10" i="1"/>
  <c r="B75" i="12" l="1"/>
  <c r="B76" i="12" s="1"/>
  <c r="A90" i="12" s="1"/>
  <c r="B93" i="12" s="1"/>
  <c r="B94" i="12" s="1"/>
  <c r="B9" i="10"/>
  <c r="B10" i="10" s="1"/>
  <c r="B100" i="11"/>
  <c r="B101" i="11" s="1"/>
  <c r="B55" i="8"/>
  <c r="B56" i="8" s="1"/>
  <c r="B93" i="7"/>
</calcChain>
</file>

<file path=xl/sharedStrings.xml><?xml version="1.0" encoding="utf-8"?>
<sst xmlns="http://schemas.openxmlformats.org/spreadsheetml/2006/main" count="172" uniqueCount="43">
  <si>
    <t>aliexpress</t>
  </si>
  <si>
    <t>polyalkemi</t>
  </si>
  <si>
    <t>stratus</t>
  </si>
  <si>
    <t>clas ohlson</t>
  </si>
  <si>
    <t>biltema</t>
  </si>
  <si>
    <t>makersupplies</t>
  </si>
  <si>
    <t>maxbo</t>
  </si>
  <si>
    <t>paypal</t>
  </si>
  <si>
    <t>alibaba</t>
  </si>
  <si>
    <t>Januar</t>
  </si>
  <si>
    <t>Måned</t>
  </si>
  <si>
    <t>Februar</t>
  </si>
  <si>
    <t>Mars</t>
  </si>
  <si>
    <t>April</t>
  </si>
  <si>
    <t>Mai</t>
  </si>
  <si>
    <t>Juni</t>
  </si>
  <si>
    <t>July</t>
  </si>
  <si>
    <t>August</t>
  </si>
  <si>
    <t>September</t>
  </si>
  <si>
    <t>October</t>
  </si>
  <si>
    <t>November</t>
  </si>
  <si>
    <t>Desember</t>
  </si>
  <si>
    <t>2022 Total</t>
  </si>
  <si>
    <t>RS Components</t>
  </si>
  <si>
    <t>Farnell</t>
  </si>
  <si>
    <t>Digi Key</t>
  </si>
  <si>
    <t>Digital impuls</t>
  </si>
  <si>
    <t>2022 USD</t>
  </si>
  <si>
    <t>NOK/USD</t>
  </si>
  <si>
    <t>2021 Total</t>
  </si>
  <si>
    <t>2021 USD</t>
  </si>
  <si>
    <t>NOK TOTAL</t>
  </si>
  <si>
    <t>USD</t>
  </si>
  <si>
    <t>Valkyrie development cost</t>
  </si>
  <si>
    <t>2025 Total</t>
  </si>
  <si>
    <t>2025 USD</t>
  </si>
  <si>
    <t>2024 Total</t>
  </si>
  <si>
    <t>2024 USD</t>
  </si>
  <si>
    <t>2023 Total</t>
  </si>
  <si>
    <t>2023 USD</t>
  </si>
  <si>
    <t>2026 Total</t>
  </si>
  <si>
    <t>2026 USD</t>
  </si>
  <si>
    <t>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</si>
</sst>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\ [$NOK]_-;\-* #,##0\ [$NOK]_-;_-* &quot;-&quot;\ [$NOK]_-;_-@_-"/>
    <numFmt numFmtId="165" formatCode="_-* #,##0\ [$USD]_-;\-* #,##0\ [$USD]_-;_-* &quot;-&quot;\ [$USD]_-;_-@_-"/>
    <numFmt numFmtId="166" formatCode="#,##0\ [$NOK]"/>
    <numFmt numFmtId="167" formatCode="#,##0.00\ [$USD]"/>
  </numFmts>
  <fonts count="3" x14ac:knownFonts="1">
    <font>
      <sz val="11"/>
      <color theme="1"/>
      <name val="Aptos Narrow"/>
      <family val="2"/>
      <scheme val="minor"/>
    </font>
    <font>
      <sz val="14"/>
      <color theme="1"/>
      <name val="Aptos Display"/>
      <family val="2"/>
      <scheme val="maj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1" xfId="0" applyFont="1" applyBorder="1"/>
    <xf numFmtId="167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C830C-97BB-49B4-B41A-B0E021B96D82}">
  <dimension ref="A1:C11"/>
  <sheetViews>
    <sheetView tabSelected="1" workbookViewId="0">
      <selection activeCell="A13" sqref="A13"/>
    </sheetView>
  </sheetViews>
  <sheetFormatPr defaultRowHeight="15" x14ac:dyDescent="0.25"/>
  <cols>
    <col min="1" max="1" width="11.28515625" customWidth="1"/>
    <col min="2" max="2" width="12.42578125" bestFit="1" customWidth="1"/>
    <col min="3" max="3" width="3.5703125" bestFit="1" customWidth="1"/>
  </cols>
  <sheetData>
    <row r="1" spans="1:3" ht="18.75" x14ac:dyDescent="0.3">
      <c r="A1" s="4" t="s">
        <v>33</v>
      </c>
    </row>
    <row r="2" spans="1:3" x14ac:dyDescent="0.25">
      <c r="A2">
        <v>2021</v>
      </c>
      <c r="B2" s="3">
        <f>'2021'!B92</f>
        <v>14663</v>
      </c>
    </row>
    <row r="3" spans="1:3" x14ac:dyDescent="0.25">
      <c r="A3">
        <v>2022</v>
      </c>
      <c r="B3" s="3">
        <f>'2022'!B110</f>
        <v>34812</v>
      </c>
    </row>
    <row r="4" spans="1:3" x14ac:dyDescent="0.25">
      <c r="A4">
        <v>2023</v>
      </c>
      <c r="B4" s="3">
        <f>'2023'!B55</f>
        <v>3769</v>
      </c>
    </row>
    <row r="5" spans="1:3" x14ac:dyDescent="0.25">
      <c r="A5">
        <v>2024</v>
      </c>
      <c r="B5" s="3">
        <f>'2024'!B84</f>
        <v>15173</v>
      </c>
    </row>
    <row r="6" spans="1:3" x14ac:dyDescent="0.25">
      <c r="A6">
        <v>2025</v>
      </c>
      <c r="B6" s="3">
        <f>'2025'!B100</f>
        <v>14703</v>
      </c>
    </row>
    <row r="7" spans="1:3" x14ac:dyDescent="0.25">
      <c r="A7">
        <v>2026</v>
      </c>
      <c r="B7" s="3">
        <f>'2026'!B75</f>
        <v>3192</v>
      </c>
      <c r="C7" t="s">
        <v>42</v>
      </c>
    </row>
    <row r="8" spans="1:3" x14ac:dyDescent="0.25">
      <c r="B8" s="3"/>
    </row>
    <row r="9" spans="1:3" x14ac:dyDescent="0.25">
      <c r="A9" t="s">
        <v>31</v>
      </c>
      <c r="B9" s="3">
        <f>SUM(B2:B7)</f>
        <v>86312</v>
      </c>
    </row>
    <row r="10" spans="1:3" x14ac:dyDescent="0.25">
      <c r="A10" s="5" t="s">
        <v>32</v>
      </c>
      <c r="B10" s="6">
        <f>B9*A11</f>
        <v>8631.2000000000007</v>
      </c>
    </row>
    <row r="11" spans="1:3" x14ac:dyDescent="0.25">
      <c r="A11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68D8-6C2F-4481-AEE8-24BE2B1E3E71}">
  <dimension ref="A1:N97"/>
  <sheetViews>
    <sheetView workbookViewId="0">
      <pane ySplit="1" topLeftCell="A71" activePane="bottomLeft" state="frozen"/>
      <selection pane="bottomLeft" activeCell="A94" sqref="A94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>
        <v>110</v>
      </c>
      <c r="D3" s="1"/>
      <c r="E3" s="1"/>
      <c r="F3" s="1">
        <v>180</v>
      </c>
      <c r="G3" s="1"/>
      <c r="H3" s="1"/>
      <c r="I3" s="1"/>
      <c r="J3" s="1"/>
    </row>
    <row r="4" spans="1:14" x14ac:dyDescent="0.25">
      <c r="B4" s="1"/>
      <c r="C4" s="1">
        <v>50</v>
      </c>
      <c r="D4" s="1"/>
      <c r="E4" s="1"/>
      <c r="F4" s="1">
        <v>260</v>
      </c>
      <c r="G4" s="1"/>
      <c r="H4" s="1"/>
      <c r="I4" s="1"/>
      <c r="J4" s="1"/>
    </row>
    <row r="5" spans="1:14" x14ac:dyDescent="0.25">
      <c r="B5" s="1"/>
      <c r="C5" s="1">
        <v>121</v>
      </c>
      <c r="D5" s="1"/>
      <c r="E5" s="1"/>
      <c r="F5" s="1"/>
      <c r="G5" s="1"/>
      <c r="H5" s="1"/>
      <c r="I5" s="1"/>
      <c r="J5" s="1"/>
    </row>
    <row r="6" spans="1:14" x14ac:dyDescent="0.25">
      <c r="B6" s="1"/>
      <c r="C6" s="1">
        <v>60</v>
      </c>
      <c r="D6" s="1"/>
      <c r="E6" s="1"/>
      <c r="F6" s="1"/>
      <c r="G6" s="1"/>
      <c r="H6" s="1"/>
      <c r="I6" s="1"/>
      <c r="J6" s="1"/>
    </row>
    <row r="7" spans="1:14" x14ac:dyDescent="0.25">
      <c r="B7" s="1"/>
      <c r="C7" s="1">
        <v>228</v>
      </c>
      <c r="D7" s="1"/>
      <c r="E7" s="1"/>
      <c r="F7" s="1"/>
      <c r="G7" s="1"/>
      <c r="H7" s="1"/>
      <c r="I7" s="1"/>
      <c r="J7" s="1"/>
    </row>
    <row r="8" spans="1:14" x14ac:dyDescent="0.25">
      <c r="B8" s="1"/>
      <c r="C8" s="1">
        <v>263</v>
      </c>
      <c r="D8" s="1"/>
      <c r="E8" s="1"/>
      <c r="F8" s="1"/>
      <c r="G8" s="1"/>
      <c r="H8" s="1"/>
      <c r="I8" s="1"/>
      <c r="J8" s="1"/>
    </row>
    <row r="9" spans="1:14" x14ac:dyDescent="0.25">
      <c r="B9" s="1"/>
      <c r="C9" s="1">
        <v>307</v>
      </c>
      <c r="D9" s="1"/>
      <c r="E9" s="1"/>
      <c r="F9" s="1"/>
      <c r="G9" s="1"/>
      <c r="H9" s="1"/>
      <c r="I9" s="1"/>
      <c r="J9" s="1"/>
    </row>
    <row r="10" spans="1:14" x14ac:dyDescent="0.25">
      <c r="B10" s="1"/>
      <c r="C10" s="1">
        <v>183</v>
      </c>
      <c r="D10" s="1"/>
      <c r="E10" s="1"/>
      <c r="F10" s="1"/>
      <c r="G10" s="1"/>
      <c r="H10" s="1"/>
      <c r="I10" s="1"/>
      <c r="J10" s="1"/>
    </row>
    <row r="11" spans="1:14" x14ac:dyDescent="0.25">
      <c r="B11" s="1"/>
      <c r="C11" s="1">
        <v>439</v>
      </c>
      <c r="D11" s="1"/>
      <c r="E11" s="1"/>
      <c r="F11" s="1"/>
      <c r="G11" s="1"/>
      <c r="H11" s="1"/>
      <c r="I11" s="1"/>
      <c r="J11" s="1"/>
    </row>
    <row r="12" spans="1:14" x14ac:dyDescent="0.25">
      <c r="A12" s="1">
        <f>SUM(B3:N11)</f>
        <v>2201</v>
      </c>
      <c r="B12" s="1"/>
      <c r="C12" s="1"/>
      <c r="D12" s="1"/>
      <c r="E12" s="1"/>
      <c r="F12" s="1"/>
      <c r="G12" s="1"/>
      <c r="H12" s="1"/>
      <c r="I12" s="1"/>
      <c r="J12" s="1"/>
    </row>
    <row r="13" spans="1:14" x14ac:dyDescent="0.25">
      <c r="B13" s="1"/>
      <c r="C13" s="1"/>
      <c r="D13" s="1"/>
      <c r="E13" s="1"/>
      <c r="F13" s="1"/>
      <c r="G13" s="1"/>
      <c r="H13" s="1"/>
      <c r="I13" s="1"/>
      <c r="J13" s="1"/>
    </row>
    <row r="14" spans="1:14" x14ac:dyDescent="0.25">
      <c r="A14" t="s">
        <v>11</v>
      </c>
      <c r="B14" s="1"/>
      <c r="C14" s="1">
        <v>109</v>
      </c>
      <c r="D14" s="1"/>
      <c r="E14" s="1"/>
      <c r="F14" s="1">
        <v>311</v>
      </c>
      <c r="G14" s="1">
        <v>135</v>
      </c>
      <c r="H14" s="1"/>
      <c r="I14" s="1"/>
      <c r="J14" s="1"/>
      <c r="K14" s="1">
        <v>251</v>
      </c>
    </row>
    <row r="15" spans="1:14" x14ac:dyDescent="0.25">
      <c r="B15" s="1"/>
      <c r="C15" s="1">
        <v>250</v>
      </c>
      <c r="D15" s="1"/>
      <c r="E15" s="1"/>
      <c r="F15" s="1">
        <v>35</v>
      </c>
      <c r="G15" s="1">
        <v>427</v>
      </c>
      <c r="H15" s="1"/>
      <c r="I15" s="1"/>
      <c r="J15" s="1"/>
    </row>
    <row r="16" spans="1:14" x14ac:dyDescent="0.25">
      <c r="B16" s="1"/>
      <c r="C16" s="1">
        <v>62</v>
      </c>
      <c r="D16" s="1"/>
      <c r="E16" s="1"/>
      <c r="F16" s="1"/>
      <c r="G16" s="1"/>
      <c r="H16" s="1"/>
      <c r="I16" s="1"/>
      <c r="J16" s="1"/>
    </row>
    <row r="17" spans="1:10" x14ac:dyDescent="0.25">
      <c r="B17" s="1"/>
      <c r="C17" s="1">
        <v>79</v>
      </c>
      <c r="D17" s="1"/>
      <c r="E17" s="1"/>
      <c r="F17" s="1"/>
      <c r="G17" s="1"/>
      <c r="H17" s="1"/>
      <c r="I17" s="1"/>
      <c r="J17" s="1"/>
    </row>
    <row r="18" spans="1:10" x14ac:dyDescent="0.25">
      <c r="B18" s="1"/>
      <c r="C18" s="1">
        <v>366</v>
      </c>
      <c r="D18" s="1"/>
      <c r="E18" s="1"/>
      <c r="F18" s="1"/>
      <c r="G18" s="1"/>
      <c r="H18" s="1"/>
      <c r="I18" s="1"/>
      <c r="J18" s="1"/>
    </row>
    <row r="19" spans="1:10" x14ac:dyDescent="0.25">
      <c r="B19" s="1"/>
      <c r="C19" s="1">
        <v>154</v>
      </c>
      <c r="D19" s="1"/>
      <c r="E19" s="1"/>
      <c r="F19" s="1"/>
      <c r="G19" s="1"/>
      <c r="H19" s="1"/>
      <c r="I19" s="1"/>
      <c r="J19" s="1"/>
    </row>
    <row r="20" spans="1:10" x14ac:dyDescent="0.25">
      <c r="B20" s="1"/>
      <c r="C20" s="1">
        <v>90</v>
      </c>
      <c r="D20" s="1"/>
      <c r="E20" s="1"/>
      <c r="F20" s="1"/>
      <c r="G20" s="1"/>
      <c r="H20" s="1"/>
      <c r="I20" s="1"/>
      <c r="J20" s="1"/>
    </row>
    <row r="21" spans="1:10" x14ac:dyDescent="0.25"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25">
      <c r="A22" s="1">
        <f>SUM(B14:N20)</f>
        <v>2269</v>
      </c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25"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A24" t="s">
        <v>12</v>
      </c>
      <c r="B24" s="1"/>
      <c r="C24" s="1">
        <v>80</v>
      </c>
      <c r="D24" s="1"/>
      <c r="E24" s="1"/>
      <c r="F24" s="1"/>
      <c r="G24" s="1"/>
      <c r="H24" s="1"/>
      <c r="I24" s="1"/>
      <c r="J24" s="1"/>
    </row>
    <row r="25" spans="1:10" x14ac:dyDescent="0.25">
      <c r="B25" s="1"/>
      <c r="C25" s="1">
        <v>45</v>
      </c>
      <c r="D25" s="1"/>
      <c r="E25" s="1"/>
      <c r="F25" s="1"/>
      <c r="G25" s="1"/>
      <c r="H25" s="1"/>
      <c r="I25" s="1"/>
      <c r="J25" s="1"/>
    </row>
    <row r="26" spans="1:10" x14ac:dyDescent="0.25">
      <c r="B26" s="1"/>
      <c r="C26" s="1">
        <v>149</v>
      </c>
      <c r="D26" s="1"/>
      <c r="E26" s="1"/>
      <c r="F26" s="1"/>
      <c r="G26" s="1"/>
      <c r="H26" s="1"/>
      <c r="I26" s="1"/>
      <c r="J26" s="1"/>
    </row>
    <row r="27" spans="1:10" x14ac:dyDescent="0.25">
      <c r="B27" s="1"/>
      <c r="C27" s="1">
        <v>314</v>
      </c>
      <c r="D27" s="1"/>
      <c r="E27" s="1"/>
      <c r="F27" s="1"/>
      <c r="G27" s="1"/>
      <c r="H27" s="1"/>
      <c r="I27" s="1"/>
      <c r="J27" s="1"/>
    </row>
    <row r="28" spans="1:10" x14ac:dyDescent="0.25">
      <c r="B28" s="1"/>
      <c r="C28" s="1">
        <v>177</v>
      </c>
      <c r="D28" s="1"/>
      <c r="E28" s="1"/>
      <c r="F28" s="1"/>
      <c r="G28" s="1"/>
      <c r="H28" s="1"/>
      <c r="I28" s="1"/>
      <c r="J28" s="1"/>
    </row>
    <row r="29" spans="1:10" x14ac:dyDescent="0.25">
      <c r="B29" s="1"/>
      <c r="C29" s="1">
        <v>308</v>
      </c>
      <c r="D29" s="1"/>
      <c r="E29" s="1"/>
      <c r="F29" s="1"/>
      <c r="G29" s="1"/>
      <c r="H29" s="1"/>
      <c r="I29" s="1"/>
      <c r="J29" s="1"/>
    </row>
    <row r="30" spans="1:10" x14ac:dyDescent="0.25">
      <c r="B30" s="1"/>
      <c r="C30" s="1">
        <v>106</v>
      </c>
      <c r="D30" s="1"/>
      <c r="E30" s="1"/>
      <c r="F30" s="1"/>
      <c r="G30" s="1"/>
      <c r="H30" s="1"/>
      <c r="I30" s="1"/>
      <c r="J30" s="1"/>
    </row>
    <row r="31" spans="1:10" x14ac:dyDescent="0.25">
      <c r="B31" s="1"/>
      <c r="C31" s="1"/>
      <c r="D31" s="1"/>
      <c r="E31" s="1"/>
      <c r="F31" s="1"/>
      <c r="G31" s="1"/>
      <c r="H31" s="1"/>
      <c r="I31" s="1"/>
      <c r="J31" s="1"/>
    </row>
    <row r="32" spans="1:10" x14ac:dyDescent="0.25">
      <c r="A32" s="1">
        <f>SUM(C23:N29)</f>
        <v>1073</v>
      </c>
      <c r="B32" s="1"/>
      <c r="C32" s="1"/>
      <c r="D32" s="1"/>
      <c r="E32" s="1"/>
      <c r="F32" s="1"/>
      <c r="G32" s="1"/>
      <c r="H32" s="1"/>
      <c r="I32" s="1"/>
      <c r="J32" s="1"/>
    </row>
    <row r="33" spans="1:14" x14ac:dyDescent="0.25">
      <c r="B33" s="1"/>
      <c r="C33" s="1"/>
      <c r="D33" s="1"/>
      <c r="E33" s="1"/>
      <c r="F33" s="1"/>
      <c r="G33" s="1"/>
      <c r="H33" s="1"/>
      <c r="I33" s="1"/>
      <c r="J33" s="1"/>
    </row>
    <row r="34" spans="1:14" x14ac:dyDescent="0.25">
      <c r="A34" t="s">
        <v>13</v>
      </c>
      <c r="B34" s="1"/>
      <c r="C34" s="1">
        <v>44</v>
      </c>
      <c r="D34" s="1"/>
      <c r="E34" s="1"/>
      <c r="F34" s="1">
        <v>600</v>
      </c>
      <c r="G34" s="1"/>
      <c r="H34" s="1"/>
      <c r="I34" s="1"/>
      <c r="J34" s="1"/>
    </row>
    <row r="35" spans="1:14" x14ac:dyDescent="0.25">
      <c r="B35" s="1"/>
      <c r="C35" s="1">
        <v>632</v>
      </c>
      <c r="D35" s="1"/>
      <c r="E35" s="1"/>
      <c r="F35" s="1">
        <v>234</v>
      </c>
      <c r="G35" s="1"/>
      <c r="H35" s="1"/>
      <c r="I35" s="1"/>
      <c r="J35" s="1"/>
    </row>
    <row r="36" spans="1:14" x14ac:dyDescent="0.25">
      <c r="B36" s="1"/>
      <c r="C36" s="1">
        <v>161</v>
      </c>
      <c r="D36" s="1"/>
      <c r="E36" s="1"/>
      <c r="F36" s="1">
        <v>100</v>
      </c>
      <c r="G36" s="1"/>
      <c r="H36" s="1"/>
      <c r="I36" s="1"/>
      <c r="J36" s="1"/>
    </row>
    <row r="37" spans="1:14" x14ac:dyDescent="0.25">
      <c r="B37" s="1"/>
      <c r="C37" s="1">
        <v>146</v>
      </c>
      <c r="D37" s="1"/>
      <c r="E37" s="1"/>
      <c r="F37" s="1"/>
      <c r="G37" s="1"/>
      <c r="H37" s="1"/>
      <c r="I37" s="1"/>
      <c r="J37" s="1"/>
    </row>
    <row r="38" spans="1:14" x14ac:dyDescent="0.25">
      <c r="B38" s="1"/>
      <c r="C38" s="1">
        <v>100</v>
      </c>
      <c r="D38" s="1"/>
      <c r="E38" s="1"/>
      <c r="F38" s="1"/>
      <c r="G38" s="1"/>
      <c r="H38" s="1"/>
      <c r="I38" s="1"/>
      <c r="J38" s="1"/>
    </row>
    <row r="39" spans="1:14" x14ac:dyDescent="0.25">
      <c r="B39" s="1"/>
      <c r="C39" s="1">
        <v>60</v>
      </c>
      <c r="D39" s="1"/>
      <c r="E39" s="1"/>
      <c r="F39" s="1"/>
      <c r="G39" s="1"/>
      <c r="H39" s="1"/>
      <c r="I39" s="1"/>
      <c r="J39" s="1"/>
    </row>
    <row r="40" spans="1:14" x14ac:dyDescent="0.25">
      <c r="B40" s="1"/>
      <c r="C40" s="1">
        <v>112</v>
      </c>
      <c r="D40" s="1"/>
      <c r="E40" s="1"/>
      <c r="F40" s="1"/>
      <c r="G40" s="1"/>
      <c r="H40" s="1"/>
      <c r="I40" s="1"/>
      <c r="J40" s="1"/>
    </row>
    <row r="41" spans="1:14" x14ac:dyDescent="0.25">
      <c r="A41" s="1">
        <f>SUM(B34:N40)</f>
        <v>2189</v>
      </c>
      <c r="B41" s="1"/>
      <c r="C41" s="1"/>
      <c r="D41" s="1"/>
      <c r="E41" s="1"/>
      <c r="F41" s="1"/>
      <c r="G41" s="1"/>
      <c r="H41" s="1"/>
      <c r="I41" s="1"/>
      <c r="J41" s="1"/>
    </row>
    <row r="42" spans="1:14" x14ac:dyDescent="0.25">
      <c r="B42" s="1"/>
      <c r="C42" s="1"/>
      <c r="D42" s="1"/>
      <c r="E42" s="1"/>
      <c r="F42" s="1"/>
      <c r="G42" s="1"/>
      <c r="H42" s="1"/>
      <c r="I42" s="1"/>
      <c r="J42" s="1"/>
    </row>
    <row r="43" spans="1:14" x14ac:dyDescent="0.25">
      <c r="A43" t="s">
        <v>14</v>
      </c>
      <c r="B43" s="1"/>
      <c r="C43" s="1">
        <v>171</v>
      </c>
      <c r="D43" s="1"/>
      <c r="E43" s="1"/>
      <c r="F43" s="1"/>
      <c r="G43" s="1">
        <v>369</v>
      </c>
      <c r="H43" s="1"/>
      <c r="I43" s="1"/>
      <c r="J43" s="1"/>
      <c r="N43" s="1"/>
    </row>
    <row r="44" spans="1:14" x14ac:dyDescent="0.25">
      <c r="B44" s="1"/>
      <c r="C44" s="1">
        <v>223</v>
      </c>
      <c r="D44" s="1"/>
      <c r="E44" s="1"/>
      <c r="F44" s="1"/>
      <c r="G44" s="1">
        <v>328</v>
      </c>
      <c r="H44" s="1"/>
      <c r="I44" s="1"/>
      <c r="J44" s="1"/>
    </row>
    <row r="45" spans="1:14" x14ac:dyDescent="0.25">
      <c r="B45" s="1"/>
      <c r="C45" s="1">
        <v>215</v>
      </c>
      <c r="D45" s="1"/>
      <c r="E45" s="1"/>
      <c r="F45" s="1"/>
      <c r="G45" s="1">
        <v>850</v>
      </c>
      <c r="H45" s="1"/>
      <c r="I45" s="1"/>
      <c r="J45" s="1"/>
    </row>
    <row r="46" spans="1:14" x14ac:dyDescent="0.25">
      <c r="B46" s="1"/>
      <c r="C46" s="1">
        <v>71</v>
      </c>
      <c r="D46" s="1"/>
      <c r="E46" s="1"/>
      <c r="F46" s="1"/>
      <c r="G46" s="1">
        <v>199</v>
      </c>
      <c r="H46" s="1"/>
      <c r="I46" s="1"/>
      <c r="J46" s="1"/>
    </row>
    <row r="47" spans="1:14" x14ac:dyDescent="0.25">
      <c r="B47" s="1"/>
      <c r="C47" s="1">
        <v>53</v>
      </c>
      <c r="D47" s="1"/>
      <c r="E47" s="1"/>
      <c r="F47" s="1"/>
      <c r="G47" s="1"/>
      <c r="H47" s="1"/>
      <c r="I47" s="1"/>
      <c r="J47" s="1"/>
    </row>
    <row r="48" spans="1:14" x14ac:dyDescent="0.25">
      <c r="A48" s="1">
        <f>SUM(C43:N47)</f>
        <v>2479</v>
      </c>
      <c r="B48" s="1"/>
      <c r="C48" s="1"/>
      <c r="D48" s="1"/>
      <c r="E48" s="1"/>
      <c r="F48" s="1"/>
      <c r="G48" s="1"/>
      <c r="H48" s="1"/>
      <c r="I48" s="1"/>
      <c r="J48" s="1"/>
    </row>
    <row r="49" spans="1:12" x14ac:dyDescent="0.25">
      <c r="B49" s="1"/>
      <c r="C49" s="1"/>
      <c r="D49" s="1"/>
      <c r="E49" s="1"/>
      <c r="F49" s="1"/>
      <c r="G49" s="1"/>
      <c r="H49" s="1"/>
      <c r="I49" s="1"/>
      <c r="J49" s="1"/>
    </row>
    <row r="50" spans="1:12" x14ac:dyDescent="0.25">
      <c r="A50" t="s">
        <v>15</v>
      </c>
      <c r="B50" s="1"/>
      <c r="C50" s="1"/>
      <c r="D50" s="1"/>
      <c r="E50" s="1"/>
      <c r="F50" s="1"/>
      <c r="G50" s="1"/>
      <c r="H50" s="1"/>
      <c r="I50" s="1"/>
      <c r="J50" s="1"/>
    </row>
    <row r="51" spans="1:12" x14ac:dyDescent="0.25">
      <c r="B51" s="1"/>
      <c r="C51" s="1"/>
      <c r="D51" s="1"/>
      <c r="E51" s="1"/>
      <c r="F51" s="1"/>
      <c r="G51" s="1"/>
      <c r="H51" s="1"/>
      <c r="I51" s="1"/>
      <c r="J51" s="1"/>
    </row>
    <row r="52" spans="1:12" x14ac:dyDescent="0.25">
      <c r="A52" s="1">
        <f>SUM(B50:N51)</f>
        <v>0</v>
      </c>
      <c r="B52" s="1"/>
      <c r="C52" s="1"/>
      <c r="D52" s="1"/>
      <c r="E52" s="1"/>
      <c r="F52" s="1"/>
      <c r="G52" s="1"/>
      <c r="H52" s="1"/>
      <c r="I52" s="1"/>
      <c r="J52" s="1"/>
    </row>
    <row r="53" spans="1:12" x14ac:dyDescent="0.25">
      <c r="B53" s="1"/>
      <c r="C53" s="1"/>
      <c r="D53" s="1"/>
      <c r="E53" s="1"/>
      <c r="F53" s="1"/>
      <c r="G53" s="1"/>
      <c r="H53" s="1"/>
      <c r="I53" s="1"/>
      <c r="J53" s="1"/>
    </row>
    <row r="54" spans="1:12" x14ac:dyDescent="0.25">
      <c r="A54" t="s">
        <v>16</v>
      </c>
      <c r="B54" s="1"/>
      <c r="C54" s="1"/>
      <c r="D54" s="1"/>
      <c r="E54" s="1"/>
      <c r="F54" s="1"/>
      <c r="G54" s="1"/>
      <c r="H54" s="1"/>
      <c r="I54" s="1"/>
      <c r="J54" s="1"/>
    </row>
    <row r="55" spans="1:12" x14ac:dyDescent="0.25">
      <c r="B55" s="1"/>
      <c r="C55" s="1"/>
      <c r="D55" s="1"/>
      <c r="E55" s="1"/>
      <c r="F55" s="1"/>
      <c r="G55" s="1"/>
      <c r="H55" s="1"/>
      <c r="I55" s="1"/>
      <c r="J55" s="1"/>
    </row>
    <row r="56" spans="1:12" x14ac:dyDescent="0.25">
      <c r="A56" s="1">
        <f>SUM(B54:N55)</f>
        <v>0</v>
      </c>
      <c r="B56" s="1"/>
      <c r="C56" s="1"/>
      <c r="D56" s="1"/>
      <c r="E56" s="1"/>
      <c r="F56" s="1"/>
      <c r="G56" s="1"/>
      <c r="H56" s="1"/>
      <c r="I56" s="1"/>
      <c r="J56" s="1"/>
    </row>
    <row r="57" spans="1:12" x14ac:dyDescent="0.25">
      <c r="B57" s="1"/>
      <c r="C57" s="1"/>
      <c r="D57" s="1"/>
      <c r="E57" s="1"/>
      <c r="F57" s="1"/>
      <c r="G57" s="1"/>
      <c r="H57" s="1"/>
      <c r="I57" s="1"/>
      <c r="J57" s="1"/>
    </row>
    <row r="58" spans="1:12" x14ac:dyDescent="0.25">
      <c r="A58" t="s">
        <v>17</v>
      </c>
      <c r="B58" s="1"/>
      <c r="C58" s="1"/>
      <c r="D58" s="1"/>
      <c r="E58" s="1"/>
      <c r="F58" s="1">
        <v>393</v>
      </c>
      <c r="G58" s="1"/>
      <c r="H58" s="1"/>
      <c r="I58" s="1"/>
      <c r="J58" s="1"/>
    </row>
    <row r="59" spans="1:12" x14ac:dyDescent="0.25">
      <c r="B59" s="1"/>
      <c r="C59" s="1"/>
      <c r="D59" s="1"/>
      <c r="E59" s="1"/>
      <c r="F59" s="1">
        <v>100</v>
      </c>
      <c r="G59" s="1"/>
      <c r="H59" s="1"/>
      <c r="I59" s="1"/>
      <c r="J59" s="1"/>
    </row>
    <row r="60" spans="1:12" x14ac:dyDescent="0.25">
      <c r="B60" s="1"/>
      <c r="C60" s="1"/>
      <c r="D60" s="1"/>
      <c r="E60" s="1"/>
      <c r="F60" s="1"/>
      <c r="G60" s="1"/>
      <c r="H60" s="1"/>
      <c r="I60" s="1"/>
      <c r="J60" s="1"/>
    </row>
    <row r="61" spans="1:12" x14ac:dyDescent="0.25">
      <c r="A61" s="1">
        <f>SUM(B58:N60)</f>
        <v>493</v>
      </c>
      <c r="B61" s="1"/>
      <c r="C61" s="1"/>
      <c r="D61" s="1"/>
      <c r="E61" s="1"/>
      <c r="F61" s="1"/>
      <c r="G61" s="1"/>
      <c r="H61" s="1"/>
      <c r="I61" s="1"/>
      <c r="J61" s="1"/>
    </row>
    <row r="62" spans="1:12" x14ac:dyDescent="0.25">
      <c r="B62" s="1"/>
      <c r="C62" s="1"/>
      <c r="D62" s="1"/>
      <c r="E62" s="1"/>
      <c r="F62" s="1"/>
      <c r="G62" s="1"/>
      <c r="H62" s="1"/>
      <c r="I62" s="1"/>
      <c r="J62" s="1"/>
      <c r="L62" s="1"/>
    </row>
    <row r="63" spans="1:12" x14ac:dyDescent="0.25">
      <c r="A63" t="s">
        <v>18</v>
      </c>
      <c r="B63" s="1"/>
      <c r="C63" s="1"/>
      <c r="D63" s="1"/>
      <c r="E63" s="1"/>
      <c r="F63" s="1"/>
      <c r="G63" s="1"/>
      <c r="H63" s="1"/>
      <c r="I63" s="1"/>
      <c r="J63" s="1"/>
      <c r="L63" s="1"/>
    </row>
    <row r="64" spans="1:12" x14ac:dyDescent="0.25">
      <c r="B64" s="1"/>
      <c r="C64" s="1"/>
      <c r="D64" s="1"/>
      <c r="E64" s="1"/>
      <c r="F64" s="1"/>
      <c r="G64" s="1"/>
      <c r="H64" s="1"/>
      <c r="I64" s="1"/>
      <c r="J64" s="1"/>
    </row>
    <row r="65" spans="1:14" x14ac:dyDescent="0.25">
      <c r="A65" s="1">
        <f>SUM(B63:N64)</f>
        <v>0</v>
      </c>
      <c r="B65" s="1"/>
      <c r="C65" s="1"/>
      <c r="D65" s="1"/>
      <c r="E65" s="1"/>
      <c r="F65" s="1"/>
      <c r="G65" s="1"/>
      <c r="H65" s="1"/>
      <c r="I65" s="1"/>
      <c r="J65" s="1"/>
    </row>
    <row r="66" spans="1:14" x14ac:dyDescent="0.25">
      <c r="B66" s="1"/>
      <c r="C66" s="1"/>
      <c r="D66" s="1"/>
      <c r="E66" s="1"/>
      <c r="F66" s="1"/>
      <c r="G66" s="1"/>
      <c r="H66" s="1"/>
      <c r="I66" s="1"/>
      <c r="J66" s="1"/>
    </row>
    <row r="67" spans="1:14" x14ac:dyDescent="0.25">
      <c r="A67" t="s">
        <v>19</v>
      </c>
      <c r="B67" s="1"/>
      <c r="D67" s="1"/>
      <c r="E67" s="1"/>
      <c r="G67" s="1"/>
      <c r="I67" s="1"/>
      <c r="J67" s="1"/>
    </row>
    <row r="68" spans="1:14" x14ac:dyDescent="0.25">
      <c r="B68" s="1"/>
      <c r="C68" s="1"/>
      <c r="D68" s="1"/>
      <c r="E68" s="1"/>
      <c r="F68" s="1"/>
      <c r="G68" s="1"/>
      <c r="H68" s="1"/>
      <c r="I68" s="1"/>
      <c r="J68" s="1"/>
    </row>
    <row r="69" spans="1:14" x14ac:dyDescent="0.25">
      <c r="A69" s="1">
        <f>SUM(C67:L67)</f>
        <v>0</v>
      </c>
      <c r="B69" s="1"/>
      <c r="C69" s="1"/>
      <c r="D69" s="1"/>
      <c r="E69" s="1"/>
      <c r="F69" s="1"/>
      <c r="G69" s="1"/>
      <c r="H69" s="1"/>
      <c r="I69" s="1"/>
      <c r="J69" s="1"/>
    </row>
    <row r="70" spans="1:14" x14ac:dyDescent="0.25">
      <c r="B70" s="1"/>
      <c r="C70" s="1"/>
      <c r="D70" s="1"/>
      <c r="E70" s="1"/>
      <c r="F70" s="1"/>
      <c r="G70" s="1"/>
      <c r="H70" s="1"/>
      <c r="I70" s="1"/>
      <c r="J70" s="1"/>
    </row>
    <row r="71" spans="1:14" x14ac:dyDescent="0.25">
      <c r="A71" t="s">
        <v>20</v>
      </c>
      <c r="B71" s="1"/>
      <c r="C71" s="1">
        <v>608</v>
      </c>
      <c r="D71" s="1"/>
      <c r="E71" s="1"/>
      <c r="F71" s="1">
        <v>149</v>
      </c>
      <c r="G71" s="1"/>
      <c r="H71" s="1">
        <v>245</v>
      </c>
      <c r="I71" s="1"/>
      <c r="J71" s="1"/>
    </row>
    <row r="72" spans="1:14" x14ac:dyDescent="0.25">
      <c r="B72" s="1"/>
      <c r="C72" s="1">
        <v>34</v>
      </c>
      <c r="D72" s="1"/>
      <c r="E72" s="1"/>
      <c r="F72" s="1">
        <v>150</v>
      </c>
      <c r="G72" s="1"/>
      <c r="H72" s="1"/>
      <c r="I72" s="1"/>
      <c r="J72" s="1"/>
    </row>
    <row r="73" spans="1:14" x14ac:dyDescent="0.25">
      <c r="B73" s="1"/>
      <c r="C73" s="1">
        <v>109</v>
      </c>
      <c r="D73" s="1"/>
      <c r="E73" s="1"/>
      <c r="F73" s="1"/>
      <c r="G73" s="1"/>
      <c r="H73" s="1"/>
      <c r="I73" s="1"/>
      <c r="J73" s="1"/>
    </row>
    <row r="74" spans="1:14" x14ac:dyDescent="0.25">
      <c r="B74" s="1"/>
      <c r="C74" s="1">
        <v>124</v>
      </c>
      <c r="D74" s="1"/>
      <c r="E74" s="1"/>
      <c r="F74" s="1"/>
      <c r="G74" s="1"/>
      <c r="H74" s="1"/>
      <c r="I74" s="1"/>
      <c r="J74" s="1"/>
    </row>
    <row r="75" spans="1:14" x14ac:dyDescent="0.25">
      <c r="B75" s="1"/>
      <c r="C75" s="1">
        <v>150</v>
      </c>
      <c r="D75" s="1"/>
      <c r="E75" s="1"/>
      <c r="F75" s="1"/>
      <c r="G75" s="1"/>
      <c r="H75" s="1"/>
      <c r="I75" s="1"/>
      <c r="J75" s="1"/>
    </row>
    <row r="76" spans="1:14" x14ac:dyDescent="0.25">
      <c r="B76" s="1"/>
      <c r="C76" s="1">
        <v>35</v>
      </c>
      <c r="D76" s="1"/>
      <c r="E76" s="1"/>
      <c r="F76" s="1"/>
      <c r="G76" s="1"/>
      <c r="H76" s="1"/>
      <c r="I76" s="1"/>
      <c r="J76" s="1"/>
    </row>
    <row r="77" spans="1:14" x14ac:dyDescent="0.25">
      <c r="A77" s="1">
        <f>SUM(B71:N76)</f>
        <v>1604</v>
      </c>
      <c r="B77" s="1"/>
      <c r="C77" s="1"/>
      <c r="D77" s="1"/>
      <c r="E77" s="1"/>
      <c r="F77" s="1"/>
      <c r="G77" s="1"/>
      <c r="H77" s="1"/>
      <c r="I77" s="1"/>
      <c r="J77" s="1"/>
    </row>
    <row r="78" spans="1:14" x14ac:dyDescent="0.25">
      <c r="B78" s="1"/>
      <c r="C78" s="1"/>
      <c r="D78" s="1"/>
      <c r="E78" s="1"/>
      <c r="F78" s="1"/>
      <c r="G78" s="1"/>
      <c r="H78" s="1"/>
      <c r="I78" s="1"/>
      <c r="J78" s="1"/>
    </row>
    <row r="79" spans="1:14" x14ac:dyDescent="0.25">
      <c r="A79" t="s">
        <v>21</v>
      </c>
      <c r="B79" s="1"/>
      <c r="C79" s="1">
        <v>100</v>
      </c>
      <c r="D79" s="1">
        <v>815</v>
      </c>
      <c r="E79" s="1"/>
      <c r="F79" s="1"/>
      <c r="G79" s="1"/>
      <c r="H79" s="1">
        <v>207</v>
      </c>
      <c r="I79" s="1"/>
      <c r="J79" s="1"/>
      <c r="K79" s="1"/>
      <c r="L79" s="1"/>
      <c r="M79" s="1"/>
      <c r="N79" s="1">
        <v>159</v>
      </c>
    </row>
    <row r="80" spans="1:14" x14ac:dyDescent="0.25">
      <c r="B80" s="1"/>
      <c r="C80" s="1">
        <v>-607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>
        <v>498</v>
      </c>
    </row>
    <row r="81" spans="1:14" x14ac:dyDescent="0.25">
      <c r="B81" s="1"/>
      <c r="C81" s="1">
        <v>150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x14ac:dyDescent="0.25">
      <c r="B82" s="1"/>
      <c r="C82" s="1">
        <v>213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x14ac:dyDescent="0.25">
      <c r="B83" s="1"/>
      <c r="C83" s="1">
        <v>268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x14ac:dyDescent="0.25">
      <c r="B84" s="1"/>
      <c r="C84" s="1">
        <v>122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x14ac:dyDescent="0.25">
      <c r="B85" s="1"/>
      <c r="C85" s="1">
        <v>174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x14ac:dyDescent="0.25">
      <c r="B86" s="1"/>
      <c r="C86" s="1">
        <v>256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x14ac:dyDescent="0.25">
      <c r="B87" s="1"/>
      <c r="C87" s="1"/>
      <c r="D87" s="1"/>
      <c r="E87" s="1"/>
      <c r="F87" s="1"/>
      <c r="G87" s="1"/>
      <c r="H87" s="1"/>
      <c r="I87" s="1"/>
      <c r="J87" s="1"/>
    </row>
    <row r="88" spans="1:14" x14ac:dyDescent="0.25">
      <c r="B88" s="1"/>
      <c r="C88" s="1"/>
      <c r="D88" s="1"/>
      <c r="E88" s="1"/>
      <c r="F88" s="1"/>
      <c r="G88" s="1"/>
      <c r="H88" s="1"/>
      <c r="I88" s="1"/>
      <c r="J88" s="1"/>
    </row>
    <row r="89" spans="1:14" x14ac:dyDescent="0.25">
      <c r="A89" s="1">
        <f>SUM(B79:N88)</f>
        <v>2355</v>
      </c>
      <c r="B89" s="1"/>
      <c r="C89" s="1"/>
      <c r="D89" s="1"/>
      <c r="E89" s="1"/>
      <c r="F89" s="1"/>
      <c r="G89" s="1"/>
      <c r="H89" s="1"/>
      <c r="I89" s="1"/>
      <c r="J89" s="1"/>
    </row>
    <row r="90" spans="1:14" x14ac:dyDescent="0.25">
      <c r="B90" s="1"/>
      <c r="C90" s="1"/>
      <c r="D90" s="1"/>
      <c r="E90" s="1"/>
      <c r="F90" s="1"/>
      <c r="G90" s="1"/>
      <c r="H90" s="1"/>
      <c r="I90" s="1"/>
      <c r="J90" s="1"/>
    </row>
    <row r="91" spans="1:14" x14ac:dyDescent="0.25">
      <c r="B91" s="1"/>
      <c r="C91" s="1"/>
      <c r="D91" s="1"/>
      <c r="E91" s="1"/>
      <c r="F91" s="1"/>
      <c r="G91" s="1"/>
      <c r="H91" s="1"/>
      <c r="I91" s="1"/>
      <c r="J91" s="1"/>
    </row>
    <row r="92" spans="1:14" x14ac:dyDescent="0.25">
      <c r="A92" t="s">
        <v>29</v>
      </c>
      <c r="B92" s="1">
        <f>A12+A22+A32+A41+A48+A52+A56+A61+A65+A69+A77+A89</f>
        <v>14663</v>
      </c>
      <c r="C92" s="1"/>
      <c r="D92" s="1"/>
      <c r="E92" s="1"/>
      <c r="F92" s="1"/>
      <c r="G92" s="1"/>
      <c r="H92" s="1"/>
      <c r="I92" s="1"/>
      <c r="J92" s="1"/>
    </row>
    <row r="93" spans="1:14" x14ac:dyDescent="0.25">
      <c r="A93" t="s">
        <v>30</v>
      </c>
      <c r="B93" s="2">
        <f>B92*B97</f>
        <v>1466.3000000000002</v>
      </c>
    </row>
    <row r="97" spans="1:2" x14ac:dyDescent="0.25">
      <c r="A97" t="s">
        <v>28</v>
      </c>
      <c r="B97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50978-C8D5-4784-9045-B9C42099E005}">
  <dimension ref="A1:N115"/>
  <sheetViews>
    <sheetView workbookViewId="0">
      <pane ySplit="1" topLeftCell="A104" activePane="bottomLeft" state="frozen"/>
      <selection pane="bottomLeft" activeCell="C139" sqref="C139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>
        <v>47</v>
      </c>
      <c r="D3" s="1"/>
      <c r="E3" s="1"/>
      <c r="F3" s="1"/>
      <c r="G3" s="1"/>
      <c r="H3" s="1"/>
      <c r="I3" s="1"/>
      <c r="J3" s="1"/>
    </row>
    <row r="4" spans="1:14" x14ac:dyDescent="0.25">
      <c r="B4" s="1"/>
      <c r="C4" s="1">
        <v>351</v>
      </c>
      <c r="D4" s="1"/>
      <c r="E4" s="1"/>
      <c r="F4" s="1"/>
      <c r="G4" s="1"/>
      <c r="H4" s="1"/>
      <c r="I4" s="1"/>
      <c r="J4" s="1"/>
    </row>
    <row r="5" spans="1:14" x14ac:dyDescent="0.25">
      <c r="B5" s="1"/>
      <c r="C5" s="1">
        <v>307</v>
      </c>
      <c r="D5" s="1"/>
      <c r="E5" s="1"/>
      <c r="F5" s="1"/>
      <c r="G5" s="1"/>
      <c r="H5" s="1"/>
      <c r="I5" s="1"/>
      <c r="J5" s="1"/>
    </row>
    <row r="6" spans="1:14" x14ac:dyDescent="0.25">
      <c r="B6" s="1"/>
      <c r="C6" s="1">
        <v>81</v>
      </c>
      <c r="D6" s="1"/>
      <c r="E6" s="1"/>
      <c r="F6" s="1"/>
      <c r="G6" s="1"/>
      <c r="H6" s="1"/>
      <c r="I6" s="1"/>
      <c r="J6" s="1"/>
    </row>
    <row r="7" spans="1:14" x14ac:dyDescent="0.25">
      <c r="B7" s="1"/>
      <c r="C7" s="1">
        <v>33</v>
      </c>
      <c r="D7" s="1"/>
      <c r="E7" s="1"/>
      <c r="F7" s="1"/>
      <c r="G7" s="1"/>
      <c r="H7" s="1"/>
      <c r="I7" s="1"/>
      <c r="J7" s="1"/>
    </row>
    <row r="8" spans="1:14" x14ac:dyDescent="0.25">
      <c r="B8" s="1"/>
      <c r="C8" s="1">
        <v>188</v>
      </c>
      <c r="D8" s="1"/>
      <c r="E8" s="1"/>
      <c r="F8" s="1"/>
      <c r="G8" s="1"/>
      <c r="H8" s="1"/>
      <c r="I8" s="1"/>
      <c r="J8" s="1"/>
    </row>
    <row r="9" spans="1:14" x14ac:dyDescent="0.25">
      <c r="B9" s="1"/>
      <c r="C9" s="1">
        <v>130</v>
      </c>
      <c r="D9" s="1"/>
      <c r="E9" s="1"/>
      <c r="F9" s="1"/>
      <c r="G9" s="1"/>
      <c r="H9" s="1"/>
      <c r="I9" s="1"/>
      <c r="J9" s="1"/>
    </row>
    <row r="10" spans="1:14" x14ac:dyDescent="0.25">
      <c r="A10" s="1">
        <f>SUM(B3:N9)</f>
        <v>1137</v>
      </c>
      <c r="B10" s="1"/>
      <c r="C10" s="1"/>
      <c r="D10" s="1"/>
      <c r="E10" s="1"/>
      <c r="F10" s="1"/>
      <c r="G10" s="1"/>
      <c r="H10" s="1"/>
      <c r="I10" s="1"/>
      <c r="J10" s="1"/>
    </row>
    <row r="11" spans="1:14" x14ac:dyDescent="0.25">
      <c r="B11" s="1"/>
      <c r="C11" s="1"/>
      <c r="D11" s="1"/>
      <c r="E11" s="1"/>
      <c r="F11" s="1"/>
      <c r="G11" s="1"/>
      <c r="H11" s="1"/>
      <c r="I11" s="1"/>
      <c r="J11" s="1"/>
    </row>
    <row r="12" spans="1:14" x14ac:dyDescent="0.25">
      <c r="A12" t="s">
        <v>11</v>
      </c>
      <c r="B12" s="1"/>
      <c r="C12" s="1">
        <v>84</v>
      </c>
      <c r="D12" s="1">
        <v>287</v>
      </c>
      <c r="E12" s="1"/>
      <c r="F12" s="1">
        <v>95</v>
      </c>
      <c r="G12" s="1">
        <v>135</v>
      </c>
      <c r="H12" s="1">
        <v>202</v>
      </c>
      <c r="I12" s="1"/>
      <c r="J12" s="1"/>
    </row>
    <row r="13" spans="1:14" x14ac:dyDescent="0.25">
      <c r="B13" s="1"/>
      <c r="C13" s="1">
        <v>860</v>
      </c>
      <c r="D13" s="1"/>
      <c r="E13" s="1"/>
      <c r="F13" s="1">
        <v>60</v>
      </c>
      <c r="G13" s="1">
        <v>427</v>
      </c>
      <c r="H13" s="1"/>
      <c r="I13" s="1"/>
      <c r="J13" s="1"/>
    </row>
    <row r="14" spans="1:14" x14ac:dyDescent="0.25">
      <c r="B14" s="1"/>
      <c r="C14" s="1">
        <v>34</v>
      </c>
      <c r="D14" s="1"/>
      <c r="E14" s="1"/>
      <c r="F14" s="1"/>
      <c r="G14" s="1"/>
      <c r="H14" s="1"/>
      <c r="I14" s="1"/>
      <c r="J14" s="1"/>
    </row>
    <row r="15" spans="1:14" x14ac:dyDescent="0.25">
      <c r="A15" s="1">
        <f>SUM(B12:N14)</f>
        <v>2184</v>
      </c>
      <c r="B15" s="1"/>
      <c r="C15" s="1"/>
      <c r="D15" s="1"/>
      <c r="E15" s="1"/>
      <c r="F15" s="1"/>
      <c r="G15" s="1"/>
      <c r="H15" s="1"/>
      <c r="I15" s="1"/>
      <c r="J15" s="1"/>
    </row>
    <row r="16" spans="1:14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 t="s">
        <v>12</v>
      </c>
      <c r="B17" s="1"/>
      <c r="C17" s="1">
        <v>122</v>
      </c>
      <c r="D17" s="1">
        <v>843</v>
      </c>
      <c r="E17" s="1"/>
      <c r="F17" s="1">
        <v>260</v>
      </c>
      <c r="G17" s="1">
        <v>525</v>
      </c>
      <c r="H17" s="1"/>
      <c r="I17" s="1"/>
      <c r="J17" s="1"/>
    </row>
    <row r="18" spans="1:10" x14ac:dyDescent="0.25">
      <c r="B18" s="1"/>
      <c r="C18" s="1">
        <v>33</v>
      </c>
      <c r="D18" s="1"/>
      <c r="E18" s="1"/>
      <c r="F18" s="1">
        <v>180</v>
      </c>
      <c r="G18" s="1"/>
      <c r="H18" s="1"/>
      <c r="I18" s="1"/>
      <c r="J18" s="1"/>
    </row>
    <row r="19" spans="1:10" x14ac:dyDescent="0.25">
      <c r="B19" s="1"/>
      <c r="C19" s="1">
        <v>56</v>
      </c>
      <c r="D19" s="1"/>
      <c r="E19" s="1"/>
      <c r="F19" s="1">
        <v>83</v>
      </c>
      <c r="G19" s="1"/>
      <c r="H19" s="1"/>
      <c r="I19" s="1"/>
      <c r="J19" s="1"/>
    </row>
    <row r="20" spans="1:10" x14ac:dyDescent="0.25">
      <c r="B20" s="1"/>
      <c r="C20" s="1">
        <v>228</v>
      </c>
      <c r="D20" s="1"/>
      <c r="E20" s="1"/>
      <c r="F20" s="1">
        <v>156</v>
      </c>
      <c r="G20" s="1"/>
      <c r="H20" s="1"/>
      <c r="I20" s="1"/>
      <c r="J20" s="1"/>
    </row>
    <row r="21" spans="1:10" x14ac:dyDescent="0.25">
      <c r="B21" s="1"/>
      <c r="C21" s="1">
        <v>652</v>
      </c>
      <c r="D21" s="1"/>
      <c r="E21" s="1"/>
      <c r="F21" s="1">
        <v>99</v>
      </c>
      <c r="G21" s="1"/>
      <c r="H21" s="1"/>
      <c r="I21" s="1"/>
      <c r="J21" s="1"/>
    </row>
    <row r="22" spans="1:10" x14ac:dyDescent="0.25">
      <c r="B22" s="1"/>
      <c r="C22" s="1"/>
      <c r="D22" s="1"/>
      <c r="E22" s="1"/>
      <c r="F22" s="1">
        <v>86</v>
      </c>
      <c r="G22" s="1"/>
      <c r="H22" s="1"/>
      <c r="I22" s="1"/>
      <c r="J22" s="1"/>
    </row>
    <row r="23" spans="1:10" x14ac:dyDescent="0.25">
      <c r="A23" s="1">
        <f>SUM(C16:N22)</f>
        <v>3323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25">
      <c r="A25" t="s">
        <v>13</v>
      </c>
      <c r="B25" s="1"/>
      <c r="C25" s="1">
        <v>34</v>
      </c>
      <c r="D25" s="1"/>
      <c r="E25" s="1"/>
      <c r="F25" s="1">
        <v>150</v>
      </c>
      <c r="G25" s="1"/>
      <c r="H25" s="1"/>
      <c r="I25" s="1"/>
      <c r="J25" s="1"/>
    </row>
    <row r="26" spans="1:10" x14ac:dyDescent="0.25">
      <c r="B26" s="1"/>
      <c r="C26" s="1">
        <v>193</v>
      </c>
      <c r="D26" s="1"/>
      <c r="E26" s="1"/>
      <c r="F26" s="1">
        <v>127</v>
      </c>
      <c r="G26" s="1"/>
      <c r="H26" s="1"/>
      <c r="I26" s="1"/>
      <c r="J26" s="1"/>
    </row>
    <row r="27" spans="1:10" x14ac:dyDescent="0.25">
      <c r="B27" s="1"/>
      <c r="C27" s="1">
        <v>45</v>
      </c>
      <c r="D27" s="1"/>
      <c r="E27" s="1"/>
      <c r="F27" s="1">
        <v>280</v>
      </c>
      <c r="G27" s="1"/>
      <c r="H27" s="1"/>
      <c r="I27" s="1"/>
      <c r="J27" s="1"/>
    </row>
    <row r="28" spans="1:10" x14ac:dyDescent="0.25">
      <c r="B28" s="1"/>
      <c r="C28" s="1">
        <v>33</v>
      </c>
      <c r="D28" s="1"/>
      <c r="E28" s="1"/>
      <c r="F28" s="1">
        <v>99</v>
      </c>
      <c r="G28" s="1"/>
      <c r="H28" s="1"/>
      <c r="I28" s="1"/>
      <c r="J28" s="1"/>
    </row>
    <row r="29" spans="1:10" x14ac:dyDescent="0.25">
      <c r="B29" s="1"/>
      <c r="C29" s="1">
        <v>55</v>
      </c>
      <c r="D29" s="1"/>
      <c r="E29" s="1"/>
      <c r="F29" s="1">
        <v>340</v>
      </c>
      <c r="G29" s="1"/>
      <c r="H29" s="1"/>
      <c r="I29" s="1"/>
      <c r="J29" s="1"/>
    </row>
    <row r="30" spans="1:10" x14ac:dyDescent="0.25">
      <c r="B30" s="1"/>
      <c r="C30" s="1">
        <v>59</v>
      </c>
      <c r="D30" s="1"/>
      <c r="E30" s="1"/>
      <c r="F30" s="1">
        <v>360</v>
      </c>
      <c r="G30" s="1"/>
      <c r="H30" s="1"/>
      <c r="I30" s="1"/>
      <c r="J30" s="1"/>
    </row>
    <row r="31" spans="1:10" x14ac:dyDescent="0.25">
      <c r="B31" s="1"/>
      <c r="C31" s="1">
        <v>40</v>
      </c>
      <c r="D31" s="1"/>
      <c r="E31" s="1"/>
      <c r="F31" s="1">
        <v>100</v>
      </c>
      <c r="G31" s="1"/>
      <c r="H31" s="1"/>
      <c r="I31" s="1"/>
      <c r="J31" s="1"/>
    </row>
    <row r="32" spans="1:10" x14ac:dyDescent="0.25">
      <c r="B32" s="1"/>
      <c r="C32" s="1">
        <v>183</v>
      </c>
      <c r="D32" s="1"/>
      <c r="E32" s="1"/>
      <c r="F32" s="1"/>
      <c r="G32" s="1"/>
      <c r="H32" s="1"/>
      <c r="I32" s="1"/>
      <c r="J32" s="1"/>
    </row>
    <row r="33" spans="1:14" x14ac:dyDescent="0.25">
      <c r="B33" s="1"/>
      <c r="C33" s="1">
        <v>85</v>
      </c>
      <c r="D33" s="1"/>
      <c r="E33" s="1"/>
      <c r="F33" s="1"/>
      <c r="G33" s="1"/>
      <c r="H33" s="1"/>
      <c r="I33" s="1"/>
      <c r="J33" s="1"/>
    </row>
    <row r="34" spans="1:14" x14ac:dyDescent="0.25">
      <c r="A34" s="1">
        <f>SUM(B25:N33)</f>
        <v>2183</v>
      </c>
      <c r="B34" s="1"/>
      <c r="C34" s="1"/>
      <c r="D34" s="1"/>
      <c r="E34" s="1"/>
      <c r="F34" s="1"/>
      <c r="G34" s="1"/>
      <c r="H34" s="1"/>
      <c r="I34" s="1"/>
      <c r="J34" s="1"/>
    </row>
    <row r="35" spans="1:14" x14ac:dyDescent="0.25">
      <c r="B35" s="1"/>
      <c r="C35" s="1"/>
      <c r="D35" s="1"/>
      <c r="E35" s="1"/>
      <c r="F35" s="1"/>
      <c r="G35" s="1"/>
      <c r="H35" s="1"/>
      <c r="I35" s="1"/>
      <c r="J35" s="1"/>
    </row>
    <row r="36" spans="1:14" x14ac:dyDescent="0.25">
      <c r="A36" t="s">
        <v>14</v>
      </c>
      <c r="B36" s="1"/>
      <c r="C36" s="1">
        <v>171</v>
      </c>
      <c r="D36" s="1"/>
      <c r="E36" s="1"/>
      <c r="F36" s="1">
        <v>770</v>
      </c>
      <c r="G36" s="1">
        <v>150</v>
      </c>
      <c r="H36" s="1">
        <v>2063</v>
      </c>
      <c r="I36" s="1"/>
      <c r="J36" s="1"/>
      <c r="N36" s="1">
        <v>750</v>
      </c>
    </row>
    <row r="37" spans="1:14" x14ac:dyDescent="0.25">
      <c r="B37" s="1"/>
      <c r="C37" s="1">
        <v>223</v>
      </c>
      <c r="D37" s="1"/>
      <c r="E37" s="1"/>
      <c r="F37" s="1">
        <v>280</v>
      </c>
      <c r="G37" s="1"/>
      <c r="H37" s="1"/>
      <c r="I37" s="1"/>
      <c r="J37" s="1"/>
    </row>
    <row r="38" spans="1:14" x14ac:dyDescent="0.25">
      <c r="B38" s="1"/>
      <c r="C38" s="1">
        <v>215</v>
      </c>
      <c r="D38" s="1"/>
      <c r="E38" s="1"/>
      <c r="F38" s="1"/>
      <c r="G38" s="1"/>
      <c r="H38" s="1"/>
      <c r="I38" s="1"/>
      <c r="J38" s="1"/>
    </row>
    <row r="39" spans="1:14" x14ac:dyDescent="0.25">
      <c r="B39" s="1"/>
      <c r="C39" s="1">
        <v>71</v>
      </c>
      <c r="D39" s="1"/>
      <c r="E39" s="1"/>
      <c r="F39" s="1"/>
      <c r="G39" s="1"/>
      <c r="H39" s="1"/>
      <c r="I39" s="1"/>
      <c r="J39" s="1"/>
    </row>
    <row r="40" spans="1:14" x14ac:dyDescent="0.25">
      <c r="B40" s="1"/>
      <c r="C40" s="1">
        <v>53</v>
      </c>
      <c r="D40" s="1"/>
      <c r="E40" s="1"/>
      <c r="F40" s="1"/>
      <c r="G40" s="1"/>
      <c r="H40" s="1"/>
      <c r="I40" s="1"/>
      <c r="J40" s="1"/>
    </row>
    <row r="41" spans="1:14" x14ac:dyDescent="0.25">
      <c r="A41" s="1">
        <f>SUM(C36:N40)</f>
        <v>4746</v>
      </c>
      <c r="B41" s="1"/>
      <c r="C41" s="1"/>
      <c r="D41" s="1"/>
      <c r="E41" s="1"/>
      <c r="F41" s="1"/>
      <c r="G41" s="1"/>
      <c r="H41" s="1"/>
      <c r="I41" s="1"/>
      <c r="J41" s="1"/>
    </row>
    <row r="42" spans="1:14" x14ac:dyDescent="0.25">
      <c r="B42" s="1"/>
      <c r="C42" s="1"/>
      <c r="D42" s="1"/>
      <c r="E42" s="1"/>
      <c r="F42" s="1"/>
      <c r="G42" s="1"/>
      <c r="H42" s="1"/>
      <c r="I42" s="1"/>
      <c r="J42" s="1"/>
    </row>
    <row r="43" spans="1:14" x14ac:dyDescent="0.25">
      <c r="A43" t="s">
        <v>15</v>
      </c>
      <c r="B43" s="1"/>
      <c r="C43" s="1">
        <v>22</v>
      </c>
      <c r="D43" s="1"/>
      <c r="E43" s="1"/>
      <c r="F43" s="1">
        <v>87</v>
      </c>
      <c r="G43" s="1">
        <v>560</v>
      </c>
      <c r="H43" s="1"/>
      <c r="I43" s="1"/>
      <c r="J43" s="1"/>
    </row>
    <row r="44" spans="1:14" x14ac:dyDescent="0.25">
      <c r="B44" s="1"/>
      <c r="C44" s="1">
        <v>385</v>
      </c>
      <c r="D44" s="1"/>
      <c r="E44" s="1"/>
      <c r="F44" s="1">
        <v>98</v>
      </c>
      <c r="G44" s="1">
        <v>630</v>
      </c>
      <c r="H44" s="1"/>
      <c r="I44" s="1"/>
      <c r="J44" s="1"/>
    </row>
    <row r="45" spans="1:14" x14ac:dyDescent="0.25">
      <c r="B45" s="1"/>
      <c r="C45" s="1">
        <v>72</v>
      </c>
      <c r="D45" s="1"/>
      <c r="E45" s="1"/>
      <c r="F45" s="1">
        <v>100</v>
      </c>
      <c r="G45" s="1"/>
      <c r="H45" s="1"/>
      <c r="I45" s="1"/>
      <c r="J45" s="1"/>
    </row>
    <row r="46" spans="1:14" x14ac:dyDescent="0.25">
      <c r="B46" s="1"/>
      <c r="C46" s="1">
        <v>91</v>
      </c>
      <c r="D46" s="1"/>
      <c r="E46" s="1"/>
      <c r="F46" s="1">
        <v>100</v>
      </c>
      <c r="G46" s="1"/>
      <c r="H46" s="1"/>
      <c r="I46" s="1"/>
      <c r="J46" s="1"/>
    </row>
    <row r="47" spans="1:14" x14ac:dyDescent="0.25">
      <c r="B47" s="1"/>
      <c r="C47" s="1">
        <v>305</v>
      </c>
      <c r="D47" s="1"/>
      <c r="E47" s="1"/>
      <c r="F47" s="1">
        <v>60</v>
      </c>
      <c r="G47" s="1"/>
      <c r="H47" s="1"/>
      <c r="I47" s="1"/>
      <c r="J47" s="1"/>
    </row>
    <row r="48" spans="1:14" x14ac:dyDescent="0.25">
      <c r="B48" s="1"/>
      <c r="C48" s="1">
        <v>91</v>
      </c>
      <c r="D48" s="1"/>
      <c r="E48" s="1"/>
      <c r="F48" s="1">
        <v>560</v>
      </c>
      <c r="G48" s="1"/>
      <c r="H48" s="1"/>
      <c r="I48" s="1"/>
      <c r="J48" s="1"/>
    </row>
    <row r="49" spans="1:10" x14ac:dyDescent="0.25">
      <c r="B49" s="1"/>
      <c r="C49" s="1">
        <v>64</v>
      </c>
      <c r="D49" s="1"/>
      <c r="E49" s="1"/>
      <c r="F49" s="1">
        <v>409</v>
      </c>
      <c r="G49" s="1"/>
      <c r="H49" s="1"/>
      <c r="I49" s="1"/>
      <c r="J49" s="1"/>
    </row>
    <row r="50" spans="1:10" x14ac:dyDescent="0.25">
      <c r="B50" s="1"/>
      <c r="C50" s="1">
        <v>123</v>
      </c>
      <c r="D50" s="1"/>
      <c r="E50" s="1"/>
      <c r="F50" s="1">
        <v>230</v>
      </c>
      <c r="G50" s="1"/>
      <c r="H50" s="1"/>
      <c r="I50" s="1"/>
      <c r="J50" s="1"/>
    </row>
    <row r="51" spans="1:10" x14ac:dyDescent="0.25">
      <c r="B51" s="1"/>
      <c r="C51" s="1">
        <v>178</v>
      </c>
      <c r="D51" s="1"/>
      <c r="E51" s="1"/>
      <c r="F51" s="1">
        <v>560</v>
      </c>
      <c r="G51" s="1"/>
      <c r="H51" s="1"/>
      <c r="I51" s="1"/>
      <c r="J51" s="1"/>
    </row>
    <row r="52" spans="1:10" x14ac:dyDescent="0.25">
      <c r="B52" s="1"/>
      <c r="C52" s="1">
        <v>313</v>
      </c>
      <c r="D52" s="1"/>
      <c r="E52" s="1"/>
      <c r="F52" s="1">
        <v>150</v>
      </c>
      <c r="G52" s="1"/>
      <c r="H52" s="1"/>
      <c r="I52" s="1"/>
      <c r="J52" s="1"/>
    </row>
    <row r="53" spans="1:10" x14ac:dyDescent="0.25">
      <c r="B53" s="1"/>
      <c r="C53" s="1">
        <v>1748</v>
      </c>
      <c r="D53" s="1"/>
      <c r="E53" s="1"/>
      <c r="F53" s="1">
        <v>150</v>
      </c>
      <c r="G53" s="1"/>
      <c r="H53" s="1"/>
      <c r="I53" s="1"/>
      <c r="J53" s="1"/>
    </row>
    <row r="54" spans="1:10" x14ac:dyDescent="0.25">
      <c r="B54" s="1"/>
      <c r="C54" s="1">
        <v>476</v>
      </c>
      <c r="D54" s="1"/>
      <c r="E54" s="1"/>
      <c r="F54" s="1">
        <v>350</v>
      </c>
      <c r="G54" s="1"/>
      <c r="H54" s="1"/>
      <c r="I54" s="1"/>
      <c r="J54" s="1"/>
    </row>
    <row r="55" spans="1:10" x14ac:dyDescent="0.25">
      <c r="B55" s="1"/>
      <c r="C55" s="1">
        <v>145</v>
      </c>
      <c r="D55" s="1"/>
      <c r="E55" s="1"/>
      <c r="F55" s="1"/>
      <c r="G55" s="1"/>
      <c r="H55" s="1"/>
      <c r="I55" s="1"/>
      <c r="J55" s="1"/>
    </row>
    <row r="56" spans="1:10" x14ac:dyDescent="0.25">
      <c r="B56" s="1"/>
      <c r="C56" s="1">
        <v>186</v>
      </c>
      <c r="D56" s="1"/>
      <c r="E56" s="1"/>
      <c r="F56" s="1"/>
      <c r="G56" s="1"/>
      <c r="H56" s="1"/>
      <c r="I56" s="1"/>
      <c r="J56" s="1"/>
    </row>
    <row r="57" spans="1:10" x14ac:dyDescent="0.25">
      <c r="B57" s="1"/>
      <c r="C57" s="1">
        <v>130</v>
      </c>
      <c r="D57" s="1"/>
      <c r="E57" s="1"/>
      <c r="F57" s="1"/>
      <c r="G57" s="1"/>
      <c r="H57" s="1"/>
      <c r="I57" s="1"/>
      <c r="J57" s="1"/>
    </row>
    <row r="58" spans="1:10" x14ac:dyDescent="0.25">
      <c r="B58" s="1"/>
      <c r="C58" s="1">
        <v>662</v>
      </c>
      <c r="D58" s="1"/>
      <c r="E58" s="1"/>
      <c r="F58" s="1"/>
      <c r="G58" s="1"/>
      <c r="H58" s="1"/>
      <c r="I58" s="1"/>
      <c r="J58" s="1"/>
    </row>
    <row r="59" spans="1:10" x14ac:dyDescent="0.25">
      <c r="B59" s="1"/>
      <c r="C59" s="1">
        <v>453</v>
      </c>
      <c r="D59" s="1"/>
      <c r="E59" s="1"/>
      <c r="F59" s="1"/>
      <c r="G59" s="1"/>
      <c r="H59" s="1"/>
      <c r="I59" s="1"/>
      <c r="J59" s="1"/>
    </row>
    <row r="60" spans="1:10" x14ac:dyDescent="0.25">
      <c r="A60" s="1">
        <f>SUM(B43:N59)</f>
        <v>9488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25"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25">
      <c r="A62" t="s">
        <v>16</v>
      </c>
      <c r="B62" s="1"/>
      <c r="C62" s="1">
        <v>460</v>
      </c>
      <c r="D62" s="1"/>
      <c r="E62" s="1"/>
      <c r="F62" s="1">
        <v>360</v>
      </c>
      <c r="G62" s="1"/>
      <c r="H62" s="1"/>
      <c r="I62" s="1"/>
      <c r="J62" s="1">
        <v>570</v>
      </c>
    </row>
    <row r="63" spans="1:10" x14ac:dyDescent="0.25">
      <c r="B63" s="1"/>
      <c r="C63" s="1">
        <v>66</v>
      </c>
      <c r="D63" s="1"/>
      <c r="E63" s="1"/>
      <c r="F63" s="1">
        <v>209</v>
      </c>
      <c r="G63" s="1"/>
      <c r="H63" s="1"/>
      <c r="I63" s="1"/>
      <c r="J63" s="1">
        <v>64</v>
      </c>
    </row>
    <row r="64" spans="1:10" x14ac:dyDescent="0.25">
      <c r="B64" s="1"/>
      <c r="C64" s="1">
        <v>90</v>
      </c>
      <c r="D64" s="1"/>
      <c r="E64" s="1"/>
      <c r="F64" s="1">
        <v>190</v>
      </c>
      <c r="G64" s="1"/>
      <c r="H64" s="1"/>
      <c r="I64" s="1"/>
      <c r="J64" s="1"/>
    </row>
    <row r="65" spans="1:10" x14ac:dyDescent="0.25">
      <c r="B65" s="1"/>
      <c r="C65" s="1">
        <v>376</v>
      </c>
      <c r="D65" s="1"/>
      <c r="E65" s="1"/>
      <c r="F65" s="1">
        <v>30</v>
      </c>
      <c r="G65" s="1"/>
      <c r="H65" s="1"/>
      <c r="I65" s="1"/>
      <c r="J65" s="1"/>
    </row>
    <row r="66" spans="1:10" x14ac:dyDescent="0.25">
      <c r="B66" s="1"/>
      <c r="C66" s="1">
        <v>476</v>
      </c>
      <c r="D66" s="1"/>
      <c r="E66" s="1"/>
      <c r="F66" s="1">
        <v>120</v>
      </c>
      <c r="G66" s="1"/>
      <c r="H66" s="1"/>
      <c r="I66" s="1"/>
      <c r="J66" s="1"/>
    </row>
    <row r="67" spans="1:10" x14ac:dyDescent="0.25">
      <c r="B67" s="1"/>
      <c r="C67" s="1"/>
      <c r="D67" s="1"/>
      <c r="E67" s="1"/>
      <c r="F67" s="1">
        <v>560</v>
      </c>
      <c r="G67" s="1"/>
      <c r="H67" s="1"/>
      <c r="I67" s="1"/>
      <c r="J67" s="1"/>
    </row>
    <row r="68" spans="1:10" x14ac:dyDescent="0.25">
      <c r="A68" s="1">
        <f>SUM(B62:N67)</f>
        <v>3571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25"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25">
      <c r="A70" t="s">
        <v>17</v>
      </c>
      <c r="B70" s="1"/>
      <c r="C70" s="1">
        <v>34</v>
      </c>
      <c r="D70" s="1"/>
      <c r="E70" s="1"/>
      <c r="F70" s="1">
        <v>262</v>
      </c>
      <c r="G70" s="1"/>
      <c r="H70" s="1"/>
      <c r="I70" s="1"/>
      <c r="J70" s="1"/>
    </row>
    <row r="71" spans="1:10" x14ac:dyDescent="0.25">
      <c r="B71" s="1"/>
      <c r="C71" s="1">
        <v>83</v>
      </c>
      <c r="D71" s="1"/>
      <c r="E71" s="1"/>
      <c r="F71" s="1">
        <v>200</v>
      </c>
      <c r="G71" s="1"/>
      <c r="H71" s="1"/>
      <c r="I71" s="1"/>
      <c r="J71" s="1"/>
    </row>
    <row r="72" spans="1:10" x14ac:dyDescent="0.25">
      <c r="B72" s="1"/>
      <c r="C72" s="1">
        <v>49</v>
      </c>
      <c r="D72" s="1"/>
      <c r="E72" s="1"/>
      <c r="F72" s="1">
        <v>80</v>
      </c>
      <c r="G72" s="1"/>
      <c r="H72" s="1"/>
      <c r="I72" s="1"/>
      <c r="J72" s="1"/>
    </row>
    <row r="73" spans="1:10" x14ac:dyDescent="0.25">
      <c r="B73" s="1"/>
      <c r="C73" s="1">
        <v>98</v>
      </c>
      <c r="D73" s="1"/>
      <c r="E73" s="1"/>
      <c r="F73" s="1">
        <v>50</v>
      </c>
      <c r="G73" s="1"/>
      <c r="H73" s="1"/>
      <c r="I73" s="1"/>
      <c r="J73" s="1"/>
    </row>
    <row r="74" spans="1:10" x14ac:dyDescent="0.25">
      <c r="B74" s="1"/>
      <c r="C74" s="1">
        <v>44</v>
      </c>
      <c r="D74" s="1"/>
      <c r="E74" s="1"/>
      <c r="F74" s="1"/>
      <c r="G74" s="1"/>
      <c r="H74" s="1"/>
      <c r="I74" s="1"/>
      <c r="J74" s="1"/>
    </row>
    <row r="75" spans="1:10" x14ac:dyDescent="0.25">
      <c r="B75" s="1"/>
      <c r="C75" s="1">
        <v>79</v>
      </c>
      <c r="D75" s="1"/>
      <c r="E75" s="1"/>
      <c r="F75" s="1"/>
      <c r="G75" s="1"/>
      <c r="H75" s="1"/>
      <c r="I75" s="1"/>
      <c r="J75" s="1"/>
    </row>
    <row r="76" spans="1:10" x14ac:dyDescent="0.25">
      <c r="B76" s="1"/>
      <c r="C76" s="1">
        <v>73</v>
      </c>
      <c r="D76" s="1"/>
      <c r="E76" s="1"/>
      <c r="F76" s="1"/>
      <c r="G76" s="1"/>
      <c r="H76" s="1"/>
      <c r="I76" s="1"/>
      <c r="J76" s="1"/>
    </row>
    <row r="77" spans="1:10" x14ac:dyDescent="0.25">
      <c r="B77" s="1"/>
      <c r="C77" s="1">
        <v>73</v>
      </c>
      <c r="D77" s="1"/>
      <c r="E77" s="1"/>
      <c r="F77" s="1"/>
      <c r="G77" s="1"/>
      <c r="H77" s="1"/>
      <c r="I77" s="1"/>
      <c r="J77" s="1"/>
    </row>
    <row r="78" spans="1:10" x14ac:dyDescent="0.25">
      <c r="B78" s="1"/>
      <c r="C78" s="1">
        <v>62</v>
      </c>
      <c r="D78" s="1"/>
      <c r="E78" s="1"/>
      <c r="F78" s="1"/>
      <c r="G78" s="1"/>
      <c r="H78" s="1"/>
      <c r="I78" s="1"/>
      <c r="J78" s="1"/>
    </row>
    <row r="79" spans="1:10" x14ac:dyDescent="0.25">
      <c r="B79" s="1"/>
      <c r="C79" s="1">
        <v>123</v>
      </c>
      <c r="D79" s="1"/>
      <c r="E79" s="1"/>
      <c r="F79" s="1"/>
      <c r="G79" s="1"/>
      <c r="H79" s="1"/>
      <c r="I79" s="1"/>
      <c r="J79" s="1"/>
    </row>
    <row r="80" spans="1:10" x14ac:dyDescent="0.25">
      <c r="B80" s="1"/>
      <c r="C80" s="1">
        <v>346</v>
      </c>
      <c r="D80" s="1"/>
      <c r="E80" s="1"/>
      <c r="F80" s="1"/>
      <c r="G80" s="1"/>
      <c r="H80" s="1"/>
      <c r="I80" s="1"/>
      <c r="J80" s="1"/>
    </row>
    <row r="81" spans="1:12" x14ac:dyDescent="0.25">
      <c r="A81" s="1">
        <f>SUM(B70:N80)</f>
        <v>1656</v>
      </c>
      <c r="B81" s="1"/>
      <c r="C81" s="1"/>
      <c r="D81" s="1"/>
      <c r="E81" s="1"/>
      <c r="F81" s="1"/>
      <c r="G81" s="1"/>
      <c r="H81" s="1"/>
      <c r="I81" s="1"/>
      <c r="J81" s="1"/>
    </row>
    <row r="82" spans="1:12" x14ac:dyDescent="0.25">
      <c r="B82" s="1"/>
      <c r="C82" s="1"/>
      <c r="D82" s="1"/>
      <c r="E82" s="1"/>
      <c r="F82" s="1"/>
      <c r="G82" s="1"/>
      <c r="H82" s="1"/>
      <c r="I82" s="1"/>
      <c r="J82" s="1"/>
      <c r="L82" s="1"/>
    </row>
    <row r="83" spans="1:12" x14ac:dyDescent="0.25">
      <c r="A83" t="s">
        <v>18</v>
      </c>
      <c r="B83" s="1"/>
      <c r="C83" s="1">
        <v>430</v>
      </c>
      <c r="D83" s="1"/>
      <c r="E83" s="1"/>
      <c r="F83" s="1">
        <v>153</v>
      </c>
      <c r="G83" s="1"/>
      <c r="H83" s="1"/>
      <c r="I83" s="1"/>
      <c r="J83" s="1"/>
      <c r="L83" s="1">
        <v>386</v>
      </c>
    </row>
    <row r="84" spans="1:12" x14ac:dyDescent="0.25">
      <c r="B84" s="1"/>
      <c r="C84" s="1">
        <v>155</v>
      </c>
      <c r="D84" s="1"/>
      <c r="E84" s="1"/>
      <c r="F84" s="1">
        <v>207</v>
      </c>
      <c r="G84" s="1"/>
      <c r="H84" s="1"/>
      <c r="I84" s="1"/>
      <c r="J84" s="1"/>
      <c r="L84" s="1">
        <v>318</v>
      </c>
    </row>
    <row r="85" spans="1:12" x14ac:dyDescent="0.25">
      <c r="B85" s="1"/>
      <c r="C85" s="1">
        <v>200</v>
      </c>
      <c r="D85" s="1"/>
      <c r="E85" s="1"/>
      <c r="F85" s="1"/>
      <c r="G85" s="1"/>
      <c r="H85" s="1"/>
      <c r="I85" s="1"/>
      <c r="J85" s="1"/>
      <c r="L85" s="1">
        <v>86</v>
      </c>
    </row>
    <row r="86" spans="1:12" x14ac:dyDescent="0.25">
      <c r="B86" s="1"/>
      <c r="C86" s="1">
        <v>104</v>
      </c>
      <c r="D86" s="1"/>
      <c r="E86" s="1"/>
      <c r="F86" s="1"/>
      <c r="G86" s="1"/>
      <c r="H86" s="1"/>
      <c r="I86" s="1"/>
      <c r="J86" s="1"/>
      <c r="L86" s="1">
        <v>30</v>
      </c>
    </row>
    <row r="87" spans="1:12" x14ac:dyDescent="0.25">
      <c r="B87" s="1"/>
      <c r="C87" s="1">
        <v>46</v>
      </c>
      <c r="D87" s="1"/>
      <c r="E87" s="1"/>
      <c r="F87" s="1"/>
      <c r="G87" s="1"/>
      <c r="H87" s="1"/>
      <c r="I87" s="1"/>
      <c r="J87" s="1"/>
      <c r="L87" s="1">
        <v>566</v>
      </c>
    </row>
    <row r="88" spans="1:12" x14ac:dyDescent="0.25">
      <c r="B88" s="1"/>
      <c r="C88" s="1">
        <v>169</v>
      </c>
      <c r="D88" s="1"/>
      <c r="E88" s="1"/>
      <c r="F88" s="1"/>
      <c r="G88" s="1"/>
      <c r="H88" s="1"/>
      <c r="I88" s="1"/>
      <c r="J88" s="1"/>
    </row>
    <row r="89" spans="1:12" x14ac:dyDescent="0.25">
      <c r="B89" s="1"/>
      <c r="C89" s="1">
        <v>55</v>
      </c>
      <c r="D89" s="1"/>
      <c r="E89" s="1"/>
      <c r="F89" s="1"/>
      <c r="G89" s="1"/>
      <c r="H89" s="1"/>
      <c r="I89" s="1"/>
      <c r="J89" s="1"/>
    </row>
    <row r="90" spans="1:12" x14ac:dyDescent="0.25">
      <c r="B90" s="1"/>
      <c r="C90" s="1">
        <v>77</v>
      </c>
      <c r="D90" s="1"/>
      <c r="E90" s="1"/>
      <c r="F90" s="1"/>
      <c r="G90" s="1"/>
      <c r="H90" s="1"/>
      <c r="I90" s="1"/>
      <c r="J90" s="1"/>
    </row>
    <row r="91" spans="1:12" x14ac:dyDescent="0.25">
      <c r="A91" s="1">
        <f>SUM(B83:N90)</f>
        <v>2982</v>
      </c>
      <c r="B91" s="1"/>
      <c r="C91" s="1"/>
      <c r="D91" s="1"/>
      <c r="E91" s="1"/>
      <c r="F91" s="1"/>
      <c r="G91" s="1"/>
      <c r="H91" s="1"/>
      <c r="I91" s="1"/>
      <c r="J91" s="1"/>
    </row>
    <row r="92" spans="1:12" x14ac:dyDescent="0.25">
      <c r="B92" s="1"/>
      <c r="C92" s="1"/>
      <c r="D92" s="1"/>
      <c r="E92" s="1"/>
      <c r="F92" s="1"/>
      <c r="G92" s="1"/>
      <c r="H92" s="1"/>
      <c r="I92" s="1"/>
      <c r="J92" s="1"/>
    </row>
    <row r="93" spans="1:12" x14ac:dyDescent="0.25">
      <c r="A93" t="s">
        <v>19</v>
      </c>
      <c r="B93" s="1"/>
      <c r="C93" s="1"/>
      <c r="D93" s="1">
        <v>1373</v>
      </c>
      <c r="E93" s="1"/>
      <c r="F93" s="1"/>
      <c r="G93" s="1"/>
      <c r="H93" s="1"/>
      <c r="I93" s="1"/>
      <c r="J93" s="1"/>
    </row>
    <row r="94" spans="1:12" x14ac:dyDescent="0.25">
      <c r="B94" s="1"/>
      <c r="C94" s="1"/>
      <c r="D94" s="1"/>
      <c r="E94" s="1"/>
      <c r="F94" s="1"/>
      <c r="G94" s="1"/>
      <c r="H94" s="1"/>
      <c r="I94" s="1"/>
      <c r="J94" s="1"/>
    </row>
    <row r="95" spans="1:12" x14ac:dyDescent="0.25">
      <c r="A95" s="1">
        <f>SUM(C93:L94)</f>
        <v>1373</v>
      </c>
      <c r="B95" s="1"/>
      <c r="C95" s="1"/>
      <c r="D95" s="1"/>
      <c r="E95" s="1"/>
      <c r="F95" s="1"/>
      <c r="G95" s="1"/>
      <c r="H95" s="1"/>
      <c r="I95" s="1"/>
      <c r="J95" s="1"/>
    </row>
    <row r="96" spans="1:12" x14ac:dyDescent="0.25">
      <c r="B96" s="1"/>
      <c r="C96" s="1"/>
      <c r="D96" s="1"/>
      <c r="E96" s="1"/>
      <c r="F96" s="1"/>
      <c r="G96" s="1"/>
      <c r="H96" s="1"/>
      <c r="I96" s="1"/>
      <c r="J96" s="1"/>
    </row>
    <row r="97" spans="1:10" x14ac:dyDescent="0.25">
      <c r="A97" t="s">
        <v>20</v>
      </c>
      <c r="B97" s="1"/>
      <c r="C97" s="1"/>
      <c r="D97" s="1"/>
      <c r="E97" s="1"/>
      <c r="F97" s="1">
        <v>600</v>
      </c>
      <c r="G97" s="1"/>
      <c r="H97" s="1"/>
      <c r="I97" s="1"/>
      <c r="J97" s="1"/>
    </row>
    <row r="98" spans="1:10" x14ac:dyDescent="0.25">
      <c r="B98" s="1"/>
      <c r="C98" s="1"/>
      <c r="D98" s="1"/>
      <c r="E98" s="1"/>
      <c r="F98" s="1">
        <v>300</v>
      </c>
      <c r="G98" s="1"/>
      <c r="H98" s="1"/>
      <c r="I98" s="1"/>
      <c r="J98" s="1"/>
    </row>
    <row r="99" spans="1:10" x14ac:dyDescent="0.25">
      <c r="B99" s="1"/>
      <c r="C99" s="1"/>
      <c r="D99" s="1"/>
      <c r="E99" s="1"/>
      <c r="F99" s="1">
        <v>120</v>
      </c>
      <c r="G99" s="1"/>
      <c r="H99" s="1"/>
      <c r="I99" s="1"/>
      <c r="J99" s="1"/>
    </row>
    <row r="100" spans="1:10" x14ac:dyDescent="0.25">
      <c r="B100" s="1"/>
      <c r="C100" s="1"/>
      <c r="D100" s="1"/>
      <c r="E100" s="1"/>
      <c r="F100" s="1">
        <v>160</v>
      </c>
      <c r="G100" s="1"/>
      <c r="H100" s="1"/>
      <c r="I100" s="1"/>
      <c r="J100" s="1"/>
    </row>
    <row r="101" spans="1:10" x14ac:dyDescent="0.25">
      <c r="B101" s="1"/>
      <c r="C101" s="1"/>
      <c r="D101" s="1"/>
      <c r="E101" s="1"/>
      <c r="F101" s="1">
        <v>260</v>
      </c>
      <c r="G101" s="1"/>
      <c r="H101" s="1"/>
      <c r="I101" s="1"/>
      <c r="J101" s="1"/>
    </row>
    <row r="102" spans="1:10" x14ac:dyDescent="0.25">
      <c r="B102" s="1"/>
      <c r="C102" s="1"/>
      <c r="D102" s="1"/>
      <c r="E102" s="1"/>
      <c r="F102" s="1">
        <v>300</v>
      </c>
      <c r="G102" s="1"/>
      <c r="H102" s="1"/>
      <c r="I102" s="1"/>
      <c r="J102" s="1"/>
    </row>
    <row r="103" spans="1:10" x14ac:dyDescent="0.25">
      <c r="A103" s="1">
        <f>SUM(B97:L102)</f>
        <v>1740</v>
      </c>
      <c r="B103" s="1"/>
      <c r="C103" s="1"/>
      <c r="D103" s="1"/>
      <c r="E103" s="1"/>
      <c r="F103" s="1"/>
      <c r="G103" s="1"/>
      <c r="H103" s="1"/>
      <c r="I103" s="1"/>
      <c r="J103" s="1"/>
    </row>
    <row r="104" spans="1:10" x14ac:dyDescent="0.25">
      <c r="B104" s="1"/>
      <c r="C104" s="1"/>
      <c r="D104" s="1"/>
      <c r="E104" s="1"/>
      <c r="F104" s="1"/>
      <c r="G104" s="1"/>
      <c r="H104" s="1"/>
      <c r="I104" s="1"/>
      <c r="J104" s="1"/>
    </row>
    <row r="105" spans="1:10" x14ac:dyDescent="0.25">
      <c r="A105" t="s">
        <v>21</v>
      </c>
      <c r="B105" s="1"/>
      <c r="C105" s="1"/>
      <c r="D105" s="1"/>
      <c r="E105" s="1"/>
      <c r="F105" s="1"/>
      <c r="G105" s="1">
        <v>429</v>
      </c>
      <c r="H105" s="1"/>
      <c r="I105" s="1"/>
      <c r="J105" s="1"/>
    </row>
    <row r="106" spans="1:10" x14ac:dyDescent="0.25">
      <c r="B106" s="1"/>
      <c r="C106" s="1"/>
      <c r="D106" s="1"/>
      <c r="E106" s="1"/>
      <c r="F106" s="1"/>
      <c r="G106" s="1"/>
      <c r="H106" s="1"/>
      <c r="I106" s="1"/>
      <c r="J106" s="1"/>
    </row>
    <row r="107" spans="1:10" x14ac:dyDescent="0.25">
      <c r="A107" s="1">
        <f>SUM(B105:N106)</f>
        <v>429</v>
      </c>
      <c r="B107" s="1"/>
      <c r="C107" s="1"/>
      <c r="D107" s="1"/>
      <c r="E107" s="1"/>
      <c r="F107" s="1"/>
      <c r="G107" s="1"/>
      <c r="H107" s="1"/>
      <c r="I107" s="1"/>
      <c r="J107" s="1"/>
    </row>
    <row r="108" spans="1:10" x14ac:dyDescent="0.25">
      <c r="B108" s="1"/>
      <c r="C108" s="1"/>
      <c r="D108" s="1"/>
      <c r="E108" s="1"/>
      <c r="F108" s="1"/>
      <c r="G108" s="1"/>
      <c r="H108" s="1"/>
      <c r="I108" s="1"/>
      <c r="J108" s="1"/>
    </row>
    <row r="109" spans="1:10" x14ac:dyDescent="0.25">
      <c r="B109" s="1"/>
      <c r="C109" s="1"/>
      <c r="D109" s="1"/>
      <c r="E109" s="1"/>
      <c r="F109" s="1"/>
      <c r="G109" s="1"/>
      <c r="H109" s="1"/>
      <c r="I109" s="1"/>
      <c r="J109" s="1"/>
    </row>
    <row r="110" spans="1:10" x14ac:dyDescent="0.25">
      <c r="A110" t="s">
        <v>22</v>
      </c>
      <c r="B110" s="1">
        <f>A10+A15+A23+A34+A41+A60+A68+A81+A91+A95+A103+A107</f>
        <v>34812</v>
      </c>
      <c r="C110" s="1"/>
      <c r="D110" s="1"/>
      <c r="E110" s="1"/>
      <c r="F110" s="1"/>
      <c r="G110" s="1"/>
      <c r="H110" s="1"/>
      <c r="I110" s="1"/>
      <c r="J110" s="1"/>
    </row>
    <row r="111" spans="1:10" x14ac:dyDescent="0.25">
      <c r="A111" t="s">
        <v>27</v>
      </c>
      <c r="B111" s="2">
        <f>B110*B115</f>
        <v>3481.2000000000003</v>
      </c>
    </row>
    <row r="115" spans="1:2" x14ac:dyDescent="0.25">
      <c r="A115" t="s">
        <v>28</v>
      </c>
      <c r="B115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90210-1481-4C7E-9CB7-B30992BA70D0}">
  <dimension ref="A1:N60"/>
  <sheetViews>
    <sheetView workbookViewId="0">
      <pane ySplit="1" topLeftCell="A32" activePane="bottomLeft" state="frozen"/>
      <selection pane="bottomLeft" activeCell="A57" sqref="A57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/>
      <c r="D3" s="1"/>
      <c r="E3" s="1"/>
      <c r="F3" s="1"/>
      <c r="G3" s="1"/>
      <c r="H3" s="1"/>
      <c r="I3" s="1"/>
      <c r="J3" s="1"/>
    </row>
    <row r="4" spans="1:14" x14ac:dyDescent="0.25">
      <c r="B4" s="1"/>
      <c r="C4" s="1"/>
      <c r="D4" s="1"/>
      <c r="E4" s="1"/>
      <c r="F4" s="1"/>
      <c r="G4" s="1"/>
      <c r="H4" s="1"/>
      <c r="I4" s="1"/>
      <c r="J4" s="1"/>
    </row>
    <row r="5" spans="1:14" x14ac:dyDescent="0.25">
      <c r="A5" s="1">
        <f>SUM(B3:N4)</f>
        <v>0</v>
      </c>
      <c r="B5" s="1"/>
      <c r="C5" s="1"/>
      <c r="D5" s="1"/>
      <c r="E5" s="1"/>
      <c r="F5" s="1"/>
      <c r="G5" s="1"/>
      <c r="H5" s="1"/>
      <c r="I5" s="1"/>
      <c r="J5" s="1"/>
    </row>
    <row r="6" spans="1:14" x14ac:dyDescent="0.25">
      <c r="B6" s="1"/>
      <c r="C6" s="1"/>
      <c r="D6" s="1"/>
      <c r="E6" s="1"/>
      <c r="F6" s="1"/>
      <c r="G6" s="1"/>
      <c r="H6" s="1"/>
      <c r="I6" s="1"/>
      <c r="J6" s="1"/>
    </row>
    <row r="7" spans="1:14" x14ac:dyDescent="0.25">
      <c r="A7" t="s">
        <v>11</v>
      </c>
      <c r="B7" s="1"/>
      <c r="C7" s="1"/>
      <c r="D7" s="1"/>
      <c r="E7" s="1"/>
      <c r="F7" s="1"/>
      <c r="G7" s="1"/>
      <c r="H7" s="1"/>
      <c r="I7" s="1"/>
      <c r="J7" s="1"/>
    </row>
    <row r="8" spans="1:14" x14ac:dyDescent="0.25">
      <c r="B8" s="1"/>
      <c r="C8" s="1"/>
      <c r="D8" s="1"/>
      <c r="E8" s="1"/>
      <c r="F8" s="1"/>
      <c r="G8" s="1"/>
      <c r="H8" s="1"/>
      <c r="I8" s="1"/>
      <c r="J8" s="1"/>
    </row>
    <row r="9" spans="1:14" x14ac:dyDescent="0.25">
      <c r="A9" s="1">
        <f>SUM(B7:N8)</f>
        <v>0</v>
      </c>
      <c r="B9" s="1"/>
      <c r="C9" s="1"/>
      <c r="D9" s="1"/>
      <c r="E9" s="1"/>
      <c r="F9" s="1"/>
      <c r="G9" s="1"/>
      <c r="H9" s="1"/>
      <c r="I9" s="1"/>
      <c r="J9" s="1"/>
    </row>
    <row r="10" spans="1:14" x14ac:dyDescent="0.25">
      <c r="B10" s="1"/>
      <c r="C10" s="1"/>
      <c r="D10" s="1"/>
      <c r="E10" s="1"/>
      <c r="F10" s="1"/>
      <c r="G10" s="1"/>
      <c r="H10" s="1"/>
      <c r="I10" s="1"/>
      <c r="J10" s="1"/>
    </row>
    <row r="11" spans="1:14" x14ac:dyDescent="0.25">
      <c r="A11" t="s">
        <v>12</v>
      </c>
      <c r="B11" s="1"/>
      <c r="C11" s="1"/>
      <c r="D11" s="1"/>
      <c r="E11" s="1"/>
      <c r="F11" s="1"/>
      <c r="G11" s="1"/>
      <c r="H11" s="1"/>
      <c r="I11" s="1"/>
      <c r="J11" s="1"/>
    </row>
    <row r="12" spans="1:14" x14ac:dyDescent="0.25">
      <c r="B12" s="1"/>
      <c r="C12" s="1"/>
      <c r="D12" s="1"/>
      <c r="E12" s="1"/>
      <c r="F12" s="1"/>
      <c r="G12" s="1"/>
      <c r="H12" s="1"/>
      <c r="I12" s="1"/>
      <c r="J12" s="1"/>
    </row>
    <row r="13" spans="1:14" x14ac:dyDescent="0.25">
      <c r="A13" s="1">
        <f>SUM(C10:N12)</f>
        <v>0</v>
      </c>
      <c r="B13" s="1"/>
      <c r="C13" s="1"/>
      <c r="D13" s="1"/>
      <c r="E13" s="1"/>
      <c r="F13" s="1"/>
      <c r="G13" s="1"/>
      <c r="H13" s="1"/>
      <c r="I13" s="1"/>
      <c r="J13" s="1"/>
    </row>
    <row r="14" spans="1:14" x14ac:dyDescent="0.25">
      <c r="B14" s="1"/>
      <c r="C14" s="1"/>
      <c r="D14" s="1"/>
      <c r="E14" s="1"/>
      <c r="F14" s="1"/>
      <c r="G14" s="1"/>
      <c r="H14" s="1"/>
      <c r="I14" s="1"/>
      <c r="J14" s="1"/>
    </row>
    <row r="15" spans="1:14" x14ac:dyDescent="0.25">
      <c r="A15" t="s">
        <v>13</v>
      </c>
      <c r="B15" s="1"/>
      <c r="C15" s="1"/>
      <c r="D15" s="1"/>
      <c r="E15" s="1"/>
      <c r="F15" s="1"/>
      <c r="G15" s="1"/>
      <c r="H15" s="1"/>
      <c r="I15" s="1"/>
      <c r="J15" s="1"/>
    </row>
    <row r="16" spans="1:14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1:14" x14ac:dyDescent="0.25">
      <c r="A17" s="1">
        <f>SUM(B15:N16)</f>
        <v>0</v>
      </c>
      <c r="B17" s="1"/>
      <c r="C17" s="1"/>
      <c r="D17" s="1"/>
      <c r="E17" s="1"/>
      <c r="F17" s="1"/>
      <c r="G17" s="1"/>
      <c r="H17" s="1"/>
      <c r="I17" s="1"/>
      <c r="J17" s="1"/>
    </row>
    <row r="18" spans="1:14" x14ac:dyDescent="0.25">
      <c r="B18" s="1"/>
      <c r="C18" s="1"/>
      <c r="D18" s="1"/>
      <c r="E18" s="1"/>
      <c r="F18" s="1"/>
      <c r="G18" s="1"/>
      <c r="H18" s="1"/>
      <c r="I18" s="1"/>
      <c r="J18" s="1"/>
    </row>
    <row r="19" spans="1:14" x14ac:dyDescent="0.25">
      <c r="A19" t="s">
        <v>14</v>
      </c>
      <c r="B19" s="1"/>
      <c r="C19" s="1"/>
      <c r="D19" s="1"/>
      <c r="E19" s="1"/>
      <c r="F19" s="1"/>
      <c r="G19" s="1"/>
      <c r="H19" s="1"/>
      <c r="I19" s="1"/>
      <c r="J19" s="1"/>
      <c r="N19" s="1"/>
    </row>
    <row r="20" spans="1:14" x14ac:dyDescent="0.25">
      <c r="B20" s="1"/>
      <c r="C20" s="1"/>
      <c r="D20" s="1"/>
      <c r="E20" s="1"/>
      <c r="F20" s="1"/>
      <c r="G20" s="1"/>
      <c r="H20" s="1"/>
      <c r="I20" s="1"/>
      <c r="J20" s="1"/>
    </row>
    <row r="21" spans="1:14" x14ac:dyDescent="0.25">
      <c r="A21" s="1">
        <f>SUM(C19:N20)</f>
        <v>0</v>
      </c>
      <c r="B21" s="1"/>
      <c r="C21" s="1"/>
      <c r="D21" s="1"/>
      <c r="E21" s="1"/>
      <c r="F21" s="1"/>
      <c r="G21" s="1"/>
      <c r="H21" s="1"/>
      <c r="I21" s="1"/>
      <c r="J21" s="1"/>
    </row>
    <row r="22" spans="1:14" x14ac:dyDescent="0.25">
      <c r="B22" s="1"/>
      <c r="C22" s="1"/>
      <c r="D22" s="1"/>
      <c r="E22" s="1"/>
      <c r="F22" s="1"/>
      <c r="G22" s="1"/>
      <c r="H22" s="1"/>
      <c r="I22" s="1"/>
      <c r="J22" s="1"/>
    </row>
    <row r="23" spans="1:14" x14ac:dyDescent="0.25">
      <c r="A23" t="s">
        <v>15</v>
      </c>
      <c r="B23" s="1"/>
      <c r="C23" s="1"/>
      <c r="D23" s="1">
        <v>354</v>
      </c>
      <c r="E23" s="1"/>
      <c r="F23" s="1">
        <v>420</v>
      </c>
      <c r="G23" s="1">
        <v>560</v>
      </c>
      <c r="H23" s="1"/>
      <c r="I23" s="1"/>
      <c r="J23" s="1"/>
    </row>
    <row r="24" spans="1:14" x14ac:dyDescent="0.25">
      <c r="B24" s="1"/>
      <c r="C24" s="1"/>
      <c r="D24" s="1"/>
      <c r="E24" s="1"/>
      <c r="F24" s="1"/>
      <c r="G24" s="1">
        <v>630</v>
      </c>
      <c r="H24" s="1"/>
      <c r="I24" s="1"/>
      <c r="J24" s="1"/>
    </row>
    <row r="25" spans="1:14" x14ac:dyDescent="0.25">
      <c r="B25" s="1"/>
      <c r="C25" s="1"/>
      <c r="D25" s="1"/>
      <c r="E25" s="1"/>
      <c r="F25" s="1"/>
      <c r="G25" s="1"/>
      <c r="H25" s="1"/>
      <c r="I25" s="1"/>
      <c r="J25" s="1"/>
    </row>
    <row r="26" spans="1:14" x14ac:dyDescent="0.25">
      <c r="A26" s="1">
        <f>SUM(B23:N25)</f>
        <v>1964</v>
      </c>
      <c r="B26" s="1"/>
      <c r="C26" s="1"/>
      <c r="D26" s="1"/>
      <c r="E26" s="1"/>
      <c r="F26" s="1"/>
      <c r="G26" s="1"/>
      <c r="H26" s="1"/>
      <c r="I26" s="1"/>
      <c r="J26" s="1"/>
    </row>
    <row r="27" spans="1:14" x14ac:dyDescent="0.25">
      <c r="B27" s="1"/>
      <c r="C27" s="1"/>
      <c r="D27" s="1"/>
      <c r="E27" s="1"/>
      <c r="F27" s="1"/>
      <c r="G27" s="1"/>
      <c r="H27" s="1"/>
      <c r="I27" s="1"/>
      <c r="J27" s="1"/>
    </row>
    <row r="28" spans="1:14" x14ac:dyDescent="0.25">
      <c r="A28" t="s">
        <v>16</v>
      </c>
      <c r="B28" s="1"/>
      <c r="C28" s="1"/>
      <c r="D28" s="1"/>
      <c r="E28" s="1"/>
      <c r="F28" s="1">
        <v>330</v>
      </c>
      <c r="G28" s="1"/>
      <c r="H28" s="1"/>
      <c r="I28" s="1"/>
      <c r="J28" s="1"/>
    </row>
    <row r="29" spans="1:14" x14ac:dyDescent="0.25">
      <c r="B29" s="1"/>
      <c r="C29" s="1"/>
      <c r="D29" s="1"/>
      <c r="E29" s="1"/>
      <c r="F29" s="1">
        <v>30</v>
      </c>
      <c r="G29" s="1"/>
      <c r="H29" s="1"/>
      <c r="I29" s="1"/>
      <c r="J29" s="1"/>
    </row>
    <row r="30" spans="1:14" x14ac:dyDescent="0.25">
      <c r="B30" s="1"/>
      <c r="C30" s="1"/>
      <c r="D30" s="1"/>
      <c r="E30" s="1"/>
      <c r="F30" s="1">
        <v>160</v>
      </c>
      <c r="G30" s="1"/>
      <c r="H30" s="1"/>
      <c r="I30" s="1"/>
      <c r="J30" s="1"/>
    </row>
    <row r="31" spans="1:14" x14ac:dyDescent="0.25">
      <c r="B31" s="1"/>
      <c r="C31" s="1"/>
      <c r="D31" s="1"/>
      <c r="E31" s="1"/>
      <c r="F31" s="1">
        <v>30</v>
      </c>
      <c r="G31" s="1"/>
      <c r="H31" s="1"/>
      <c r="I31" s="1"/>
      <c r="J31" s="1"/>
    </row>
    <row r="32" spans="1:14" x14ac:dyDescent="0.25">
      <c r="A32" s="1">
        <f>SUM(B28:N31)</f>
        <v>550</v>
      </c>
      <c r="B32" s="1"/>
      <c r="C32" s="1"/>
      <c r="D32" s="1"/>
      <c r="E32" s="1"/>
      <c r="F32" s="1"/>
      <c r="G32" s="1"/>
      <c r="H32" s="1"/>
      <c r="I32" s="1"/>
      <c r="J32" s="1"/>
    </row>
    <row r="33" spans="1:12" x14ac:dyDescent="0.25">
      <c r="B33" s="1"/>
      <c r="C33" s="1"/>
      <c r="D33" s="1"/>
      <c r="E33" s="1"/>
      <c r="F33" s="1"/>
      <c r="G33" s="1"/>
      <c r="H33" s="1"/>
      <c r="I33" s="1"/>
      <c r="J33" s="1"/>
    </row>
    <row r="34" spans="1:12" x14ac:dyDescent="0.25">
      <c r="A34" t="s">
        <v>17</v>
      </c>
      <c r="B34" s="1"/>
      <c r="C34" s="1"/>
      <c r="D34" s="1"/>
      <c r="E34" s="1"/>
      <c r="F34" s="1"/>
      <c r="G34" s="1"/>
      <c r="H34" s="1"/>
      <c r="I34" s="1"/>
      <c r="J34" s="1"/>
    </row>
    <row r="35" spans="1:12" x14ac:dyDescent="0.25">
      <c r="B35" s="1"/>
      <c r="C35" s="1"/>
      <c r="D35" s="1"/>
      <c r="E35" s="1"/>
      <c r="F35" s="1"/>
      <c r="G35" s="1"/>
      <c r="H35" s="1"/>
      <c r="I35" s="1"/>
      <c r="J35" s="1"/>
    </row>
    <row r="36" spans="1:12" x14ac:dyDescent="0.25">
      <c r="A36" s="1">
        <f>SUM(B34:N35)</f>
        <v>0</v>
      </c>
      <c r="B36" s="1"/>
      <c r="C36" s="1"/>
      <c r="D36" s="1"/>
      <c r="E36" s="1"/>
      <c r="F36" s="1"/>
      <c r="G36" s="1"/>
      <c r="H36" s="1"/>
      <c r="I36" s="1"/>
      <c r="J36" s="1"/>
    </row>
    <row r="37" spans="1:12" x14ac:dyDescent="0.25">
      <c r="B37" s="1"/>
      <c r="C37" s="1"/>
      <c r="D37" s="1"/>
      <c r="E37" s="1"/>
      <c r="F37" s="1"/>
      <c r="G37" s="1"/>
      <c r="H37" s="1"/>
      <c r="I37" s="1"/>
      <c r="J37" s="1"/>
      <c r="L37" s="1"/>
    </row>
    <row r="38" spans="1:12" x14ac:dyDescent="0.25">
      <c r="A38" t="s">
        <v>18</v>
      </c>
      <c r="B38" s="1"/>
      <c r="C38" s="1"/>
      <c r="D38" s="1"/>
      <c r="E38" s="1"/>
      <c r="F38" s="1"/>
      <c r="G38" s="1"/>
      <c r="H38" s="1"/>
      <c r="I38" s="1"/>
      <c r="J38" s="1"/>
      <c r="L38" s="1"/>
    </row>
    <row r="39" spans="1:12" x14ac:dyDescent="0.25">
      <c r="B39" s="1"/>
      <c r="C39" s="1"/>
      <c r="D39" s="1"/>
      <c r="E39" s="1"/>
      <c r="F39" s="1"/>
      <c r="G39" s="1"/>
      <c r="H39" s="1"/>
      <c r="I39" s="1"/>
      <c r="J39" s="1"/>
    </row>
    <row r="40" spans="1:12" x14ac:dyDescent="0.25">
      <c r="A40" s="1">
        <f>SUM(B38:N39)</f>
        <v>0</v>
      </c>
      <c r="B40" s="1"/>
      <c r="C40" s="1"/>
      <c r="D40" s="1"/>
      <c r="E40" s="1"/>
      <c r="F40" s="1"/>
      <c r="G40" s="1"/>
      <c r="H40" s="1"/>
      <c r="I40" s="1"/>
      <c r="J40" s="1"/>
    </row>
    <row r="41" spans="1:12" x14ac:dyDescent="0.25">
      <c r="B41" s="1"/>
      <c r="C41" s="1"/>
      <c r="D41" s="1"/>
      <c r="E41" s="1"/>
      <c r="F41" s="1"/>
      <c r="G41" s="1"/>
      <c r="H41" s="1"/>
      <c r="I41" s="1"/>
      <c r="J41" s="1"/>
    </row>
    <row r="42" spans="1:12" x14ac:dyDescent="0.25">
      <c r="A42" t="s">
        <v>19</v>
      </c>
      <c r="B42" s="1"/>
      <c r="C42" s="1"/>
      <c r="D42" s="1"/>
      <c r="E42" s="1"/>
      <c r="F42" s="1">
        <v>300</v>
      </c>
      <c r="G42" s="1"/>
      <c r="H42" s="1">
        <v>257</v>
      </c>
      <c r="I42" s="1"/>
      <c r="J42" s="1"/>
    </row>
    <row r="43" spans="1:12" x14ac:dyDescent="0.25">
      <c r="B43" s="1"/>
      <c r="C43" s="1"/>
      <c r="D43" s="1"/>
      <c r="E43" s="1"/>
      <c r="F43" s="1"/>
      <c r="G43" s="1"/>
      <c r="H43" s="1"/>
      <c r="I43" s="1"/>
      <c r="J43" s="1"/>
    </row>
    <row r="44" spans="1:12" x14ac:dyDescent="0.25">
      <c r="A44" s="1">
        <f>SUM(C42:N43)</f>
        <v>557</v>
      </c>
      <c r="B44" s="1"/>
      <c r="C44" s="1"/>
      <c r="D44" s="1"/>
      <c r="E44" s="1"/>
      <c r="F44" s="1"/>
      <c r="G44" s="1"/>
      <c r="H44" s="1"/>
      <c r="I44" s="1"/>
      <c r="J44" s="1"/>
    </row>
    <row r="45" spans="1:12" x14ac:dyDescent="0.25">
      <c r="B45" s="1"/>
      <c r="C45" s="1"/>
      <c r="D45" s="1"/>
      <c r="E45" s="1"/>
      <c r="F45" s="1"/>
      <c r="G45" s="1"/>
      <c r="H45" s="1"/>
      <c r="I45" s="1"/>
      <c r="J45" s="1"/>
    </row>
    <row r="46" spans="1:12" x14ac:dyDescent="0.25">
      <c r="A46" t="s">
        <v>20</v>
      </c>
      <c r="B46" s="1"/>
      <c r="C46" s="1"/>
      <c r="D46" s="1"/>
      <c r="E46" s="1"/>
      <c r="F46" s="1">
        <v>300</v>
      </c>
      <c r="G46" s="1"/>
      <c r="H46" s="1"/>
      <c r="I46" s="1"/>
      <c r="J46" s="1"/>
    </row>
    <row r="47" spans="1:12" x14ac:dyDescent="0.25">
      <c r="B47" s="1"/>
      <c r="C47" s="1"/>
      <c r="D47" s="1"/>
      <c r="E47" s="1"/>
      <c r="F47" s="1">
        <v>70</v>
      </c>
      <c r="G47" s="1"/>
      <c r="H47" s="1"/>
      <c r="I47" s="1"/>
      <c r="J47" s="1"/>
    </row>
    <row r="48" spans="1:12" x14ac:dyDescent="0.25">
      <c r="A48" s="1">
        <f>SUM(B46:L47)</f>
        <v>370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25"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25">
      <c r="A50" t="s">
        <v>21</v>
      </c>
      <c r="B50" s="1"/>
      <c r="C50" s="1">
        <v>328</v>
      </c>
      <c r="D50" s="1"/>
      <c r="E50" s="1"/>
      <c r="F50" s="1"/>
      <c r="G50" s="1"/>
      <c r="H50" s="1"/>
      <c r="I50" s="1"/>
      <c r="J50" s="1"/>
    </row>
    <row r="51" spans="1:10" x14ac:dyDescent="0.25"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25">
      <c r="A52" s="1">
        <f>SUM(B50:N51)</f>
        <v>328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25"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25"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25">
      <c r="A55" t="s">
        <v>38</v>
      </c>
      <c r="B55" s="1">
        <f>A5+A9+A13+A17+A21+A26+A32+A36+A40+A44+A48+A52</f>
        <v>3769</v>
      </c>
      <c r="C55" s="1"/>
      <c r="D55" s="1"/>
      <c r="E55" s="1"/>
      <c r="F55" s="1"/>
      <c r="G55" s="1"/>
      <c r="H55" s="1"/>
      <c r="I55" s="1"/>
      <c r="J55" s="1"/>
    </row>
    <row r="56" spans="1:10" x14ac:dyDescent="0.25">
      <c r="A56" t="s">
        <v>39</v>
      </c>
      <c r="B56" s="2">
        <f>B55*B60</f>
        <v>376.90000000000003</v>
      </c>
    </row>
    <row r="60" spans="1:10" x14ac:dyDescent="0.25">
      <c r="A60" t="s">
        <v>28</v>
      </c>
      <c r="B60">
        <v>0.1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2FBF-B177-4113-9F82-1D6524D1D9DB}">
  <dimension ref="A1:K89"/>
  <sheetViews>
    <sheetView workbookViewId="0">
      <pane ySplit="1" topLeftCell="A56" activePane="bottomLeft" state="frozen"/>
      <selection pane="bottomLeft" activeCell="A86" sqref="A86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/>
      <c r="C3" s="1"/>
      <c r="D3" s="1"/>
      <c r="E3" s="1"/>
      <c r="F3" s="1"/>
      <c r="G3" s="1"/>
    </row>
    <row r="4" spans="1:11" x14ac:dyDescent="0.25">
      <c r="B4" s="1"/>
      <c r="C4" s="1"/>
      <c r="D4" s="1"/>
      <c r="E4" s="1"/>
      <c r="F4" s="1"/>
      <c r="G4" s="1"/>
    </row>
    <row r="5" spans="1:11" x14ac:dyDescent="0.25">
      <c r="A5" s="1">
        <f>SUM(B3:K4)</f>
        <v>0</v>
      </c>
      <c r="B5" s="1"/>
      <c r="C5" s="1"/>
      <c r="D5" s="1"/>
      <c r="E5" s="1"/>
      <c r="F5" s="1"/>
      <c r="G5" s="1"/>
    </row>
    <row r="6" spans="1:11" x14ac:dyDescent="0.25">
      <c r="B6" s="1"/>
      <c r="C6" s="1"/>
      <c r="D6" s="1"/>
      <c r="E6" s="1"/>
      <c r="F6" s="1"/>
      <c r="G6" s="1"/>
    </row>
    <row r="7" spans="1:11" x14ac:dyDescent="0.25">
      <c r="A7" t="s">
        <v>11</v>
      </c>
      <c r="B7" s="1"/>
      <c r="C7" s="1"/>
      <c r="D7" s="1"/>
      <c r="E7" s="1">
        <v>345</v>
      </c>
      <c r="F7" s="1"/>
      <c r="G7" s="1"/>
    </row>
    <row r="8" spans="1:11" x14ac:dyDescent="0.25">
      <c r="B8" s="1"/>
      <c r="C8" s="1"/>
      <c r="D8" s="1"/>
      <c r="E8" s="1">
        <v>330</v>
      </c>
      <c r="F8" s="1"/>
      <c r="G8" s="1"/>
    </row>
    <row r="9" spans="1:11" x14ac:dyDescent="0.25">
      <c r="A9" s="1">
        <f>SUM(B7:K8)</f>
        <v>675</v>
      </c>
      <c r="B9" s="1"/>
      <c r="C9" s="1"/>
      <c r="D9" s="1"/>
      <c r="E9" s="1"/>
      <c r="F9" s="1"/>
      <c r="G9" s="1"/>
    </row>
    <row r="10" spans="1:11" x14ac:dyDescent="0.25">
      <c r="B10" s="1"/>
      <c r="C10" s="1"/>
      <c r="D10" s="1"/>
      <c r="E10" s="1"/>
      <c r="F10" s="1"/>
      <c r="G10" s="1"/>
    </row>
    <row r="11" spans="1:11" x14ac:dyDescent="0.25">
      <c r="A11" t="s">
        <v>12</v>
      </c>
      <c r="B11" s="1"/>
      <c r="C11" s="1"/>
      <c r="D11" s="1"/>
      <c r="E11" s="1"/>
      <c r="F11" s="1"/>
      <c r="G11" s="1"/>
    </row>
    <row r="12" spans="1:11" x14ac:dyDescent="0.25">
      <c r="B12" s="1"/>
      <c r="C12" s="1"/>
      <c r="D12" s="1"/>
      <c r="E12" s="1"/>
      <c r="F12" s="1"/>
      <c r="G12" s="1"/>
    </row>
    <row r="13" spans="1:11" x14ac:dyDescent="0.25">
      <c r="A13" s="1">
        <f>SUM(B10:K12)</f>
        <v>0</v>
      </c>
      <c r="B13" s="1"/>
      <c r="C13" s="1"/>
      <c r="D13" s="1"/>
      <c r="E13" s="1"/>
      <c r="F13" s="1"/>
      <c r="G13" s="1"/>
    </row>
    <row r="14" spans="1:11" x14ac:dyDescent="0.25">
      <c r="B14" s="1"/>
      <c r="C14" s="1"/>
      <c r="D14" s="1"/>
      <c r="E14" s="1"/>
      <c r="F14" s="1"/>
      <c r="G14" s="1"/>
    </row>
    <row r="15" spans="1:11" x14ac:dyDescent="0.25">
      <c r="A15" t="s">
        <v>13</v>
      </c>
      <c r="B15" s="1">
        <v>750</v>
      </c>
      <c r="C15" s="1"/>
      <c r="D15" s="1"/>
      <c r="E15" s="1">
        <v>100</v>
      </c>
      <c r="F15" s="1"/>
      <c r="G15" s="1"/>
    </row>
    <row r="16" spans="1:11" x14ac:dyDescent="0.25">
      <c r="B16" s="1">
        <v>302</v>
      </c>
      <c r="C16" s="1"/>
      <c r="D16" s="1"/>
      <c r="E16" s="1"/>
      <c r="F16" s="1"/>
      <c r="G16" s="1"/>
    </row>
    <row r="17" spans="1:11" x14ac:dyDescent="0.25">
      <c r="B17" s="1">
        <v>120</v>
      </c>
      <c r="C17" s="1"/>
      <c r="D17" s="1"/>
      <c r="E17" s="1"/>
      <c r="F17" s="1"/>
      <c r="G17" s="1"/>
    </row>
    <row r="18" spans="1:11" x14ac:dyDescent="0.25">
      <c r="A18" s="1">
        <f>SUM(B15:K16)</f>
        <v>1152</v>
      </c>
      <c r="B18" s="1"/>
      <c r="C18" s="1"/>
      <c r="D18" s="1"/>
      <c r="E18" s="1"/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t="s">
        <v>14</v>
      </c>
      <c r="B20" s="1">
        <v>561</v>
      </c>
      <c r="C20" s="1"/>
      <c r="D20" s="1"/>
      <c r="E20" s="1">
        <v>200</v>
      </c>
      <c r="F20" s="1"/>
      <c r="G20" s="1"/>
      <c r="K20" s="1"/>
    </row>
    <row r="21" spans="1:11" x14ac:dyDescent="0.25">
      <c r="B21" s="1">
        <v>356</v>
      </c>
      <c r="C21" s="1"/>
      <c r="D21" s="1"/>
      <c r="E21" s="1">
        <v>356</v>
      </c>
      <c r="F21" s="1"/>
      <c r="G21" s="1"/>
    </row>
    <row r="22" spans="1:11" x14ac:dyDescent="0.25">
      <c r="B22" s="1">
        <v>134</v>
      </c>
      <c r="C22" s="1"/>
      <c r="D22" s="1"/>
      <c r="E22" s="1"/>
      <c r="F22" s="1"/>
      <c r="G22" s="1"/>
    </row>
    <row r="23" spans="1:11" x14ac:dyDescent="0.25">
      <c r="A23" s="1">
        <f>SUM(B20:K22)</f>
        <v>1607</v>
      </c>
      <c r="B23" s="1"/>
      <c r="C23" s="1"/>
      <c r="D23" s="1"/>
      <c r="E23" s="1"/>
      <c r="F23" s="1"/>
      <c r="G23" s="1"/>
    </row>
    <row r="24" spans="1:11" x14ac:dyDescent="0.25">
      <c r="B24" s="1"/>
      <c r="C24" s="1"/>
      <c r="D24" s="1"/>
      <c r="E24" s="1"/>
      <c r="F24" s="1"/>
      <c r="G24" s="1"/>
    </row>
    <row r="25" spans="1:11" x14ac:dyDescent="0.25">
      <c r="A25" t="s">
        <v>15</v>
      </c>
      <c r="B25" s="1"/>
      <c r="C25" s="1">
        <v>248</v>
      </c>
      <c r="D25" s="1"/>
      <c r="E25" s="1">
        <v>30</v>
      </c>
      <c r="F25" s="1"/>
      <c r="G25" s="1"/>
    </row>
    <row r="26" spans="1:11" x14ac:dyDescent="0.25">
      <c r="B26" s="1"/>
      <c r="C26" s="1">
        <v>149</v>
      </c>
      <c r="D26" s="1"/>
      <c r="E26" s="1">
        <v>120</v>
      </c>
      <c r="F26" s="1"/>
      <c r="G26" s="1"/>
    </row>
    <row r="27" spans="1:11" x14ac:dyDescent="0.25">
      <c r="B27" s="1"/>
      <c r="C27" s="1">
        <v>567</v>
      </c>
      <c r="D27" s="1"/>
      <c r="E27" s="1">
        <v>130</v>
      </c>
      <c r="F27" s="1"/>
      <c r="G27" s="1"/>
    </row>
    <row r="28" spans="1:11" x14ac:dyDescent="0.25">
      <c r="A28" s="1">
        <f>SUM(B25:K27)</f>
        <v>1244</v>
      </c>
      <c r="B28" s="1"/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A30" t="s">
        <v>16</v>
      </c>
      <c r="B30" s="1">
        <v>75</v>
      </c>
      <c r="C30" s="1">
        <v>354</v>
      </c>
      <c r="D30" s="1"/>
      <c r="E30" s="1">
        <v>140</v>
      </c>
      <c r="F30" s="1"/>
      <c r="G30" s="1"/>
    </row>
    <row r="31" spans="1:11" x14ac:dyDescent="0.25">
      <c r="B31" s="1">
        <v>122</v>
      </c>
      <c r="C31" s="1"/>
      <c r="D31" s="1"/>
      <c r="E31" s="1">
        <v>110</v>
      </c>
      <c r="F31" s="1"/>
      <c r="G31" s="1"/>
    </row>
    <row r="32" spans="1:11" x14ac:dyDescent="0.25">
      <c r="B32" s="1">
        <v>36</v>
      </c>
      <c r="C32" s="1"/>
      <c r="D32" s="1"/>
      <c r="E32" s="1">
        <v>200</v>
      </c>
      <c r="F32" s="1"/>
      <c r="G32" s="1"/>
    </row>
    <row r="33" spans="1:11" x14ac:dyDescent="0.25">
      <c r="B33" s="1">
        <v>74</v>
      </c>
      <c r="C33" s="1"/>
      <c r="D33" s="1"/>
      <c r="E33" s="1"/>
      <c r="F33" s="1"/>
      <c r="G33" s="1"/>
    </row>
    <row r="34" spans="1:11" x14ac:dyDescent="0.25">
      <c r="B34" s="1">
        <v>242</v>
      </c>
      <c r="C34" s="1"/>
      <c r="D34" s="1"/>
      <c r="E34" s="1"/>
      <c r="F34" s="1"/>
      <c r="G34" s="1"/>
    </row>
    <row r="35" spans="1:11" x14ac:dyDescent="0.25">
      <c r="A35" s="1">
        <f>SUM(B30:K34)</f>
        <v>1353</v>
      </c>
      <c r="B35" s="1"/>
      <c r="C35" s="1"/>
      <c r="D35" s="1"/>
      <c r="E35" s="1"/>
      <c r="F35" s="1"/>
      <c r="G35" s="1"/>
    </row>
    <row r="36" spans="1:11" x14ac:dyDescent="0.25">
      <c r="B36" s="1"/>
      <c r="C36" s="1"/>
      <c r="D36" s="1"/>
      <c r="E36" s="1"/>
      <c r="F36" s="1"/>
      <c r="G36" s="1"/>
    </row>
    <row r="37" spans="1:11" x14ac:dyDescent="0.25">
      <c r="A37" t="s">
        <v>17</v>
      </c>
      <c r="B37" s="1"/>
      <c r="C37" s="1"/>
      <c r="D37" s="1"/>
      <c r="E37" s="1"/>
      <c r="F37" s="1"/>
      <c r="G37" s="1"/>
    </row>
    <row r="38" spans="1:11" x14ac:dyDescent="0.25">
      <c r="B38" s="1">
        <v>220</v>
      </c>
      <c r="C38" s="1"/>
      <c r="D38" s="1"/>
      <c r="E38" s="1">
        <v>40</v>
      </c>
      <c r="F38" s="1">
        <v>78</v>
      </c>
      <c r="G38" s="1"/>
      <c r="K38" s="1">
        <v>234</v>
      </c>
    </row>
    <row r="39" spans="1:11" x14ac:dyDescent="0.25">
      <c r="B39" s="1">
        <v>211</v>
      </c>
      <c r="C39" s="1"/>
      <c r="D39" s="1"/>
      <c r="E39" s="1">
        <v>165</v>
      </c>
      <c r="F39" s="1"/>
      <c r="G39" s="1"/>
    </row>
    <row r="40" spans="1:11" x14ac:dyDescent="0.25">
      <c r="B40" s="1">
        <v>91</v>
      </c>
      <c r="C40" s="1"/>
      <c r="D40" s="1"/>
      <c r="E40" s="1">
        <v>174</v>
      </c>
      <c r="F40" s="1"/>
      <c r="G40" s="1"/>
    </row>
    <row r="41" spans="1:11" x14ac:dyDescent="0.25">
      <c r="B41" s="1">
        <v>623</v>
      </c>
      <c r="C41" s="1"/>
      <c r="D41" s="1"/>
      <c r="E41" s="1"/>
      <c r="F41" s="1"/>
      <c r="G41" s="1"/>
    </row>
    <row r="42" spans="1:11" x14ac:dyDescent="0.25">
      <c r="B42" s="1">
        <v>266</v>
      </c>
      <c r="C42" s="1"/>
      <c r="D42" s="1"/>
      <c r="E42" s="1"/>
      <c r="F42" s="1"/>
      <c r="G42" s="1"/>
    </row>
    <row r="43" spans="1:11" x14ac:dyDescent="0.25">
      <c r="B43" s="1">
        <v>35</v>
      </c>
      <c r="C43" s="1"/>
      <c r="D43" s="1"/>
      <c r="E43" s="1"/>
      <c r="F43" s="1"/>
      <c r="G43" s="1"/>
    </row>
    <row r="44" spans="1:11" x14ac:dyDescent="0.25">
      <c r="B44" s="1">
        <v>132</v>
      </c>
      <c r="C44" s="1"/>
      <c r="D44" s="1"/>
      <c r="E44" s="1"/>
      <c r="F44" s="1"/>
      <c r="G44" s="1"/>
    </row>
    <row r="45" spans="1:11" x14ac:dyDescent="0.25">
      <c r="B45" s="1">
        <v>-122</v>
      </c>
      <c r="C45" s="1"/>
      <c r="D45" s="1"/>
      <c r="E45" s="1"/>
      <c r="F45" s="1"/>
      <c r="G45" s="1"/>
    </row>
    <row r="46" spans="1:11" x14ac:dyDescent="0.25">
      <c r="B46" s="1">
        <v>1725</v>
      </c>
      <c r="C46" s="1"/>
      <c r="D46" s="1"/>
      <c r="E46" s="1"/>
      <c r="F46" s="1"/>
      <c r="G46" s="1"/>
    </row>
    <row r="47" spans="1:11" x14ac:dyDescent="0.25">
      <c r="B47" s="1">
        <v>141</v>
      </c>
      <c r="C47" s="1"/>
      <c r="D47" s="1"/>
      <c r="E47" s="1"/>
      <c r="F47" s="1"/>
      <c r="G47" s="1"/>
    </row>
    <row r="48" spans="1:11" x14ac:dyDescent="0.25">
      <c r="B48" s="1">
        <v>76</v>
      </c>
      <c r="C48" s="1"/>
      <c r="D48" s="1"/>
      <c r="E48" s="1"/>
      <c r="F48" s="1"/>
      <c r="G48" s="1"/>
    </row>
    <row r="49" spans="1:10" x14ac:dyDescent="0.25">
      <c r="B49" s="1">
        <v>138</v>
      </c>
      <c r="C49" s="1"/>
      <c r="D49" s="1"/>
      <c r="E49" s="1"/>
      <c r="F49" s="1"/>
      <c r="G49" s="1"/>
    </row>
    <row r="50" spans="1:10" x14ac:dyDescent="0.25">
      <c r="B50" s="1">
        <v>85</v>
      </c>
      <c r="C50" s="1"/>
      <c r="D50" s="1"/>
      <c r="E50" s="1"/>
      <c r="F50" s="1"/>
      <c r="G50" s="1"/>
    </row>
    <row r="51" spans="1:10" x14ac:dyDescent="0.25">
      <c r="B51" s="1">
        <v>165</v>
      </c>
      <c r="C51" s="1"/>
      <c r="D51" s="1"/>
      <c r="E51" s="1"/>
      <c r="F51" s="1"/>
      <c r="G51" s="1"/>
    </row>
    <row r="52" spans="1:10" x14ac:dyDescent="0.25">
      <c r="B52" s="1">
        <v>84</v>
      </c>
      <c r="C52" s="1"/>
      <c r="D52" s="1"/>
      <c r="E52" s="1"/>
      <c r="F52" s="1"/>
      <c r="G52" s="1"/>
    </row>
    <row r="53" spans="1:10" x14ac:dyDescent="0.25">
      <c r="B53" s="1">
        <v>129</v>
      </c>
      <c r="C53" s="1"/>
      <c r="D53" s="1"/>
      <c r="E53" s="1"/>
      <c r="F53" s="1"/>
      <c r="G53" s="1"/>
    </row>
    <row r="54" spans="1:10" x14ac:dyDescent="0.25">
      <c r="A54" s="1">
        <f>SUM(B37:K52)</f>
        <v>4561</v>
      </c>
      <c r="B54" s="1"/>
      <c r="C54" s="1"/>
      <c r="D54" s="1"/>
      <c r="E54" s="1"/>
      <c r="F54" s="1"/>
      <c r="G54" s="1"/>
    </row>
    <row r="55" spans="1:10" x14ac:dyDescent="0.25">
      <c r="B55" s="1"/>
      <c r="C55" s="1"/>
      <c r="D55" s="1"/>
      <c r="E55" s="1"/>
      <c r="F55" s="1"/>
      <c r="G55" s="1"/>
      <c r="I55" s="1"/>
    </row>
    <row r="56" spans="1:10" x14ac:dyDescent="0.25">
      <c r="A56" t="s">
        <v>18</v>
      </c>
      <c r="B56" s="1"/>
      <c r="C56" s="1"/>
      <c r="D56" s="1"/>
      <c r="E56" s="1"/>
      <c r="F56" s="1"/>
      <c r="G56" s="1"/>
      <c r="I56" s="1"/>
    </row>
    <row r="57" spans="1:10" x14ac:dyDescent="0.25">
      <c r="B57" s="1">
        <v>22</v>
      </c>
      <c r="C57" s="1"/>
      <c r="D57" s="1"/>
      <c r="E57" s="1">
        <v>150</v>
      </c>
      <c r="F57" s="1"/>
      <c r="G57" s="1"/>
      <c r="I57" s="1"/>
      <c r="J57" s="1">
        <v>443</v>
      </c>
    </row>
    <row r="58" spans="1:10" x14ac:dyDescent="0.25">
      <c r="B58" s="1">
        <v>67</v>
      </c>
      <c r="C58" s="1"/>
      <c r="D58" s="1"/>
      <c r="E58" s="1"/>
      <c r="F58" s="1"/>
      <c r="G58" s="1"/>
      <c r="I58" s="1"/>
    </row>
    <row r="59" spans="1:10" x14ac:dyDescent="0.25">
      <c r="B59" s="1">
        <v>138</v>
      </c>
      <c r="C59" s="1"/>
      <c r="D59" s="1"/>
      <c r="E59" s="1"/>
      <c r="F59" s="1"/>
      <c r="G59" s="1"/>
      <c r="I59" s="1"/>
    </row>
    <row r="60" spans="1:10" x14ac:dyDescent="0.25">
      <c r="B60" s="1">
        <v>323</v>
      </c>
      <c r="C60" s="1"/>
      <c r="D60" s="1"/>
      <c r="E60" s="1"/>
      <c r="F60" s="1"/>
      <c r="G60" s="1"/>
      <c r="I60" s="1"/>
    </row>
    <row r="61" spans="1:10" x14ac:dyDescent="0.25">
      <c r="B61" s="1">
        <v>323</v>
      </c>
      <c r="C61" s="1"/>
      <c r="D61" s="1"/>
      <c r="E61" s="1"/>
      <c r="F61" s="1"/>
      <c r="G61" s="1"/>
      <c r="I61" s="1"/>
    </row>
    <row r="62" spans="1:10" x14ac:dyDescent="0.25">
      <c r="B62" s="1">
        <v>35</v>
      </c>
      <c r="C62" s="1"/>
      <c r="D62" s="1"/>
      <c r="E62" s="1"/>
      <c r="F62" s="1"/>
      <c r="G62" s="1"/>
      <c r="I62" s="1"/>
    </row>
    <row r="63" spans="1:10" x14ac:dyDescent="0.25">
      <c r="B63" s="1">
        <v>111</v>
      </c>
      <c r="C63" s="1"/>
      <c r="D63" s="1"/>
      <c r="E63" s="1"/>
      <c r="F63" s="1"/>
      <c r="G63" s="1"/>
      <c r="I63" s="1"/>
    </row>
    <row r="64" spans="1:10" x14ac:dyDescent="0.25">
      <c r="B64" s="1">
        <v>1092</v>
      </c>
      <c r="C64" s="1"/>
      <c r="D64" s="1"/>
      <c r="E64" s="1"/>
      <c r="F64" s="1"/>
      <c r="G64" s="1"/>
      <c r="I64" s="1"/>
    </row>
    <row r="65" spans="1:10" x14ac:dyDescent="0.25">
      <c r="B65" s="1"/>
      <c r="C65" s="1"/>
      <c r="D65" s="1"/>
      <c r="E65" s="1"/>
      <c r="F65" s="1"/>
      <c r="G65" s="1"/>
    </row>
    <row r="66" spans="1:10" x14ac:dyDescent="0.25">
      <c r="A66" s="1">
        <f>SUM(B56:K65)</f>
        <v>2704</v>
      </c>
      <c r="B66" s="1"/>
      <c r="C66" s="1"/>
      <c r="D66" s="1"/>
      <c r="E66" s="1"/>
      <c r="F66" s="1"/>
      <c r="G66" s="1"/>
    </row>
    <row r="67" spans="1:10" x14ac:dyDescent="0.25">
      <c r="B67" s="1"/>
      <c r="C67" s="1"/>
      <c r="D67" s="1"/>
      <c r="E67" s="1"/>
      <c r="F67" s="1"/>
      <c r="G67" s="1"/>
    </row>
    <row r="68" spans="1:10" x14ac:dyDescent="0.25">
      <c r="A68" t="s">
        <v>19</v>
      </c>
      <c r="B68" s="1"/>
      <c r="C68" s="1">
        <v>474</v>
      </c>
      <c r="D68" s="1"/>
      <c r="E68" s="1">
        <v>40</v>
      </c>
      <c r="F68" s="1"/>
      <c r="G68" s="1"/>
      <c r="J68" s="1">
        <v>-443</v>
      </c>
    </row>
    <row r="69" spans="1:10" x14ac:dyDescent="0.25">
      <c r="B69" s="1"/>
      <c r="C69" s="1"/>
      <c r="D69" s="1"/>
      <c r="E69" s="1">
        <v>172</v>
      </c>
      <c r="F69" s="1"/>
      <c r="G69" s="1"/>
    </row>
    <row r="70" spans="1:10" x14ac:dyDescent="0.25">
      <c r="B70" s="1"/>
      <c r="C70" s="1"/>
      <c r="D70" s="1"/>
      <c r="E70" s="1">
        <v>100</v>
      </c>
      <c r="F70" s="1"/>
      <c r="G70" s="1"/>
    </row>
    <row r="71" spans="1:10" x14ac:dyDescent="0.25">
      <c r="A71" s="1">
        <f>SUM(B68:K70)</f>
        <v>343</v>
      </c>
      <c r="B71" s="1"/>
      <c r="C71" s="1"/>
      <c r="D71" s="1"/>
      <c r="E71" s="1"/>
      <c r="F71" s="1"/>
      <c r="G71" s="1"/>
    </row>
    <row r="72" spans="1:10" x14ac:dyDescent="0.25">
      <c r="B72" s="1"/>
      <c r="C72" s="1"/>
      <c r="D72" s="1"/>
      <c r="E72" s="1"/>
      <c r="F72" s="1"/>
      <c r="G72" s="1"/>
    </row>
    <row r="73" spans="1:10" x14ac:dyDescent="0.25">
      <c r="A73" t="s">
        <v>20</v>
      </c>
      <c r="B73" s="1">
        <v>-1068</v>
      </c>
      <c r="C73" s="1"/>
      <c r="D73" s="1"/>
      <c r="E73" s="1">
        <v>130</v>
      </c>
      <c r="F73" s="1">
        <v>110</v>
      </c>
      <c r="G73" s="1"/>
    </row>
    <row r="74" spans="1:10" x14ac:dyDescent="0.25">
      <c r="B74" s="1">
        <v>1126</v>
      </c>
      <c r="C74" s="1"/>
      <c r="D74" s="1"/>
      <c r="E74" s="1">
        <v>-149</v>
      </c>
      <c r="F74" s="1">
        <v>192</v>
      </c>
      <c r="G74" s="1"/>
    </row>
    <row r="75" spans="1:10" x14ac:dyDescent="0.25">
      <c r="B75" s="1">
        <v>193</v>
      </c>
      <c r="C75" s="1"/>
      <c r="D75" s="1"/>
      <c r="E75" s="1">
        <v>149</v>
      </c>
      <c r="F75" s="1"/>
      <c r="G75" s="1"/>
    </row>
    <row r="76" spans="1:10" x14ac:dyDescent="0.25">
      <c r="B76" s="1"/>
      <c r="C76" s="1"/>
      <c r="D76" s="1"/>
      <c r="E76" s="1">
        <v>85</v>
      </c>
      <c r="F76" s="1"/>
      <c r="G76" s="1"/>
    </row>
    <row r="77" spans="1:10" x14ac:dyDescent="0.25">
      <c r="A77" s="1">
        <f>SUM(B73:K76)</f>
        <v>768</v>
      </c>
      <c r="B77" s="1"/>
      <c r="C77" s="1"/>
      <c r="D77" s="1"/>
      <c r="E77" s="1"/>
      <c r="F77" s="1"/>
      <c r="G77" s="1"/>
    </row>
    <row r="78" spans="1:10" x14ac:dyDescent="0.25">
      <c r="B78" s="1"/>
      <c r="C78" s="1"/>
      <c r="D78" s="1"/>
      <c r="E78" s="1"/>
      <c r="F78" s="1"/>
      <c r="G78" s="1"/>
    </row>
    <row r="79" spans="1:10" x14ac:dyDescent="0.25">
      <c r="A79" t="s">
        <v>21</v>
      </c>
      <c r="B79" s="1">
        <v>766</v>
      </c>
      <c r="C79" s="1"/>
      <c r="D79" s="1"/>
      <c r="E79" s="1"/>
      <c r="F79" s="1"/>
      <c r="G79" s="1"/>
    </row>
    <row r="80" spans="1:10" x14ac:dyDescent="0.25">
      <c r="B80" s="1"/>
      <c r="C80" s="1"/>
      <c r="D80" s="1"/>
      <c r="E80" s="1"/>
      <c r="F80" s="1"/>
      <c r="G80" s="1"/>
    </row>
    <row r="81" spans="1:7" x14ac:dyDescent="0.25">
      <c r="A81" s="1">
        <f>SUM(B79:K80)</f>
        <v>766</v>
      </c>
      <c r="B81" s="1"/>
      <c r="C81" s="1"/>
      <c r="D81" s="1"/>
      <c r="E81" s="1"/>
      <c r="F81" s="1"/>
      <c r="G81" s="1"/>
    </row>
    <row r="82" spans="1:7" x14ac:dyDescent="0.25">
      <c r="B82" s="1"/>
      <c r="C82" s="1"/>
      <c r="D82" s="1"/>
      <c r="E82" s="1"/>
      <c r="F82" s="1"/>
      <c r="G82" s="1"/>
    </row>
    <row r="83" spans="1:7" x14ac:dyDescent="0.25">
      <c r="B83" s="1"/>
      <c r="C83" s="1"/>
      <c r="D83" s="1"/>
      <c r="E83" s="1"/>
      <c r="F83" s="1"/>
      <c r="G83" s="1"/>
    </row>
    <row r="84" spans="1:7" x14ac:dyDescent="0.25">
      <c r="A84" t="s">
        <v>36</v>
      </c>
      <c r="B84" s="1">
        <f>A5+A9+A13+A18+A23+A28+A35+A54+A66+A71+A77+A81</f>
        <v>15173</v>
      </c>
      <c r="C84" s="1"/>
      <c r="D84" s="1"/>
      <c r="E84" s="1"/>
      <c r="F84" s="1"/>
      <c r="G84" s="1"/>
    </row>
    <row r="85" spans="1:7" x14ac:dyDescent="0.25">
      <c r="A85" t="s">
        <v>37</v>
      </c>
      <c r="B85" s="2">
        <f>B84*B89</f>
        <v>1517.3000000000002</v>
      </c>
    </row>
    <row r="89" spans="1:7" x14ac:dyDescent="0.25">
      <c r="A89" t="s">
        <v>28</v>
      </c>
      <c r="B89">
        <v>0.1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F986-DEFD-449F-97C7-B60563F219BC}">
  <dimension ref="A1:K105"/>
  <sheetViews>
    <sheetView workbookViewId="0">
      <pane ySplit="1" topLeftCell="A77" activePane="bottomLeft" state="frozen"/>
      <selection pane="bottomLeft" activeCell="A100" sqref="A100:B105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>
        <v>160</v>
      </c>
      <c r="C3" s="1"/>
      <c r="D3" s="1"/>
      <c r="E3" s="1">
        <v>257</v>
      </c>
      <c r="F3" s="1">
        <v>75</v>
      </c>
      <c r="G3" s="1"/>
    </row>
    <row r="4" spans="1:11" x14ac:dyDescent="0.25">
      <c r="B4" s="1">
        <v>160</v>
      </c>
      <c r="C4" s="1"/>
      <c r="D4" s="1"/>
      <c r="E4" s="1"/>
      <c r="F4" s="1"/>
      <c r="G4" s="1"/>
    </row>
    <row r="5" spans="1:11" x14ac:dyDescent="0.25">
      <c r="B5" s="1">
        <v>67</v>
      </c>
      <c r="C5" s="1"/>
      <c r="D5" s="1"/>
      <c r="E5" s="1"/>
      <c r="F5" s="1"/>
      <c r="G5" s="1"/>
    </row>
    <row r="6" spans="1:11" x14ac:dyDescent="0.25">
      <c r="B6" s="1">
        <v>136</v>
      </c>
      <c r="C6" s="1"/>
      <c r="D6" s="1"/>
      <c r="E6" s="1"/>
      <c r="F6" s="1"/>
      <c r="G6" s="1"/>
    </row>
    <row r="7" spans="1:11" x14ac:dyDescent="0.25">
      <c r="B7" s="1">
        <v>45</v>
      </c>
      <c r="C7" s="1"/>
      <c r="D7" s="1"/>
      <c r="E7" s="1"/>
      <c r="F7" s="1"/>
      <c r="G7" s="1"/>
    </row>
    <row r="8" spans="1:11" x14ac:dyDescent="0.25">
      <c r="B8" s="1">
        <v>135</v>
      </c>
      <c r="C8" s="1"/>
      <c r="D8" s="1"/>
      <c r="E8" s="1"/>
      <c r="F8" s="1"/>
      <c r="G8" s="1"/>
    </row>
    <row r="9" spans="1:11" x14ac:dyDescent="0.25">
      <c r="B9" s="1">
        <v>55</v>
      </c>
      <c r="C9" s="1"/>
      <c r="D9" s="1"/>
      <c r="E9" s="1"/>
      <c r="F9" s="1"/>
      <c r="G9" s="1"/>
    </row>
    <row r="10" spans="1:11" x14ac:dyDescent="0.25">
      <c r="A10" s="1">
        <f>SUM(B3:K9)</f>
        <v>1090</v>
      </c>
      <c r="B10" s="1"/>
      <c r="C10" s="1"/>
      <c r="D10" s="1"/>
      <c r="E10" s="1"/>
      <c r="F10" s="1"/>
      <c r="G10" s="1"/>
    </row>
    <row r="11" spans="1:11" x14ac:dyDescent="0.25">
      <c r="B11" s="1"/>
      <c r="C11" s="1"/>
      <c r="D11" s="1"/>
      <c r="E11" s="1"/>
      <c r="F11" s="1"/>
      <c r="G11" s="1"/>
    </row>
    <row r="12" spans="1:11" x14ac:dyDescent="0.25">
      <c r="A12" t="s">
        <v>11</v>
      </c>
      <c r="B12" s="1">
        <v>99</v>
      </c>
      <c r="C12" s="1">
        <v>1115</v>
      </c>
      <c r="D12" s="1"/>
      <c r="E12" s="1">
        <v>120</v>
      </c>
      <c r="F12" s="1"/>
      <c r="G12" s="1"/>
    </row>
    <row r="13" spans="1:11" x14ac:dyDescent="0.25">
      <c r="B13" s="1">
        <v>70</v>
      </c>
      <c r="C13" s="1"/>
      <c r="D13" s="1"/>
      <c r="E13" s="1">
        <v>300</v>
      </c>
      <c r="F13" s="1"/>
      <c r="G13" s="1"/>
    </row>
    <row r="14" spans="1:11" x14ac:dyDescent="0.25">
      <c r="B14" s="1">
        <v>120</v>
      </c>
      <c r="C14" s="1"/>
      <c r="D14" s="1"/>
      <c r="E14" s="1">
        <v>130</v>
      </c>
      <c r="F14" s="1"/>
      <c r="G14" s="1"/>
    </row>
    <row r="15" spans="1:11" x14ac:dyDescent="0.25">
      <c r="B15" s="1">
        <v>122</v>
      </c>
      <c r="C15" s="1"/>
      <c r="D15" s="1"/>
      <c r="E15" s="1">
        <v>150</v>
      </c>
      <c r="F15" s="1"/>
      <c r="G15" s="1"/>
    </row>
    <row r="16" spans="1:11" x14ac:dyDescent="0.25">
      <c r="B16" s="1">
        <v>127</v>
      </c>
      <c r="C16" s="1"/>
      <c r="D16" s="1"/>
      <c r="E16" s="1"/>
      <c r="F16" s="1"/>
      <c r="G16" s="1"/>
    </row>
    <row r="17" spans="1:11" x14ac:dyDescent="0.25">
      <c r="B17" s="1">
        <v>183</v>
      </c>
      <c r="C17" s="1"/>
      <c r="D17" s="1"/>
      <c r="E17" s="1"/>
      <c r="F17" s="1"/>
      <c r="G17" s="1"/>
    </row>
    <row r="18" spans="1:11" x14ac:dyDescent="0.25">
      <c r="A18" s="1">
        <f>SUM(B12:K17)</f>
        <v>2536</v>
      </c>
      <c r="B18" s="1"/>
      <c r="C18" s="1"/>
      <c r="D18" s="1"/>
      <c r="E18" s="1"/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t="s">
        <v>12</v>
      </c>
      <c r="B20" s="1">
        <v>127</v>
      </c>
      <c r="C20" s="1"/>
      <c r="D20" s="1"/>
      <c r="E20" s="1">
        <v>100</v>
      </c>
      <c r="F20" s="1"/>
      <c r="G20" s="1"/>
    </row>
    <row r="21" spans="1:11" x14ac:dyDescent="0.25">
      <c r="B21" s="1">
        <v>275</v>
      </c>
      <c r="C21" s="1"/>
      <c r="D21" s="1"/>
      <c r="E21" s="1"/>
      <c r="F21" s="1"/>
      <c r="G21" s="1"/>
    </row>
    <row r="22" spans="1:11" x14ac:dyDescent="0.25">
      <c r="B22" s="1">
        <v>89</v>
      </c>
      <c r="C22" s="1"/>
      <c r="D22" s="1"/>
      <c r="E22" s="1"/>
      <c r="F22" s="1"/>
      <c r="G22" s="1"/>
    </row>
    <row r="23" spans="1:11" x14ac:dyDescent="0.25">
      <c r="B23" s="1">
        <v>66</v>
      </c>
      <c r="C23" s="1"/>
      <c r="D23" s="1"/>
      <c r="E23" s="1"/>
      <c r="F23" s="1"/>
      <c r="G23" s="1"/>
    </row>
    <row r="24" spans="1:11" x14ac:dyDescent="0.25">
      <c r="B24" s="1">
        <v>-40</v>
      </c>
      <c r="C24" s="1"/>
      <c r="D24" s="1"/>
      <c r="E24" s="1"/>
      <c r="F24" s="1"/>
      <c r="G24" s="1"/>
    </row>
    <row r="25" spans="1:11" x14ac:dyDescent="0.25">
      <c r="A25" s="1">
        <f>SUM(B19:K24)</f>
        <v>617</v>
      </c>
      <c r="B25" s="1"/>
      <c r="C25" s="1"/>
      <c r="D25" s="1"/>
      <c r="E25" s="1"/>
      <c r="F25" s="1"/>
      <c r="G25" s="1"/>
    </row>
    <row r="26" spans="1:11" x14ac:dyDescent="0.25">
      <c r="B26" s="1"/>
      <c r="C26" s="1"/>
      <c r="D26" s="1"/>
      <c r="E26" s="1"/>
      <c r="F26" s="1"/>
      <c r="G26" s="1"/>
    </row>
    <row r="27" spans="1:11" x14ac:dyDescent="0.25">
      <c r="A27" t="s">
        <v>13</v>
      </c>
      <c r="B27" s="1">
        <v>241</v>
      </c>
      <c r="C27" s="1"/>
      <c r="D27" s="1"/>
      <c r="E27" s="1"/>
      <c r="F27" s="1">
        <v>449</v>
      </c>
      <c r="G27" s="1"/>
    </row>
    <row r="28" spans="1:11" x14ac:dyDescent="0.25">
      <c r="B28" s="1">
        <v>66</v>
      </c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A30" s="1">
        <f>SUM(B27:K28)</f>
        <v>756</v>
      </c>
      <c r="B30" s="1"/>
      <c r="C30" s="1"/>
      <c r="D30" s="1"/>
      <c r="E30" s="1"/>
      <c r="F30" s="1"/>
      <c r="G30" s="1"/>
    </row>
    <row r="31" spans="1:11" x14ac:dyDescent="0.25">
      <c r="B31" s="1"/>
      <c r="C31" s="1"/>
      <c r="D31" s="1"/>
      <c r="E31" s="1"/>
      <c r="F31" s="1"/>
      <c r="G31" s="1"/>
    </row>
    <row r="32" spans="1:11" x14ac:dyDescent="0.25">
      <c r="A32" t="s">
        <v>14</v>
      </c>
      <c r="B32" s="1">
        <v>95</v>
      </c>
      <c r="C32" s="1"/>
      <c r="D32" s="1"/>
      <c r="E32" s="1">
        <v>150</v>
      </c>
      <c r="F32" s="1"/>
      <c r="G32" s="1"/>
      <c r="K32" s="1"/>
    </row>
    <row r="33" spans="1:7" x14ac:dyDescent="0.25">
      <c r="B33" s="1">
        <v>288</v>
      </c>
      <c r="C33" s="1"/>
      <c r="D33" s="1"/>
      <c r="E33" s="1">
        <v>200</v>
      </c>
      <c r="F33" s="1"/>
      <c r="G33" s="1"/>
    </row>
    <row r="34" spans="1:7" x14ac:dyDescent="0.25">
      <c r="B34" s="1"/>
      <c r="C34" s="1"/>
      <c r="D34" s="1"/>
      <c r="E34" s="1">
        <v>100</v>
      </c>
      <c r="F34" s="1"/>
      <c r="G34" s="1"/>
    </row>
    <row r="35" spans="1:7" x14ac:dyDescent="0.25">
      <c r="B35" s="1"/>
      <c r="C35" s="1"/>
      <c r="D35" s="1"/>
      <c r="E35" s="1">
        <v>310</v>
      </c>
      <c r="F35" s="1"/>
      <c r="G35" s="1"/>
    </row>
    <row r="36" spans="1:7" x14ac:dyDescent="0.25">
      <c r="B36" s="1"/>
      <c r="C36" s="1"/>
      <c r="D36" s="1"/>
      <c r="E36" s="1">
        <v>200</v>
      </c>
      <c r="F36" s="1"/>
      <c r="G36" s="1"/>
    </row>
    <row r="37" spans="1:7" x14ac:dyDescent="0.25">
      <c r="B37" s="1"/>
      <c r="C37" s="1"/>
      <c r="D37" s="1"/>
      <c r="E37" s="1">
        <v>80</v>
      </c>
      <c r="F37" s="1"/>
      <c r="G37" s="1"/>
    </row>
    <row r="38" spans="1:7" x14ac:dyDescent="0.25">
      <c r="B38" s="1"/>
      <c r="C38" s="1"/>
      <c r="D38" s="1"/>
      <c r="E38" s="1">
        <v>40</v>
      </c>
      <c r="F38" s="1"/>
      <c r="G38" s="1"/>
    </row>
    <row r="39" spans="1:7" x14ac:dyDescent="0.25">
      <c r="A39" s="1">
        <f>SUM(B32:K38)</f>
        <v>1463</v>
      </c>
      <c r="B39" s="1"/>
      <c r="C39" s="1"/>
      <c r="D39" s="1"/>
      <c r="E39" s="1"/>
      <c r="F39" s="1"/>
      <c r="G39" s="1"/>
    </row>
    <row r="40" spans="1:7" x14ac:dyDescent="0.25">
      <c r="B40" s="1"/>
      <c r="C40" s="1"/>
      <c r="D40" s="1"/>
      <c r="E40" s="1"/>
      <c r="F40" s="1"/>
      <c r="G40" s="1"/>
    </row>
    <row r="41" spans="1:7" x14ac:dyDescent="0.25">
      <c r="A41" t="s">
        <v>15</v>
      </c>
      <c r="B41" s="1"/>
      <c r="C41" s="1"/>
      <c r="D41" s="1"/>
      <c r="E41" s="1"/>
      <c r="F41" s="1"/>
      <c r="G41" s="1"/>
    </row>
    <row r="42" spans="1:7" x14ac:dyDescent="0.25">
      <c r="B42" s="1"/>
      <c r="C42" s="1"/>
      <c r="D42" s="1"/>
      <c r="E42" s="1"/>
      <c r="F42" s="1"/>
      <c r="G42" s="1"/>
    </row>
    <row r="43" spans="1:7" x14ac:dyDescent="0.25">
      <c r="A43" s="1">
        <f>SUM(B41:K42)</f>
        <v>0</v>
      </c>
      <c r="B43" s="1"/>
      <c r="C43" s="1"/>
      <c r="D43" s="1"/>
      <c r="E43" s="1"/>
      <c r="F43" s="1"/>
      <c r="G43" s="1"/>
    </row>
    <row r="44" spans="1:7" x14ac:dyDescent="0.25">
      <c r="B44" s="1"/>
      <c r="C44" s="1"/>
      <c r="D44" s="1"/>
      <c r="E44" s="1"/>
      <c r="F44" s="1"/>
      <c r="G44" s="1"/>
    </row>
    <row r="45" spans="1:7" x14ac:dyDescent="0.25">
      <c r="A45" t="s">
        <v>16</v>
      </c>
      <c r="B45" s="1"/>
      <c r="C45" s="1"/>
      <c r="D45" s="1"/>
      <c r="E45" s="1">
        <v>130</v>
      </c>
      <c r="F45" s="1"/>
      <c r="G45" s="1"/>
    </row>
    <row r="46" spans="1:7" x14ac:dyDescent="0.25">
      <c r="B46" s="1"/>
      <c r="C46" s="1"/>
      <c r="D46" s="1"/>
      <c r="E46" s="1">
        <v>149</v>
      </c>
      <c r="F46" s="1"/>
      <c r="G46" s="1"/>
    </row>
    <row r="47" spans="1:7" x14ac:dyDescent="0.25">
      <c r="B47" s="1"/>
      <c r="C47" s="1"/>
      <c r="D47" s="1"/>
      <c r="E47" s="1">
        <v>210</v>
      </c>
      <c r="F47" s="1"/>
      <c r="G47" s="1"/>
    </row>
    <row r="48" spans="1:7" x14ac:dyDescent="0.25">
      <c r="B48" s="1"/>
      <c r="C48" s="1"/>
      <c r="D48" s="1"/>
      <c r="E48" s="1">
        <v>300</v>
      </c>
      <c r="F48" s="1"/>
      <c r="G48" s="1"/>
    </row>
    <row r="49" spans="1:11" x14ac:dyDescent="0.25">
      <c r="B49" s="1"/>
      <c r="C49" s="1"/>
      <c r="D49" s="1"/>
      <c r="E49" s="1"/>
      <c r="F49" s="1"/>
      <c r="G49" s="1"/>
    </row>
    <row r="50" spans="1:11" x14ac:dyDescent="0.25">
      <c r="A50" s="1">
        <f>SUM(B45:K49)</f>
        <v>789</v>
      </c>
      <c r="B50" s="1"/>
      <c r="C50" s="1"/>
      <c r="D50" s="1"/>
      <c r="E50" s="1"/>
      <c r="F50" s="1"/>
      <c r="G50" s="1"/>
    </row>
    <row r="51" spans="1:11" x14ac:dyDescent="0.25">
      <c r="B51" s="1"/>
      <c r="C51" s="1"/>
      <c r="D51" s="1"/>
      <c r="E51" s="1"/>
      <c r="F51" s="1"/>
      <c r="G51" s="1"/>
    </row>
    <row r="52" spans="1:11" x14ac:dyDescent="0.25">
      <c r="A52" t="s">
        <v>17</v>
      </c>
      <c r="B52" s="1"/>
      <c r="C52" s="1"/>
      <c r="D52" s="1"/>
      <c r="E52" s="1"/>
      <c r="F52" s="1"/>
      <c r="G52" s="1"/>
    </row>
    <row r="53" spans="1:11" x14ac:dyDescent="0.25">
      <c r="B53" s="1">
        <v>1225</v>
      </c>
      <c r="C53" s="1"/>
      <c r="D53" s="1"/>
      <c r="E53" s="1">
        <v>70</v>
      </c>
      <c r="F53" s="1">
        <v>155</v>
      </c>
      <c r="G53" s="1"/>
      <c r="K53" s="1"/>
    </row>
    <row r="54" spans="1:11" x14ac:dyDescent="0.25">
      <c r="B54" s="1"/>
      <c r="C54" s="1"/>
      <c r="D54" s="1"/>
      <c r="E54" s="1">
        <v>300</v>
      </c>
      <c r="F54" s="1">
        <v>250</v>
      </c>
      <c r="G54" s="1"/>
    </row>
    <row r="55" spans="1:11" x14ac:dyDescent="0.25">
      <c r="B55" s="1"/>
      <c r="C55" s="1"/>
      <c r="D55" s="1"/>
      <c r="E55" s="1">
        <v>200</v>
      </c>
      <c r="F55" s="1">
        <v>261</v>
      </c>
      <c r="G55" s="1"/>
    </row>
    <row r="56" spans="1:11" x14ac:dyDescent="0.25">
      <c r="B56" s="1"/>
      <c r="C56" s="1"/>
      <c r="D56" s="1"/>
      <c r="E56" s="1">
        <v>70</v>
      </c>
      <c r="F56" s="1"/>
      <c r="G56" s="1"/>
    </row>
    <row r="57" spans="1:11" x14ac:dyDescent="0.25">
      <c r="B57" s="1"/>
      <c r="C57" s="1"/>
      <c r="D57" s="1"/>
      <c r="E57" s="1">
        <v>115</v>
      </c>
      <c r="F57" s="1"/>
      <c r="G57" s="1"/>
    </row>
    <row r="58" spans="1:11" x14ac:dyDescent="0.25">
      <c r="B58" s="1"/>
      <c r="C58" s="1"/>
      <c r="D58" s="1"/>
      <c r="E58" s="1">
        <v>100</v>
      </c>
      <c r="F58" s="1"/>
      <c r="G58" s="1"/>
    </row>
    <row r="59" spans="1:11" x14ac:dyDescent="0.25">
      <c r="B59" s="1"/>
      <c r="C59" s="1"/>
      <c r="D59" s="1"/>
      <c r="E59" s="1"/>
      <c r="F59" s="1"/>
      <c r="G59" s="1"/>
    </row>
    <row r="60" spans="1:11" x14ac:dyDescent="0.25">
      <c r="A60" s="1">
        <f>SUM(B53:K59)</f>
        <v>2746</v>
      </c>
      <c r="B60" s="1"/>
      <c r="C60" s="1"/>
      <c r="D60" s="1"/>
      <c r="E60" s="1"/>
      <c r="F60" s="1"/>
      <c r="G60" s="1"/>
    </row>
    <row r="61" spans="1:11" x14ac:dyDescent="0.25">
      <c r="B61" s="1"/>
      <c r="C61" s="1"/>
      <c r="D61" s="1"/>
      <c r="E61" s="1"/>
      <c r="F61" s="1"/>
      <c r="G61" s="1"/>
      <c r="I61" s="1"/>
    </row>
    <row r="62" spans="1:11" x14ac:dyDescent="0.25">
      <c r="A62" t="s">
        <v>18</v>
      </c>
      <c r="B62" s="1"/>
      <c r="C62" s="1"/>
      <c r="D62" s="1"/>
      <c r="E62" s="1"/>
      <c r="F62" s="1"/>
      <c r="G62" s="1"/>
      <c r="I62" s="1"/>
    </row>
    <row r="63" spans="1:11" x14ac:dyDescent="0.25">
      <c r="B63" s="1">
        <v>477</v>
      </c>
      <c r="C63" s="1"/>
      <c r="D63" s="1"/>
      <c r="E63" s="1">
        <v>30</v>
      </c>
      <c r="F63" s="1"/>
      <c r="G63" s="1"/>
      <c r="I63" s="1"/>
      <c r="J63" s="1"/>
    </row>
    <row r="64" spans="1:11" x14ac:dyDescent="0.25">
      <c r="B64" s="1">
        <v>275</v>
      </c>
      <c r="C64" s="1"/>
      <c r="D64" s="1"/>
      <c r="E64" s="1"/>
      <c r="F64" s="1"/>
      <c r="G64" s="1"/>
      <c r="I64" s="1"/>
    </row>
    <row r="65" spans="1:10" x14ac:dyDescent="0.25">
      <c r="B65" s="1">
        <v>80</v>
      </c>
      <c r="C65" s="1"/>
      <c r="D65" s="1"/>
      <c r="E65" s="1"/>
      <c r="F65" s="1"/>
      <c r="G65" s="1"/>
      <c r="I65" s="1"/>
    </row>
    <row r="66" spans="1:10" x14ac:dyDescent="0.25">
      <c r="B66" s="1"/>
      <c r="C66" s="1"/>
      <c r="D66" s="1"/>
      <c r="E66" s="1"/>
      <c r="F66" s="1"/>
      <c r="G66" s="1"/>
    </row>
    <row r="67" spans="1:10" x14ac:dyDescent="0.25">
      <c r="A67" s="1">
        <f>SUM(B62:K66)</f>
        <v>862</v>
      </c>
      <c r="B67" s="1"/>
      <c r="C67" s="1"/>
      <c r="D67" s="1"/>
      <c r="E67" s="1"/>
      <c r="F67" s="1"/>
      <c r="G67" s="1"/>
    </row>
    <row r="68" spans="1:10" x14ac:dyDescent="0.25">
      <c r="B68" s="1"/>
      <c r="C68" s="1"/>
      <c r="D68" s="1"/>
      <c r="E68" s="1"/>
      <c r="F68" s="1"/>
      <c r="G68" s="1"/>
    </row>
    <row r="69" spans="1:10" x14ac:dyDescent="0.25">
      <c r="A69" t="s">
        <v>19</v>
      </c>
      <c r="B69" s="1">
        <v>102</v>
      </c>
      <c r="C69" s="1"/>
      <c r="D69" s="1"/>
      <c r="E69" s="1">
        <v>150</v>
      </c>
      <c r="F69" s="1">
        <v>75</v>
      </c>
      <c r="G69" s="1"/>
      <c r="J69" s="1"/>
    </row>
    <row r="70" spans="1:10" x14ac:dyDescent="0.25">
      <c r="B70" s="1">
        <v>35</v>
      </c>
      <c r="C70" s="1"/>
      <c r="D70" s="1"/>
      <c r="E70" s="1"/>
      <c r="F70" s="1"/>
      <c r="G70" s="1"/>
    </row>
    <row r="71" spans="1:10" x14ac:dyDescent="0.25">
      <c r="B71" s="1">
        <v>116</v>
      </c>
      <c r="C71" s="1"/>
      <c r="D71" s="1"/>
      <c r="E71" s="1"/>
      <c r="F71" s="1"/>
      <c r="G71" s="1"/>
    </row>
    <row r="72" spans="1:10" x14ac:dyDescent="0.25">
      <c r="A72" s="1">
        <f>SUM(B69:K71)</f>
        <v>478</v>
      </c>
      <c r="B72" s="1"/>
      <c r="C72" s="1"/>
      <c r="D72" s="1"/>
      <c r="E72" s="1"/>
      <c r="F72" s="1"/>
      <c r="G72" s="1"/>
    </row>
    <row r="73" spans="1:10" x14ac:dyDescent="0.25">
      <c r="B73" s="1"/>
      <c r="C73" s="1"/>
      <c r="D73" s="1"/>
      <c r="E73" s="1"/>
      <c r="F73" s="1"/>
      <c r="G73" s="1"/>
    </row>
    <row r="74" spans="1:10" x14ac:dyDescent="0.25">
      <c r="A74" t="s">
        <v>20</v>
      </c>
      <c r="B74" s="1"/>
      <c r="C74" s="1"/>
      <c r="D74" s="1"/>
      <c r="E74" s="1">
        <v>80</v>
      </c>
      <c r="F74" s="1"/>
      <c r="G74" s="1"/>
    </row>
    <row r="75" spans="1:10" x14ac:dyDescent="0.25">
      <c r="B75" s="1"/>
      <c r="C75" s="1"/>
      <c r="D75" s="1"/>
      <c r="E75" s="1"/>
      <c r="F75" s="1"/>
      <c r="G75" s="1"/>
    </row>
    <row r="76" spans="1:10" x14ac:dyDescent="0.25">
      <c r="A76" s="1">
        <f>SUM(B74:K75)</f>
        <v>80</v>
      </c>
      <c r="B76" s="1"/>
      <c r="C76" s="1"/>
      <c r="D76" s="1"/>
      <c r="E76" s="1"/>
      <c r="F76" s="1"/>
      <c r="G76" s="1"/>
    </row>
    <row r="77" spans="1:10" x14ac:dyDescent="0.25">
      <c r="B77" s="1"/>
      <c r="C77" s="1"/>
      <c r="D77" s="1"/>
      <c r="E77" s="1"/>
      <c r="F77" s="1"/>
      <c r="G77" s="1"/>
    </row>
    <row r="78" spans="1:10" x14ac:dyDescent="0.25">
      <c r="A78" t="s">
        <v>21</v>
      </c>
      <c r="B78" s="1">
        <v>286</v>
      </c>
      <c r="C78" s="1"/>
      <c r="D78" s="1"/>
      <c r="E78" s="1">
        <v>90</v>
      </c>
      <c r="F78" s="1">
        <v>282</v>
      </c>
      <c r="G78" s="1"/>
    </row>
    <row r="79" spans="1:10" x14ac:dyDescent="0.25">
      <c r="B79" s="1">
        <v>491</v>
      </c>
      <c r="C79" s="1"/>
      <c r="D79" s="1"/>
      <c r="E79" s="1">
        <v>350</v>
      </c>
      <c r="F79" s="1"/>
      <c r="G79" s="1"/>
    </row>
    <row r="80" spans="1:10" x14ac:dyDescent="0.25">
      <c r="B80" s="1">
        <v>190</v>
      </c>
      <c r="C80" s="1"/>
      <c r="D80" s="1"/>
      <c r="E80" s="1">
        <v>70</v>
      </c>
      <c r="F80" s="1"/>
      <c r="G80" s="1"/>
    </row>
    <row r="81" spans="2:7" x14ac:dyDescent="0.25">
      <c r="B81" s="1">
        <v>70</v>
      </c>
      <c r="C81" s="1"/>
      <c r="D81" s="1"/>
      <c r="E81" s="1">
        <v>140</v>
      </c>
      <c r="F81" s="1"/>
      <c r="G81" s="1"/>
    </row>
    <row r="82" spans="2:7" x14ac:dyDescent="0.25">
      <c r="B82" s="1">
        <v>128</v>
      </c>
      <c r="C82" s="1"/>
      <c r="D82" s="1"/>
      <c r="E82" s="1">
        <v>-140</v>
      </c>
      <c r="F82" s="1"/>
      <c r="G82" s="1"/>
    </row>
    <row r="83" spans="2:7" x14ac:dyDescent="0.25">
      <c r="B83" s="1">
        <v>65</v>
      </c>
      <c r="C83" s="1"/>
      <c r="D83" s="1"/>
      <c r="E83" s="1"/>
      <c r="F83" s="1"/>
      <c r="G83" s="1"/>
    </row>
    <row r="84" spans="2:7" x14ac:dyDescent="0.25">
      <c r="B84" s="1">
        <v>107</v>
      </c>
      <c r="C84" s="1"/>
      <c r="D84" s="1"/>
      <c r="E84" s="1"/>
      <c r="F84" s="1"/>
      <c r="G84" s="1"/>
    </row>
    <row r="85" spans="2:7" x14ac:dyDescent="0.25">
      <c r="B85" s="1">
        <v>155</v>
      </c>
      <c r="C85" s="1"/>
      <c r="D85" s="1"/>
      <c r="E85" s="1"/>
      <c r="F85" s="1"/>
      <c r="G85" s="1"/>
    </row>
    <row r="86" spans="2:7" x14ac:dyDescent="0.25">
      <c r="B86" s="1">
        <v>70</v>
      </c>
      <c r="C86" s="1"/>
      <c r="D86" s="1"/>
      <c r="E86" s="1"/>
      <c r="F86" s="1"/>
      <c r="G86" s="1"/>
    </row>
    <row r="87" spans="2:7" x14ac:dyDescent="0.25">
      <c r="B87" s="1">
        <v>16</v>
      </c>
      <c r="C87" s="1"/>
      <c r="D87" s="1"/>
      <c r="E87" s="1"/>
      <c r="F87" s="1"/>
      <c r="G87" s="1"/>
    </row>
    <row r="88" spans="2:7" x14ac:dyDescent="0.25">
      <c r="B88" s="1">
        <v>116</v>
      </c>
      <c r="C88" s="1"/>
      <c r="D88" s="1"/>
      <c r="E88" s="1"/>
      <c r="F88" s="1"/>
      <c r="G88" s="1"/>
    </row>
    <row r="89" spans="2:7" x14ac:dyDescent="0.25">
      <c r="B89" s="1">
        <v>90</v>
      </c>
      <c r="C89" s="1"/>
      <c r="D89" s="1"/>
      <c r="E89" s="1"/>
      <c r="F89" s="1"/>
      <c r="G89" s="1"/>
    </row>
    <row r="90" spans="2:7" x14ac:dyDescent="0.25">
      <c r="B90" s="1">
        <v>147</v>
      </c>
      <c r="C90" s="1"/>
      <c r="D90" s="1"/>
      <c r="E90" s="1"/>
      <c r="F90" s="1"/>
      <c r="G90" s="1"/>
    </row>
    <row r="91" spans="2:7" x14ac:dyDescent="0.25">
      <c r="B91" s="1">
        <v>133</v>
      </c>
      <c r="C91" s="1"/>
      <c r="D91" s="1"/>
      <c r="E91" s="1"/>
      <c r="F91" s="1"/>
      <c r="G91" s="1"/>
    </row>
    <row r="92" spans="2:7" x14ac:dyDescent="0.25">
      <c r="B92" s="1">
        <v>96</v>
      </c>
      <c r="C92" s="1"/>
      <c r="D92" s="1"/>
      <c r="E92" s="1"/>
      <c r="F92" s="1"/>
      <c r="G92" s="1"/>
    </row>
    <row r="93" spans="2:7" x14ac:dyDescent="0.25">
      <c r="B93" s="1">
        <v>201</v>
      </c>
      <c r="C93" s="1"/>
      <c r="D93" s="1"/>
      <c r="E93" s="1"/>
      <c r="F93" s="1"/>
      <c r="G93" s="1"/>
    </row>
    <row r="94" spans="2:7" x14ac:dyDescent="0.25">
      <c r="B94" s="1">
        <v>20</v>
      </c>
      <c r="C94" s="1"/>
      <c r="D94" s="1"/>
      <c r="E94" s="1"/>
      <c r="F94" s="1"/>
      <c r="G94" s="1"/>
    </row>
    <row r="95" spans="2:7" x14ac:dyDescent="0.25">
      <c r="B95" s="1">
        <v>113</v>
      </c>
      <c r="C95" s="1"/>
      <c r="D95" s="1"/>
      <c r="E95" s="1"/>
      <c r="F95" s="1"/>
      <c r="G95" s="1"/>
    </row>
    <row r="96" spans="2:7" x14ac:dyDescent="0.25">
      <c r="B96" s="1"/>
      <c r="C96" s="1"/>
      <c r="D96" s="1"/>
      <c r="E96" s="1"/>
      <c r="F96" s="1"/>
      <c r="G96" s="1"/>
    </row>
    <row r="97" spans="1:7" x14ac:dyDescent="0.25">
      <c r="A97" s="1">
        <f>SUM(B78:K96)</f>
        <v>3286</v>
      </c>
      <c r="B97" s="1"/>
      <c r="C97" s="1"/>
      <c r="D97" s="1"/>
      <c r="E97" s="1"/>
      <c r="F97" s="1"/>
      <c r="G97" s="1"/>
    </row>
    <row r="98" spans="1:7" x14ac:dyDescent="0.25">
      <c r="B98" s="1"/>
      <c r="C98" s="1"/>
      <c r="D98" s="1"/>
      <c r="E98" s="1"/>
      <c r="F98" s="1"/>
      <c r="G98" s="1"/>
    </row>
    <row r="99" spans="1:7" x14ac:dyDescent="0.25">
      <c r="B99" s="1"/>
      <c r="C99" s="1"/>
      <c r="D99" s="1"/>
      <c r="E99" s="1"/>
      <c r="F99" s="1"/>
      <c r="G99" s="1"/>
    </row>
    <row r="100" spans="1:7" x14ac:dyDescent="0.25">
      <c r="A100" t="s">
        <v>34</v>
      </c>
      <c r="B100" s="1">
        <f>A10+A18+A25+A30+A39+A43+A50+A60+A67+A72+A76+A97</f>
        <v>14703</v>
      </c>
      <c r="C100" s="1"/>
      <c r="D100" s="1"/>
      <c r="E100" s="1"/>
      <c r="F100" s="1"/>
      <c r="G100" s="1"/>
    </row>
    <row r="101" spans="1:7" x14ac:dyDescent="0.25">
      <c r="A101" t="s">
        <v>35</v>
      </c>
      <c r="B101" s="2">
        <f>B100*B105</f>
        <v>1470.3000000000002</v>
      </c>
    </row>
    <row r="105" spans="1:7" x14ac:dyDescent="0.25">
      <c r="A105" t="s">
        <v>28</v>
      </c>
      <c r="B105">
        <v>0.1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A37D-8F45-4BE2-81F7-F9D9C4F8FD7E}">
  <dimension ref="A1:K98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>
        <v>324</v>
      </c>
      <c r="C3" s="1"/>
      <c r="D3" s="1"/>
      <c r="E3" s="1">
        <v>100</v>
      </c>
      <c r="F3" s="1"/>
      <c r="G3" s="1"/>
    </row>
    <row r="4" spans="1:11" x14ac:dyDescent="0.25">
      <c r="B4" s="1">
        <v>251</v>
      </c>
      <c r="C4" s="1"/>
      <c r="D4" s="1"/>
      <c r="E4" s="1">
        <v>70</v>
      </c>
      <c r="F4" s="1"/>
      <c r="G4" s="1"/>
    </row>
    <row r="5" spans="1:11" x14ac:dyDescent="0.25">
      <c r="B5" s="1">
        <v>25</v>
      </c>
      <c r="C5" s="1"/>
      <c r="D5" s="1"/>
      <c r="E5" s="1"/>
      <c r="F5" s="1"/>
      <c r="G5" s="1"/>
    </row>
    <row r="6" spans="1:11" x14ac:dyDescent="0.25">
      <c r="B6" s="1">
        <v>163</v>
      </c>
      <c r="C6" s="1"/>
      <c r="D6" s="1"/>
      <c r="E6" s="1"/>
      <c r="F6" s="1"/>
      <c r="G6" s="1"/>
    </row>
    <row r="7" spans="1:11" x14ac:dyDescent="0.25">
      <c r="B7" s="1">
        <v>60</v>
      </c>
      <c r="C7" s="1"/>
      <c r="D7" s="1"/>
      <c r="E7" s="1"/>
      <c r="F7" s="1"/>
      <c r="G7" s="1"/>
    </row>
    <row r="8" spans="1:11" x14ac:dyDescent="0.25">
      <c r="B8" s="1">
        <v>141</v>
      </c>
      <c r="C8" s="1"/>
      <c r="D8" s="1"/>
      <c r="E8" s="1"/>
      <c r="F8" s="1"/>
      <c r="G8" s="1"/>
    </row>
    <row r="9" spans="1:11" x14ac:dyDescent="0.25">
      <c r="B9" s="1">
        <v>131</v>
      </c>
      <c r="C9" s="1"/>
      <c r="D9" s="1"/>
      <c r="E9" s="1"/>
      <c r="F9" s="1"/>
      <c r="G9" s="1"/>
    </row>
    <row r="10" spans="1:11" x14ac:dyDescent="0.25">
      <c r="A10" s="1">
        <f>SUM(B3:K9)</f>
        <v>1265</v>
      </c>
      <c r="B10" s="1"/>
      <c r="C10" s="1"/>
      <c r="D10" s="1"/>
      <c r="E10" s="1"/>
      <c r="F10" s="1"/>
      <c r="G10" s="1"/>
    </row>
    <row r="11" spans="1:11" x14ac:dyDescent="0.25">
      <c r="B11" s="1"/>
      <c r="C11" s="1"/>
      <c r="D11" s="1"/>
      <c r="E11" s="1"/>
      <c r="F11" s="1"/>
      <c r="G11" s="1"/>
    </row>
    <row r="12" spans="1:11" x14ac:dyDescent="0.25">
      <c r="A12" t="s">
        <v>11</v>
      </c>
      <c r="B12" s="1"/>
      <c r="C12" s="1"/>
      <c r="D12" s="1"/>
      <c r="E12" s="1"/>
      <c r="F12" s="1"/>
      <c r="G12" s="1"/>
    </row>
    <row r="13" spans="1:11" x14ac:dyDescent="0.25">
      <c r="B13" s="1"/>
      <c r="C13" s="1"/>
      <c r="D13" s="1"/>
      <c r="E13" s="1"/>
      <c r="F13" s="1"/>
      <c r="G13" s="1"/>
    </row>
    <row r="14" spans="1:11" x14ac:dyDescent="0.25">
      <c r="A14" s="1">
        <f>SUM(B12:K13)</f>
        <v>0</v>
      </c>
      <c r="B14" s="1"/>
      <c r="C14" s="1"/>
      <c r="D14" s="1"/>
      <c r="E14" s="1"/>
      <c r="F14" s="1"/>
      <c r="G14" s="1"/>
    </row>
    <row r="15" spans="1:11" x14ac:dyDescent="0.25">
      <c r="B15" s="1"/>
      <c r="C15" s="1"/>
      <c r="D15" s="1"/>
      <c r="E15" s="1"/>
      <c r="F15" s="1"/>
      <c r="G15" s="1"/>
    </row>
    <row r="16" spans="1:11" x14ac:dyDescent="0.25">
      <c r="A16" t="s">
        <v>12</v>
      </c>
      <c r="B16" s="1">
        <v>206</v>
      </c>
      <c r="C16" s="1"/>
      <c r="D16" s="1"/>
      <c r="E16" s="1">
        <v>140</v>
      </c>
      <c r="F16" s="1"/>
      <c r="G16" s="1"/>
    </row>
    <row r="17" spans="1:11" x14ac:dyDescent="0.25">
      <c r="B17" s="1">
        <v>218</v>
      </c>
      <c r="C17" s="1"/>
      <c r="D17" s="1"/>
      <c r="E17" s="1">
        <v>420</v>
      </c>
      <c r="F17" s="1"/>
      <c r="G17" s="1"/>
    </row>
    <row r="18" spans="1:11" x14ac:dyDescent="0.25">
      <c r="B18" s="1">
        <v>843</v>
      </c>
      <c r="C18" s="1"/>
      <c r="D18" s="1"/>
      <c r="E18" s="1">
        <v>100</v>
      </c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s="1">
        <f>SUM(B15:K19)</f>
        <v>1927</v>
      </c>
      <c r="B20" s="1"/>
      <c r="C20" s="1"/>
      <c r="D20" s="1"/>
      <c r="E20" s="1"/>
      <c r="F20" s="1"/>
      <c r="G20" s="1"/>
    </row>
    <row r="21" spans="1:11" x14ac:dyDescent="0.25">
      <c r="B21" s="1"/>
      <c r="C21" s="1"/>
      <c r="D21" s="1"/>
      <c r="E21" s="1"/>
      <c r="F21" s="1"/>
      <c r="G21" s="1"/>
    </row>
    <row r="22" spans="1:11" x14ac:dyDescent="0.25">
      <c r="A22" t="s">
        <v>13</v>
      </c>
      <c r="B22" s="1"/>
      <c r="C22" s="1"/>
      <c r="D22" s="1"/>
      <c r="E22" s="1"/>
      <c r="F22" s="1"/>
      <c r="G22" s="1"/>
    </row>
    <row r="23" spans="1:11" x14ac:dyDescent="0.25">
      <c r="B23" s="1"/>
      <c r="C23" s="1"/>
      <c r="D23" s="1"/>
      <c r="E23" s="1"/>
      <c r="F23" s="1"/>
      <c r="G23" s="1"/>
    </row>
    <row r="24" spans="1:11" x14ac:dyDescent="0.25">
      <c r="B24" s="1"/>
      <c r="C24" s="1"/>
      <c r="D24" s="1"/>
      <c r="E24" s="1"/>
      <c r="F24" s="1"/>
      <c r="G24" s="1"/>
    </row>
    <row r="25" spans="1:11" x14ac:dyDescent="0.25">
      <c r="A25" s="1">
        <f>SUM(B22:K23)</f>
        <v>0</v>
      </c>
      <c r="B25" s="1"/>
      <c r="C25" s="1"/>
      <c r="D25" s="1"/>
      <c r="E25" s="1"/>
      <c r="F25" s="1"/>
      <c r="G25" s="1"/>
    </row>
    <row r="26" spans="1:11" x14ac:dyDescent="0.25">
      <c r="B26" s="1"/>
      <c r="C26" s="1"/>
      <c r="D26" s="1"/>
      <c r="E26" s="1"/>
      <c r="F26" s="1"/>
      <c r="G26" s="1"/>
    </row>
    <row r="27" spans="1:11" x14ac:dyDescent="0.25">
      <c r="A27" t="s">
        <v>14</v>
      </c>
      <c r="B27" s="1"/>
      <c r="C27" s="1"/>
      <c r="D27" s="1"/>
      <c r="E27" s="1"/>
      <c r="F27" s="1"/>
      <c r="G27" s="1"/>
      <c r="K27" s="1"/>
    </row>
    <row r="28" spans="1:11" x14ac:dyDescent="0.25">
      <c r="B28" s="1"/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B30" s="1"/>
      <c r="C30" s="1"/>
      <c r="D30" s="1"/>
      <c r="E30" s="1"/>
      <c r="F30" s="1"/>
      <c r="G30" s="1"/>
    </row>
    <row r="31" spans="1:11" x14ac:dyDescent="0.25">
      <c r="B31" s="1"/>
      <c r="C31" s="1"/>
      <c r="D31" s="1"/>
      <c r="E31" s="1"/>
      <c r="F31" s="1"/>
      <c r="G31" s="1"/>
    </row>
    <row r="32" spans="1:11" x14ac:dyDescent="0.25">
      <c r="B32" s="1"/>
      <c r="C32" s="1"/>
      <c r="D32" s="1"/>
      <c r="E32" s="1"/>
      <c r="F32" s="1"/>
      <c r="G32" s="1"/>
    </row>
    <row r="33" spans="1:11" x14ac:dyDescent="0.25">
      <c r="B33" s="1"/>
      <c r="C33" s="1"/>
      <c r="D33" s="1"/>
      <c r="E33" s="1"/>
      <c r="F33" s="1"/>
      <c r="G33" s="1"/>
    </row>
    <row r="34" spans="1:11" x14ac:dyDescent="0.25">
      <c r="A34" s="1">
        <f>SUM(B27:K33)</f>
        <v>0</v>
      </c>
      <c r="B34" s="1"/>
      <c r="C34" s="1"/>
      <c r="D34" s="1"/>
      <c r="E34" s="1"/>
      <c r="F34" s="1"/>
      <c r="G34" s="1"/>
    </row>
    <row r="35" spans="1:11" x14ac:dyDescent="0.25">
      <c r="B35" s="1"/>
      <c r="C35" s="1"/>
      <c r="D35" s="1"/>
      <c r="E35" s="1"/>
      <c r="F35" s="1"/>
      <c r="G35" s="1"/>
    </row>
    <row r="36" spans="1:11" x14ac:dyDescent="0.25">
      <c r="A36" t="s">
        <v>15</v>
      </c>
      <c r="B36" s="1"/>
      <c r="C36" s="1"/>
      <c r="D36" s="1"/>
      <c r="E36" s="1"/>
      <c r="F36" s="1"/>
      <c r="G36" s="1"/>
    </row>
    <row r="37" spans="1:11" x14ac:dyDescent="0.25">
      <c r="B37" s="1"/>
      <c r="C37" s="1"/>
      <c r="D37" s="1"/>
      <c r="E37" s="1"/>
      <c r="F37" s="1"/>
      <c r="G37" s="1"/>
    </row>
    <row r="38" spans="1:11" x14ac:dyDescent="0.25">
      <c r="A38" s="1">
        <f>SUM(B36:K37)</f>
        <v>0</v>
      </c>
      <c r="B38" s="1"/>
      <c r="C38" s="1"/>
      <c r="D38" s="1"/>
      <c r="E38" s="1"/>
      <c r="F38" s="1"/>
      <c r="G38" s="1"/>
    </row>
    <row r="39" spans="1:11" x14ac:dyDescent="0.25">
      <c r="B39" s="1"/>
      <c r="C39" s="1"/>
      <c r="D39" s="1"/>
      <c r="E39" s="1"/>
      <c r="F39" s="1"/>
      <c r="G39" s="1"/>
    </row>
    <row r="40" spans="1:11" x14ac:dyDescent="0.25">
      <c r="A40" t="s">
        <v>16</v>
      </c>
      <c r="B40" s="1"/>
      <c r="C40" s="1"/>
      <c r="D40" s="1"/>
      <c r="E40" s="1"/>
      <c r="F40" s="1"/>
      <c r="G40" s="1"/>
    </row>
    <row r="41" spans="1:11" x14ac:dyDescent="0.25">
      <c r="B41" s="1"/>
      <c r="C41" s="1"/>
      <c r="D41" s="1"/>
      <c r="E41" s="1"/>
      <c r="F41" s="1"/>
      <c r="G41" s="1"/>
    </row>
    <row r="42" spans="1:11" x14ac:dyDescent="0.25">
      <c r="B42" s="1"/>
      <c r="C42" s="1"/>
      <c r="D42" s="1"/>
      <c r="E42" s="1"/>
      <c r="F42" s="1"/>
      <c r="G42" s="1"/>
    </row>
    <row r="43" spans="1:11" x14ac:dyDescent="0.25">
      <c r="B43" s="1"/>
      <c r="C43" s="1"/>
      <c r="D43" s="1"/>
      <c r="E43" s="1"/>
      <c r="F43" s="1"/>
      <c r="G43" s="1"/>
    </row>
    <row r="44" spans="1:11" x14ac:dyDescent="0.25">
      <c r="B44" s="1"/>
      <c r="C44" s="1"/>
      <c r="D44" s="1"/>
      <c r="E44" s="1"/>
      <c r="F44" s="1"/>
      <c r="G44" s="1"/>
    </row>
    <row r="45" spans="1:11" x14ac:dyDescent="0.25">
      <c r="A45" s="1">
        <f>SUM(B40:K44)</f>
        <v>0</v>
      </c>
      <c r="B45" s="1"/>
      <c r="C45" s="1"/>
      <c r="D45" s="1"/>
      <c r="E45" s="1"/>
      <c r="F45" s="1"/>
      <c r="G45" s="1"/>
    </row>
    <row r="46" spans="1:11" x14ac:dyDescent="0.25">
      <c r="B46" s="1"/>
      <c r="C46" s="1"/>
      <c r="D46" s="1"/>
      <c r="E46" s="1"/>
      <c r="F46" s="1"/>
      <c r="G46" s="1"/>
    </row>
    <row r="47" spans="1:11" x14ac:dyDescent="0.25">
      <c r="A47" t="s">
        <v>17</v>
      </c>
      <c r="B47" s="1"/>
      <c r="C47" s="1"/>
      <c r="D47" s="1"/>
      <c r="E47" s="1"/>
      <c r="F47" s="1"/>
      <c r="G47" s="1"/>
    </row>
    <row r="48" spans="1:11" x14ac:dyDescent="0.25">
      <c r="B48" s="1"/>
      <c r="C48" s="1"/>
      <c r="D48" s="1"/>
      <c r="E48" s="1"/>
      <c r="F48" s="1"/>
      <c r="G48" s="1"/>
      <c r="K48" s="1"/>
    </row>
    <row r="49" spans="1:10" x14ac:dyDescent="0.25">
      <c r="B49" s="1"/>
      <c r="C49" s="1"/>
      <c r="D49" s="1"/>
      <c r="E49" s="1"/>
      <c r="F49" s="1"/>
      <c r="G49" s="1"/>
    </row>
    <row r="50" spans="1:10" x14ac:dyDescent="0.25">
      <c r="B50" s="1"/>
      <c r="C50" s="1"/>
      <c r="D50" s="1"/>
      <c r="E50" s="1"/>
      <c r="F50" s="1"/>
      <c r="G50" s="1"/>
    </row>
    <row r="51" spans="1:10" x14ac:dyDescent="0.25">
      <c r="B51" s="1"/>
      <c r="C51" s="1"/>
      <c r="D51" s="1"/>
      <c r="E51" s="1"/>
      <c r="F51" s="1"/>
      <c r="G51" s="1"/>
    </row>
    <row r="52" spans="1:10" x14ac:dyDescent="0.25">
      <c r="B52" s="1"/>
      <c r="C52" s="1"/>
      <c r="D52" s="1"/>
      <c r="E52" s="1"/>
      <c r="F52" s="1"/>
      <c r="G52" s="1"/>
    </row>
    <row r="53" spans="1:10" x14ac:dyDescent="0.25">
      <c r="B53" s="1"/>
      <c r="C53" s="1"/>
      <c r="D53" s="1"/>
      <c r="E53" s="1"/>
      <c r="F53" s="1"/>
      <c r="G53" s="1"/>
    </row>
    <row r="54" spans="1:10" x14ac:dyDescent="0.25">
      <c r="B54" s="1"/>
      <c r="C54" s="1"/>
      <c r="D54" s="1"/>
      <c r="E54" s="1"/>
      <c r="F54" s="1"/>
      <c r="G54" s="1"/>
    </row>
    <row r="55" spans="1:10" x14ac:dyDescent="0.25">
      <c r="A55" s="1">
        <f>SUM(B48:K54)</f>
        <v>0</v>
      </c>
      <c r="B55" s="1"/>
      <c r="C55" s="1"/>
      <c r="D55" s="1"/>
      <c r="E55" s="1"/>
      <c r="F55" s="1"/>
      <c r="G55" s="1"/>
    </row>
    <row r="56" spans="1:10" x14ac:dyDescent="0.25">
      <c r="B56" s="1"/>
      <c r="C56" s="1"/>
      <c r="D56" s="1"/>
      <c r="E56" s="1"/>
      <c r="F56" s="1"/>
      <c r="G56" s="1"/>
      <c r="I56" s="1"/>
    </row>
    <row r="57" spans="1:10" x14ac:dyDescent="0.25">
      <c r="A57" t="s">
        <v>18</v>
      </c>
      <c r="B57" s="1"/>
      <c r="C57" s="1"/>
      <c r="D57" s="1"/>
      <c r="E57" s="1"/>
      <c r="F57" s="1"/>
      <c r="G57" s="1"/>
      <c r="I57" s="1"/>
    </row>
    <row r="58" spans="1:10" x14ac:dyDescent="0.25">
      <c r="B58" s="1"/>
      <c r="C58" s="1"/>
      <c r="D58" s="1"/>
      <c r="E58" s="1"/>
      <c r="F58" s="1"/>
      <c r="G58" s="1"/>
      <c r="I58" s="1"/>
      <c r="J58" s="1"/>
    </row>
    <row r="59" spans="1:10" x14ac:dyDescent="0.25">
      <c r="B59" s="1"/>
      <c r="C59" s="1"/>
      <c r="D59" s="1"/>
      <c r="E59" s="1"/>
      <c r="F59" s="1"/>
      <c r="G59" s="1"/>
      <c r="I59" s="1"/>
    </row>
    <row r="60" spans="1:10" x14ac:dyDescent="0.25">
      <c r="B60" s="1"/>
      <c r="C60" s="1"/>
      <c r="D60" s="1"/>
      <c r="E60" s="1"/>
      <c r="F60" s="1"/>
      <c r="G60" s="1"/>
      <c r="I60" s="1"/>
    </row>
    <row r="61" spans="1:10" x14ac:dyDescent="0.25">
      <c r="B61" s="1"/>
      <c r="C61" s="1"/>
      <c r="D61" s="1"/>
      <c r="E61" s="1"/>
      <c r="F61" s="1"/>
      <c r="G61" s="1"/>
    </row>
    <row r="62" spans="1:10" x14ac:dyDescent="0.25">
      <c r="A62" s="1">
        <f>SUM(B57:K61)</f>
        <v>0</v>
      </c>
      <c r="B62" s="1"/>
      <c r="C62" s="1"/>
      <c r="D62" s="1"/>
      <c r="E62" s="1"/>
      <c r="F62" s="1"/>
      <c r="G62" s="1"/>
    </row>
    <row r="63" spans="1:10" x14ac:dyDescent="0.25">
      <c r="B63" s="1"/>
      <c r="C63" s="1"/>
      <c r="D63" s="1"/>
      <c r="E63" s="1"/>
      <c r="F63" s="1"/>
      <c r="G63" s="1"/>
    </row>
    <row r="64" spans="1:10" x14ac:dyDescent="0.25">
      <c r="A64" t="s">
        <v>19</v>
      </c>
      <c r="B64" s="1"/>
      <c r="C64" s="1"/>
      <c r="D64" s="1"/>
      <c r="E64" s="1"/>
      <c r="F64" s="1"/>
      <c r="G64" s="1"/>
      <c r="J64" s="1"/>
    </row>
    <row r="65" spans="1:7" x14ac:dyDescent="0.25">
      <c r="B65" s="1"/>
      <c r="C65" s="1"/>
      <c r="D65" s="1"/>
      <c r="E65" s="1"/>
      <c r="F65" s="1"/>
      <c r="G65" s="1"/>
    </row>
    <row r="66" spans="1:7" x14ac:dyDescent="0.25">
      <c r="B66" s="1"/>
      <c r="C66" s="1"/>
      <c r="D66" s="1"/>
      <c r="E66" s="1"/>
      <c r="F66" s="1"/>
      <c r="G66" s="1"/>
    </row>
    <row r="67" spans="1:7" x14ac:dyDescent="0.25">
      <c r="A67" s="1">
        <f>SUM(B64:K66)</f>
        <v>0</v>
      </c>
      <c r="B67" s="1"/>
      <c r="C67" s="1"/>
      <c r="D67" s="1"/>
      <c r="E67" s="1"/>
      <c r="F67" s="1"/>
      <c r="G67" s="1"/>
    </row>
    <row r="68" spans="1:7" x14ac:dyDescent="0.25">
      <c r="B68" s="1"/>
      <c r="C68" s="1"/>
      <c r="D68" s="1"/>
      <c r="E68" s="1"/>
      <c r="F68" s="1"/>
      <c r="G68" s="1"/>
    </row>
    <row r="69" spans="1:7" x14ac:dyDescent="0.25">
      <c r="A69" t="s">
        <v>20</v>
      </c>
      <c r="B69" s="1"/>
      <c r="C69" s="1"/>
      <c r="D69" s="1"/>
      <c r="E69" s="1"/>
      <c r="F69" s="1"/>
      <c r="G69" s="1"/>
    </row>
    <row r="70" spans="1:7" x14ac:dyDescent="0.25">
      <c r="B70" s="1"/>
      <c r="C70" s="1"/>
      <c r="D70" s="1"/>
      <c r="E70" s="1"/>
      <c r="F70" s="1"/>
      <c r="G70" s="1"/>
    </row>
    <row r="71" spans="1:7" x14ac:dyDescent="0.25">
      <c r="A71" s="1">
        <f>SUM(B69:K70)</f>
        <v>0</v>
      </c>
      <c r="B71" s="1"/>
      <c r="C71" s="1"/>
      <c r="D71" s="1"/>
      <c r="E71" s="1"/>
      <c r="F71" s="1"/>
      <c r="G71" s="1"/>
    </row>
    <row r="72" spans="1:7" x14ac:dyDescent="0.25">
      <c r="B72" s="1"/>
      <c r="C72" s="1"/>
      <c r="D72" s="1"/>
      <c r="E72" s="1"/>
      <c r="F72" s="1"/>
      <c r="G72" s="1"/>
    </row>
    <row r="73" spans="1:7" x14ac:dyDescent="0.25">
      <c r="A73" t="s">
        <v>21</v>
      </c>
      <c r="B73" s="1"/>
      <c r="C73" s="1"/>
      <c r="D73" s="1"/>
      <c r="E73" s="1"/>
      <c r="F73" s="1"/>
      <c r="G73" s="1"/>
    </row>
    <row r="74" spans="1:7" x14ac:dyDescent="0.25">
      <c r="B74" s="1"/>
      <c r="C74" s="1"/>
      <c r="D74" s="1"/>
      <c r="E74" s="1"/>
      <c r="F74" s="1"/>
      <c r="G74" s="1"/>
    </row>
    <row r="75" spans="1:7" x14ac:dyDescent="0.25">
      <c r="A75" t="s">
        <v>40</v>
      </c>
      <c r="B75" s="1">
        <f>A10+A14+A20+A25+A34+A38+A45+A55+A62+A67+A71</f>
        <v>3192</v>
      </c>
      <c r="C75" s="1"/>
      <c r="D75" s="1"/>
      <c r="E75" s="1"/>
      <c r="F75" s="1"/>
      <c r="G75" s="1"/>
    </row>
    <row r="76" spans="1:7" x14ac:dyDescent="0.25">
      <c r="A76" t="s">
        <v>41</v>
      </c>
      <c r="B76" s="2">
        <f>B75*B78</f>
        <v>319.20000000000005</v>
      </c>
      <c r="C76" s="1"/>
      <c r="D76" s="1"/>
      <c r="E76" s="1"/>
      <c r="F76" s="1"/>
      <c r="G76" s="1"/>
    </row>
    <row r="77" spans="1:7" x14ac:dyDescent="0.25">
      <c r="C77" s="1"/>
      <c r="D77" s="1"/>
      <c r="E77" s="1"/>
      <c r="F77" s="1"/>
      <c r="G77" s="1"/>
    </row>
    <row r="78" spans="1:7" x14ac:dyDescent="0.25">
      <c r="A78" t="s">
        <v>28</v>
      </c>
      <c r="B78">
        <v>0.1</v>
      </c>
      <c r="C78" s="1"/>
      <c r="D78" s="1"/>
      <c r="E78" s="1"/>
      <c r="F78" s="1"/>
      <c r="G78" s="1"/>
    </row>
    <row r="79" spans="1:7" x14ac:dyDescent="0.25">
      <c r="B79" s="1"/>
      <c r="C79" s="1"/>
      <c r="D79" s="1"/>
      <c r="E79" s="1"/>
      <c r="F79" s="1"/>
      <c r="G79" s="1"/>
    </row>
    <row r="80" spans="1:7" x14ac:dyDescent="0.25">
      <c r="B80" s="1"/>
      <c r="C80" s="1"/>
      <c r="D80" s="1"/>
      <c r="E80" s="1"/>
      <c r="F80" s="1"/>
      <c r="G80" s="1"/>
    </row>
    <row r="81" spans="1:7" x14ac:dyDescent="0.25">
      <c r="B81" s="1"/>
      <c r="C81" s="1"/>
      <c r="D81" s="1"/>
      <c r="E81" s="1"/>
      <c r="F81" s="1"/>
      <c r="G81" s="1"/>
    </row>
    <row r="82" spans="1:7" x14ac:dyDescent="0.25">
      <c r="B82" s="1"/>
      <c r="C82" s="1"/>
      <c r="D82" s="1"/>
      <c r="E82" s="1"/>
      <c r="F82" s="1"/>
      <c r="G82" s="1"/>
    </row>
    <row r="83" spans="1:7" x14ac:dyDescent="0.25">
      <c r="B83" s="1"/>
      <c r="C83" s="1"/>
      <c r="D83" s="1"/>
      <c r="E83" s="1"/>
      <c r="F83" s="1"/>
      <c r="G83" s="1"/>
    </row>
    <row r="84" spans="1:7" x14ac:dyDescent="0.25">
      <c r="B84" s="1"/>
      <c r="C84" s="1"/>
      <c r="D84" s="1"/>
      <c r="E84" s="1"/>
      <c r="F84" s="1"/>
      <c r="G84" s="1"/>
    </row>
    <row r="85" spans="1:7" x14ac:dyDescent="0.25">
      <c r="B85" s="1"/>
      <c r="C85" s="1"/>
      <c r="D85" s="1"/>
      <c r="E85" s="1"/>
      <c r="F85" s="1"/>
      <c r="G85" s="1"/>
    </row>
    <row r="86" spans="1:7" x14ac:dyDescent="0.25">
      <c r="B86" s="1"/>
      <c r="C86" s="1"/>
      <c r="D86" s="1"/>
      <c r="E86" s="1"/>
      <c r="F86" s="1"/>
      <c r="G86" s="1"/>
    </row>
    <row r="87" spans="1:7" x14ac:dyDescent="0.25">
      <c r="B87" s="1"/>
      <c r="C87" s="1"/>
      <c r="D87" s="1"/>
      <c r="E87" s="1"/>
      <c r="F87" s="1"/>
      <c r="G87" s="1"/>
    </row>
    <row r="88" spans="1:7" x14ac:dyDescent="0.25">
      <c r="B88" s="1"/>
      <c r="C88" s="1"/>
      <c r="D88" s="1"/>
      <c r="E88" s="1"/>
      <c r="F88" s="1"/>
      <c r="G88" s="1"/>
    </row>
    <row r="89" spans="1:7" x14ac:dyDescent="0.25">
      <c r="B89" s="1"/>
      <c r="C89" s="1"/>
      <c r="D89" s="1"/>
      <c r="E89" s="1"/>
      <c r="F89" s="1"/>
      <c r="G89" s="1"/>
    </row>
    <row r="90" spans="1:7" x14ac:dyDescent="0.25">
      <c r="A90" s="1">
        <f>SUM(B73:K89)</f>
        <v>3511.2999999999997</v>
      </c>
      <c r="B90" s="1"/>
      <c r="C90" s="1"/>
      <c r="D90" s="1"/>
      <c r="E90" s="1"/>
      <c r="F90" s="1"/>
      <c r="G90" s="1"/>
    </row>
    <row r="91" spans="1:7" x14ac:dyDescent="0.25">
      <c r="B91" s="1"/>
      <c r="C91" s="1"/>
      <c r="D91" s="1"/>
      <c r="E91" s="1"/>
      <c r="F91" s="1"/>
      <c r="G91" s="1"/>
    </row>
    <row r="92" spans="1:7" x14ac:dyDescent="0.25">
      <c r="B92" s="1"/>
      <c r="C92" s="1"/>
      <c r="D92" s="1"/>
      <c r="E92" s="1"/>
      <c r="F92" s="1"/>
      <c r="G92" s="1"/>
    </row>
    <row r="93" spans="1:7" x14ac:dyDescent="0.25">
      <c r="A93" t="s">
        <v>34</v>
      </c>
      <c r="B93" s="1">
        <f>A10+A14+A20+A25+A34+A38+A45+A55+A62+A67+A71+A90</f>
        <v>6703.2999999999993</v>
      </c>
      <c r="C93" s="1"/>
      <c r="D93" s="1"/>
      <c r="E93" s="1"/>
      <c r="F93" s="1"/>
      <c r="G93" s="1"/>
    </row>
    <row r="94" spans="1:7" x14ac:dyDescent="0.25">
      <c r="A94" t="s">
        <v>35</v>
      </c>
      <c r="B94" s="2">
        <f>B93*B98</f>
        <v>670.32999999999993</v>
      </c>
    </row>
    <row r="98" spans="1:2" x14ac:dyDescent="0.25">
      <c r="A98" t="s">
        <v>28</v>
      </c>
      <c r="B98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TOTAL</vt:lpstr>
      <vt:lpstr>2021</vt:lpstr>
      <vt:lpstr>2022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2026-03-20T06:06:20Z</dcterms:created>
  <dcterms:modified xsi:type="dcterms:W3CDTF">2026-06-15T07:18:59Z</dcterms:modified>
</cp:coreProperties>
</file>