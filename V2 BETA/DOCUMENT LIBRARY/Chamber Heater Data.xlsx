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305" documentId="8_{2D60A7A9-E59B-411A-B8FB-4CFDAA058ADE}" xr6:coauthVersionLast="47" xr6:coauthVersionMax="47" xr10:uidLastSave="{E6FD8FB8-6726-4694-814F-8B68B0B15FF2}"/>
  <bookViews>
    <workbookView xWindow="28680" yWindow="-45" windowWidth="29040" windowHeight="16440" activeTab="6" xr2:uid="{F1B2DFB2-7066-456A-9422-DB88FD1CE09F}"/>
  </bookViews>
  <sheets>
    <sheet name="0524" sheetId="2" r:id="rId1"/>
    <sheet name="0525" sheetId="3" r:id="rId2"/>
    <sheet name="---" sheetId="7" r:id="rId3"/>
    <sheet name="0606" sheetId="8" r:id="rId4"/>
    <sheet name="0607" sheetId="9" r:id="rId5"/>
    <sheet name="0607-a" sheetId="10" r:id="rId6"/>
    <sheet name="0608-a" sheetId="12" r:id="rId7"/>
    <sheet name="Sheet1" sheetId="11" r:id="rId8"/>
  </sheets>
  <definedNames>
    <definedName name="ExternalData_1" localSheetId="2" hidden="1">'---'!$A$1:$C$157</definedName>
    <definedName name="ExternalData_1" localSheetId="0" hidden="1">'0524'!$A$1:$C$166</definedName>
    <definedName name="ExternalData_1" localSheetId="1" hidden="1">'0525'!$A$1:$C$264</definedName>
    <definedName name="ExternalData_1" localSheetId="3" hidden="1">'0606'!$A$1:$C$43</definedName>
    <definedName name="ExternalData_1" localSheetId="4" hidden="1">'0607'!$A$1:$C$92</definedName>
    <definedName name="ExternalData_1" localSheetId="5" hidden="1">'0607-a'!$A$1:$C$140</definedName>
    <definedName name="ExternalData_1" localSheetId="6" hidden="1">'0608-a'!$A$1:$C$200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5" i="12" l="1"/>
  <c r="B75" i="12"/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3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4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5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6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  <connection id="7" xr16:uid="{E2386761-43F3-4F45-92A4-108B03318BB4}" keepAlive="1" name="Query - logtemperature (7)" description="Connection to the 'logtemperature (7)' query in the workbook." type="5" refreshedVersion="8" background="1" saveData="1">
    <dbPr connection="Provider=Microsoft.Mashup.OleDb.1;Data Source=$Workbook$;Location=&quot;logtemperature (7)&quot;;Extended Properties=&quot;&quot;" command="SELECT * FROM [logtemperature (7)]"/>
  </connection>
  <connection id="8" xr16:uid="{32B1E661-C77F-461B-BA2D-E0FA0570628E}" keepAlive="1" name="Query - logtemperature (8)" description="Connection to the 'logtemperature (8)' query in the workbook." type="5" refreshedVersion="8" background="1" saveData="1">
    <dbPr connection="Provider=Microsoft.Mashup.OleDb.1;Data Source=$Workbook$;Location=&quot;logtemperature (8)&quot;;Extended Properties=&quot;&quot;" command="SELECT * FROM [logtemperature (8)]"/>
  </connection>
</connections>
</file>

<file path=xl/sharedStrings.xml><?xml version="1.0" encoding="utf-8"?>
<sst xmlns="http://schemas.openxmlformats.org/spreadsheetml/2006/main" count="21" uniqueCount="10">
  <si>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</si>
  <si>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</si>
  <si>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</si>
  <si>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</si>
  <si>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</si>
  <si>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</si>
  <si>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</si>
  <si>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</si>
  <si>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</si>
  <si>
    <t>temp/time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</si>
</sst>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12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'---'!$B$2:$B$157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'---'!$C$2:$C$157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'0607-a'!$C$1</c:f>
              <c:strCache>
                <c:ptCount val="1"/>
                <c:pt idx="0">
                  <c:v>temp/time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'0607-a'!$B:$B</c:f>
              <c:strCache>
                <c:ptCount val="14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</c:strCache>
            </c:strRef>
          </c:cat>
          <c:val>
            <c:numRef>
              <c:f>'0607-a'!$C$2:$C$140</c:f>
              <c:numCache>
                <c:formatCode>0</c:formatCode>
                <c:ptCount val="139"/>
                <c:pt idx="0">
                  <c:v>25.85</c:v>
                </c:pt>
                <c:pt idx="1">
                  <c:v>25.85</c:v>
                </c:pt>
                <c:pt idx="2">
                  <c:v>25.8</c:v>
                </c:pt>
                <c:pt idx="3">
                  <c:v>25.86</c:v>
                </c:pt>
                <c:pt idx="4">
                  <c:v>25.82</c:v>
                </c:pt>
                <c:pt idx="5">
                  <c:v>25.86</c:v>
                </c:pt>
                <c:pt idx="6">
                  <c:v>25.79</c:v>
                </c:pt>
                <c:pt idx="7">
                  <c:v>25.77</c:v>
                </c:pt>
                <c:pt idx="8">
                  <c:v>25.79</c:v>
                </c:pt>
                <c:pt idx="9">
                  <c:v>25.85</c:v>
                </c:pt>
                <c:pt idx="10">
                  <c:v>26.52</c:v>
                </c:pt>
                <c:pt idx="11">
                  <c:v>29.96</c:v>
                </c:pt>
                <c:pt idx="12">
                  <c:v>33.85</c:v>
                </c:pt>
                <c:pt idx="13">
                  <c:v>36.83</c:v>
                </c:pt>
                <c:pt idx="14">
                  <c:v>39.659999999999997</c:v>
                </c:pt>
                <c:pt idx="15">
                  <c:v>41.64</c:v>
                </c:pt>
                <c:pt idx="16">
                  <c:v>43.64</c:v>
                </c:pt>
                <c:pt idx="17">
                  <c:v>45.85</c:v>
                </c:pt>
                <c:pt idx="18">
                  <c:v>47.54</c:v>
                </c:pt>
                <c:pt idx="19">
                  <c:v>48.58</c:v>
                </c:pt>
                <c:pt idx="20">
                  <c:v>50.2</c:v>
                </c:pt>
                <c:pt idx="21">
                  <c:v>50.93</c:v>
                </c:pt>
                <c:pt idx="22">
                  <c:v>51.8</c:v>
                </c:pt>
                <c:pt idx="23">
                  <c:v>52.63</c:v>
                </c:pt>
                <c:pt idx="24">
                  <c:v>53.69</c:v>
                </c:pt>
                <c:pt idx="25">
                  <c:v>54.38</c:v>
                </c:pt>
                <c:pt idx="26">
                  <c:v>55.09</c:v>
                </c:pt>
                <c:pt idx="27">
                  <c:v>56.1</c:v>
                </c:pt>
                <c:pt idx="28">
                  <c:v>56.93</c:v>
                </c:pt>
                <c:pt idx="29">
                  <c:v>58.39</c:v>
                </c:pt>
                <c:pt idx="30">
                  <c:v>58.86</c:v>
                </c:pt>
                <c:pt idx="31">
                  <c:v>59.8</c:v>
                </c:pt>
                <c:pt idx="32">
                  <c:v>60.58</c:v>
                </c:pt>
                <c:pt idx="33">
                  <c:v>61.02</c:v>
                </c:pt>
                <c:pt idx="34">
                  <c:v>61.57</c:v>
                </c:pt>
                <c:pt idx="35">
                  <c:v>62.18</c:v>
                </c:pt>
                <c:pt idx="36">
                  <c:v>62.09</c:v>
                </c:pt>
                <c:pt idx="37">
                  <c:v>63.57</c:v>
                </c:pt>
                <c:pt idx="38">
                  <c:v>64.22</c:v>
                </c:pt>
                <c:pt idx="39">
                  <c:v>64.84</c:v>
                </c:pt>
                <c:pt idx="40">
                  <c:v>65.09</c:v>
                </c:pt>
                <c:pt idx="41">
                  <c:v>65.91</c:v>
                </c:pt>
                <c:pt idx="42">
                  <c:v>66.37</c:v>
                </c:pt>
                <c:pt idx="43">
                  <c:v>66.33</c:v>
                </c:pt>
                <c:pt idx="44">
                  <c:v>66.62</c:v>
                </c:pt>
                <c:pt idx="45">
                  <c:v>67.83</c:v>
                </c:pt>
                <c:pt idx="46">
                  <c:v>68.959999999999994</c:v>
                </c:pt>
                <c:pt idx="47">
                  <c:v>68.930000000000007</c:v>
                </c:pt>
                <c:pt idx="48">
                  <c:v>70.13</c:v>
                </c:pt>
                <c:pt idx="49">
                  <c:v>71.319999999999993</c:v>
                </c:pt>
                <c:pt idx="50">
                  <c:v>71.260000000000005</c:v>
                </c:pt>
                <c:pt idx="51">
                  <c:v>72</c:v>
                </c:pt>
                <c:pt idx="52">
                  <c:v>72.209999999999994</c:v>
                </c:pt>
                <c:pt idx="53">
                  <c:v>73.680000000000007</c:v>
                </c:pt>
                <c:pt idx="54">
                  <c:v>74.099999999999994</c:v>
                </c:pt>
                <c:pt idx="55">
                  <c:v>73.94</c:v>
                </c:pt>
                <c:pt idx="56">
                  <c:v>74.849999999999994</c:v>
                </c:pt>
                <c:pt idx="57">
                  <c:v>74.569999999999993</c:v>
                </c:pt>
                <c:pt idx="58">
                  <c:v>75.14</c:v>
                </c:pt>
                <c:pt idx="59">
                  <c:v>75.25</c:v>
                </c:pt>
                <c:pt idx="60">
                  <c:v>75.66</c:v>
                </c:pt>
                <c:pt idx="61">
                  <c:v>76.67</c:v>
                </c:pt>
                <c:pt idx="62">
                  <c:v>77.150000000000006</c:v>
                </c:pt>
                <c:pt idx="63">
                  <c:v>77.930000000000007</c:v>
                </c:pt>
                <c:pt idx="64">
                  <c:v>79.03</c:v>
                </c:pt>
                <c:pt idx="65">
                  <c:v>78.760000000000005</c:v>
                </c:pt>
                <c:pt idx="66">
                  <c:v>79.040000000000006</c:v>
                </c:pt>
                <c:pt idx="67">
                  <c:v>79.400000000000006</c:v>
                </c:pt>
                <c:pt idx="68">
                  <c:v>79.36</c:v>
                </c:pt>
                <c:pt idx="69">
                  <c:v>80.19</c:v>
                </c:pt>
                <c:pt idx="70">
                  <c:v>81.599999999999994</c:v>
                </c:pt>
                <c:pt idx="71">
                  <c:v>81.73</c:v>
                </c:pt>
                <c:pt idx="72">
                  <c:v>82.41</c:v>
                </c:pt>
                <c:pt idx="73">
                  <c:v>83.32</c:v>
                </c:pt>
                <c:pt idx="74">
                  <c:v>82.54</c:v>
                </c:pt>
                <c:pt idx="75">
                  <c:v>83.27</c:v>
                </c:pt>
                <c:pt idx="76">
                  <c:v>83.75</c:v>
                </c:pt>
                <c:pt idx="77">
                  <c:v>83.78</c:v>
                </c:pt>
                <c:pt idx="78">
                  <c:v>84.59</c:v>
                </c:pt>
                <c:pt idx="79">
                  <c:v>85.11</c:v>
                </c:pt>
                <c:pt idx="80">
                  <c:v>85.19</c:v>
                </c:pt>
                <c:pt idx="81">
                  <c:v>85.55</c:v>
                </c:pt>
                <c:pt idx="82">
                  <c:v>86.12</c:v>
                </c:pt>
                <c:pt idx="83">
                  <c:v>86.64</c:v>
                </c:pt>
                <c:pt idx="84">
                  <c:v>87.24</c:v>
                </c:pt>
                <c:pt idx="85">
                  <c:v>87.05</c:v>
                </c:pt>
                <c:pt idx="86">
                  <c:v>86.99</c:v>
                </c:pt>
                <c:pt idx="87">
                  <c:v>87.09</c:v>
                </c:pt>
                <c:pt idx="88">
                  <c:v>87.38</c:v>
                </c:pt>
                <c:pt idx="89">
                  <c:v>87.63</c:v>
                </c:pt>
                <c:pt idx="90">
                  <c:v>88.16</c:v>
                </c:pt>
                <c:pt idx="91">
                  <c:v>88.23</c:v>
                </c:pt>
                <c:pt idx="92">
                  <c:v>88.92</c:v>
                </c:pt>
                <c:pt idx="93">
                  <c:v>89.61</c:v>
                </c:pt>
                <c:pt idx="94">
                  <c:v>89.52</c:v>
                </c:pt>
                <c:pt idx="95">
                  <c:v>89.37</c:v>
                </c:pt>
                <c:pt idx="96">
                  <c:v>89.61</c:v>
                </c:pt>
                <c:pt idx="97">
                  <c:v>89.78</c:v>
                </c:pt>
                <c:pt idx="98">
                  <c:v>90.51</c:v>
                </c:pt>
                <c:pt idx="99">
                  <c:v>91.32</c:v>
                </c:pt>
                <c:pt idx="100">
                  <c:v>91.69</c:v>
                </c:pt>
                <c:pt idx="101">
                  <c:v>91.88</c:v>
                </c:pt>
                <c:pt idx="102">
                  <c:v>92.54</c:v>
                </c:pt>
                <c:pt idx="103">
                  <c:v>92.95</c:v>
                </c:pt>
                <c:pt idx="104">
                  <c:v>92.99</c:v>
                </c:pt>
                <c:pt idx="105">
                  <c:v>92.28</c:v>
                </c:pt>
                <c:pt idx="106">
                  <c:v>92.47</c:v>
                </c:pt>
                <c:pt idx="107">
                  <c:v>93.02</c:v>
                </c:pt>
                <c:pt idx="108">
                  <c:v>92.99</c:v>
                </c:pt>
                <c:pt idx="109">
                  <c:v>93.85</c:v>
                </c:pt>
                <c:pt idx="110">
                  <c:v>94.32</c:v>
                </c:pt>
                <c:pt idx="111">
                  <c:v>94.52</c:v>
                </c:pt>
                <c:pt idx="112">
                  <c:v>93.87</c:v>
                </c:pt>
                <c:pt idx="113">
                  <c:v>94.25</c:v>
                </c:pt>
                <c:pt idx="114">
                  <c:v>95.02</c:v>
                </c:pt>
                <c:pt idx="115">
                  <c:v>95.13</c:v>
                </c:pt>
                <c:pt idx="116">
                  <c:v>95.56</c:v>
                </c:pt>
                <c:pt idx="117">
                  <c:v>96.15</c:v>
                </c:pt>
                <c:pt idx="118">
                  <c:v>96.6</c:v>
                </c:pt>
                <c:pt idx="119">
                  <c:v>96.63</c:v>
                </c:pt>
                <c:pt idx="120">
                  <c:v>97</c:v>
                </c:pt>
                <c:pt idx="121">
                  <c:v>97.41</c:v>
                </c:pt>
                <c:pt idx="122">
                  <c:v>97.44</c:v>
                </c:pt>
                <c:pt idx="123">
                  <c:v>97.71</c:v>
                </c:pt>
                <c:pt idx="124">
                  <c:v>97.94</c:v>
                </c:pt>
                <c:pt idx="125">
                  <c:v>99.06</c:v>
                </c:pt>
                <c:pt idx="126">
                  <c:v>98.56</c:v>
                </c:pt>
                <c:pt idx="127">
                  <c:v>98.82</c:v>
                </c:pt>
                <c:pt idx="128">
                  <c:v>99.46</c:v>
                </c:pt>
                <c:pt idx="129">
                  <c:v>99.71</c:v>
                </c:pt>
                <c:pt idx="130">
                  <c:v>99.12</c:v>
                </c:pt>
                <c:pt idx="131">
                  <c:v>99.38</c:v>
                </c:pt>
                <c:pt idx="132">
                  <c:v>99.5</c:v>
                </c:pt>
                <c:pt idx="133">
                  <c:v>99.66</c:v>
                </c:pt>
                <c:pt idx="134">
                  <c:v>99.54</c:v>
                </c:pt>
                <c:pt idx="135">
                  <c:v>99.98</c:v>
                </c:pt>
                <c:pt idx="136">
                  <c:v>100.83</c:v>
                </c:pt>
                <c:pt idx="137">
                  <c:v>100.65</c:v>
                </c:pt>
                <c:pt idx="138">
                  <c:v>99.51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D-48B8-9276-8FAA076C9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7663"/>
        <c:axId val="22414303"/>
      </c:lineChart>
      <c:catAx>
        <c:axId val="2241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4303"/>
        <c:crosses val="autoZero"/>
        <c:auto val="1"/>
        <c:lblAlgn val="ctr"/>
        <c:lblOffset val="100"/>
        <c:noMultiLvlLbl val="0"/>
      </c:catAx>
      <c:valAx>
        <c:axId val="2241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4.3775631942111135E-2"/>
          <c:y val="7.7944444444444441E-2"/>
          <c:w val="0.9511575338796936"/>
          <c:h val="0.85468824730242055"/>
        </c:manualLayout>
      </c:layout>
      <c:lineChart>
        <c:grouping val="standard"/>
        <c:varyColors val="0"/>
        <c:ser>
          <c:idx val="0"/>
          <c:order val="0"/>
          <c:tx>
            <c:strRef>
              <c:f>'0608-a'!$C$1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'0608-a'!$B:$B</c:f>
              <c:strCache>
                <c:ptCount val="20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24</c:v>
                </c:pt>
                <c:pt idx="143">
                  <c:v>24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27</c:v>
                </c:pt>
                <c:pt idx="161">
                  <c:v>27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29</c:v>
                </c:pt>
                <c:pt idx="173">
                  <c:v>29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31</c:v>
                </c:pt>
                <c:pt idx="185">
                  <c:v>31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33</c:v>
                </c:pt>
                <c:pt idx="197">
                  <c:v>33</c:v>
                </c:pt>
                <c:pt idx="198">
                  <c:v>33</c:v>
                </c:pt>
                <c:pt idx="199">
                  <c:v>33</c:v>
                </c:pt>
              </c:strCache>
            </c:strRef>
          </c:cat>
          <c:val>
            <c:numRef>
              <c:f>'0608-a'!$C$2:$C$203</c:f>
              <c:numCache>
                <c:formatCode>0</c:formatCode>
                <c:ptCount val="202"/>
                <c:pt idx="0">
                  <c:v>23.82</c:v>
                </c:pt>
                <c:pt idx="1">
                  <c:v>23.87</c:v>
                </c:pt>
                <c:pt idx="2">
                  <c:v>23.85</c:v>
                </c:pt>
                <c:pt idx="3">
                  <c:v>24.02</c:v>
                </c:pt>
                <c:pt idx="4">
                  <c:v>24.14</c:v>
                </c:pt>
                <c:pt idx="5">
                  <c:v>24.51</c:v>
                </c:pt>
                <c:pt idx="6">
                  <c:v>26.66</c:v>
                </c:pt>
                <c:pt idx="7">
                  <c:v>30.51</c:v>
                </c:pt>
                <c:pt idx="8">
                  <c:v>33.94</c:v>
                </c:pt>
                <c:pt idx="9">
                  <c:v>36.58</c:v>
                </c:pt>
                <c:pt idx="10">
                  <c:v>38.69</c:v>
                </c:pt>
                <c:pt idx="11">
                  <c:v>40.11</c:v>
                </c:pt>
                <c:pt idx="12">
                  <c:v>41.4</c:v>
                </c:pt>
                <c:pt idx="13">
                  <c:v>43.29</c:v>
                </c:pt>
                <c:pt idx="14">
                  <c:v>44.4</c:v>
                </c:pt>
                <c:pt idx="15">
                  <c:v>46.37</c:v>
                </c:pt>
                <c:pt idx="16">
                  <c:v>45.76</c:v>
                </c:pt>
                <c:pt idx="17">
                  <c:v>47.42</c:v>
                </c:pt>
                <c:pt idx="18">
                  <c:v>49.44</c:v>
                </c:pt>
                <c:pt idx="19">
                  <c:v>50.43</c:v>
                </c:pt>
                <c:pt idx="20">
                  <c:v>51.19</c:v>
                </c:pt>
                <c:pt idx="21">
                  <c:v>52.46</c:v>
                </c:pt>
                <c:pt idx="22">
                  <c:v>52.26</c:v>
                </c:pt>
                <c:pt idx="23">
                  <c:v>54.14</c:v>
                </c:pt>
                <c:pt idx="24">
                  <c:v>54.37</c:v>
                </c:pt>
                <c:pt idx="25">
                  <c:v>53.97</c:v>
                </c:pt>
                <c:pt idx="26">
                  <c:v>54.98</c:v>
                </c:pt>
                <c:pt idx="27">
                  <c:v>55.06</c:v>
                </c:pt>
                <c:pt idx="28">
                  <c:v>56.19</c:v>
                </c:pt>
                <c:pt idx="29">
                  <c:v>56.23</c:v>
                </c:pt>
                <c:pt idx="30">
                  <c:v>57.59</c:v>
                </c:pt>
                <c:pt idx="31">
                  <c:v>58.06</c:v>
                </c:pt>
                <c:pt idx="32">
                  <c:v>58.41</c:v>
                </c:pt>
                <c:pt idx="33">
                  <c:v>59.54</c:v>
                </c:pt>
                <c:pt idx="34">
                  <c:v>60.24</c:v>
                </c:pt>
                <c:pt idx="35">
                  <c:v>62.2</c:v>
                </c:pt>
                <c:pt idx="36">
                  <c:v>62.54</c:v>
                </c:pt>
                <c:pt idx="37">
                  <c:v>63.64</c:v>
                </c:pt>
                <c:pt idx="38">
                  <c:v>64.040000000000006</c:v>
                </c:pt>
                <c:pt idx="39">
                  <c:v>64.010000000000005</c:v>
                </c:pt>
                <c:pt idx="40">
                  <c:v>64.98</c:v>
                </c:pt>
                <c:pt idx="41">
                  <c:v>66.069999999999993</c:v>
                </c:pt>
                <c:pt idx="42">
                  <c:v>64.66</c:v>
                </c:pt>
                <c:pt idx="43">
                  <c:v>64.959999999999994</c:v>
                </c:pt>
                <c:pt idx="44">
                  <c:v>65.53</c:v>
                </c:pt>
                <c:pt idx="45">
                  <c:v>65.540000000000006</c:v>
                </c:pt>
                <c:pt idx="46">
                  <c:v>67.849999999999994</c:v>
                </c:pt>
                <c:pt idx="47">
                  <c:v>67.38</c:v>
                </c:pt>
                <c:pt idx="48">
                  <c:v>68.41</c:v>
                </c:pt>
                <c:pt idx="49">
                  <c:v>69.06</c:v>
                </c:pt>
                <c:pt idx="50">
                  <c:v>70.59</c:v>
                </c:pt>
                <c:pt idx="51">
                  <c:v>71.540000000000006</c:v>
                </c:pt>
                <c:pt idx="52">
                  <c:v>72.31</c:v>
                </c:pt>
                <c:pt idx="53">
                  <c:v>73.33</c:v>
                </c:pt>
                <c:pt idx="54">
                  <c:v>72.22</c:v>
                </c:pt>
                <c:pt idx="55">
                  <c:v>72.66</c:v>
                </c:pt>
                <c:pt idx="56">
                  <c:v>73.14</c:v>
                </c:pt>
                <c:pt idx="57">
                  <c:v>74.27</c:v>
                </c:pt>
                <c:pt idx="58">
                  <c:v>75.11</c:v>
                </c:pt>
                <c:pt idx="59">
                  <c:v>74.7</c:v>
                </c:pt>
                <c:pt idx="60">
                  <c:v>75.66</c:v>
                </c:pt>
                <c:pt idx="61">
                  <c:v>74.73</c:v>
                </c:pt>
                <c:pt idx="62">
                  <c:v>75.7</c:v>
                </c:pt>
                <c:pt idx="63">
                  <c:v>76.819999999999993</c:v>
                </c:pt>
                <c:pt idx="64">
                  <c:v>76</c:v>
                </c:pt>
                <c:pt idx="65">
                  <c:v>75.09</c:v>
                </c:pt>
                <c:pt idx="66">
                  <c:v>74.510000000000005</c:v>
                </c:pt>
                <c:pt idx="67">
                  <c:v>75.959999999999994</c:v>
                </c:pt>
                <c:pt idx="68">
                  <c:v>77.47</c:v>
                </c:pt>
                <c:pt idx="69">
                  <c:v>77.88</c:v>
                </c:pt>
                <c:pt idx="70">
                  <c:v>78.069999999999993</c:v>
                </c:pt>
                <c:pt idx="71">
                  <c:v>78.63</c:v>
                </c:pt>
                <c:pt idx="72">
                  <c:v>78.569999999999993</c:v>
                </c:pt>
                <c:pt idx="73">
                  <c:v>79.98</c:v>
                </c:pt>
                <c:pt idx="74">
                  <c:v>81.25</c:v>
                </c:pt>
                <c:pt idx="75">
                  <c:v>80.28</c:v>
                </c:pt>
                <c:pt idx="76">
                  <c:v>81.53</c:v>
                </c:pt>
                <c:pt idx="77">
                  <c:v>80.03</c:v>
                </c:pt>
                <c:pt idx="78">
                  <c:v>80.72</c:v>
                </c:pt>
                <c:pt idx="79">
                  <c:v>81.38</c:v>
                </c:pt>
                <c:pt idx="80">
                  <c:v>82.45</c:v>
                </c:pt>
                <c:pt idx="81">
                  <c:v>82.05</c:v>
                </c:pt>
                <c:pt idx="82">
                  <c:v>82.17</c:v>
                </c:pt>
                <c:pt idx="83">
                  <c:v>82.33</c:v>
                </c:pt>
                <c:pt idx="84">
                  <c:v>82.63</c:v>
                </c:pt>
                <c:pt idx="85">
                  <c:v>83.61</c:v>
                </c:pt>
                <c:pt idx="86">
                  <c:v>84.3</c:v>
                </c:pt>
                <c:pt idx="87">
                  <c:v>84.2</c:v>
                </c:pt>
                <c:pt idx="88">
                  <c:v>83.97</c:v>
                </c:pt>
                <c:pt idx="89">
                  <c:v>84.94</c:v>
                </c:pt>
                <c:pt idx="90">
                  <c:v>84.44</c:v>
                </c:pt>
                <c:pt idx="91">
                  <c:v>86.36</c:v>
                </c:pt>
                <c:pt idx="92">
                  <c:v>84.27</c:v>
                </c:pt>
                <c:pt idx="93">
                  <c:v>85.09</c:v>
                </c:pt>
                <c:pt idx="94">
                  <c:v>86.6</c:v>
                </c:pt>
                <c:pt idx="95">
                  <c:v>86.67</c:v>
                </c:pt>
                <c:pt idx="96">
                  <c:v>87.06</c:v>
                </c:pt>
                <c:pt idx="97">
                  <c:v>86.49</c:v>
                </c:pt>
                <c:pt idx="98">
                  <c:v>86.28</c:v>
                </c:pt>
                <c:pt idx="99">
                  <c:v>87.31</c:v>
                </c:pt>
                <c:pt idx="100">
                  <c:v>87.12</c:v>
                </c:pt>
                <c:pt idx="101">
                  <c:v>88.5</c:v>
                </c:pt>
                <c:pt idx="102">
                  <c:v>88.63</c:v>
                </c:pt>
                <c:pt idx="103">
                  <c:v>89.53</c:v>
                </c:pt>
                <c:pt idx="104">
                  <c:v>89.95</c:v>
                </c:pt>
                <c:pt idx="105">
                  <c:v>89.65</c:v>
                </c:pt>
                <c:pt idx="106">
                  <c:v>90.49</c:v>
                </c:pt>
                <c:pt idx="107">
                  <c:v>90.33</c:v>
                </c:pt>
                <c:pt idx="108">
                  <c:v>90.46</c:v>
                </c:pt>
                <c:pt idx="109">
                  <c:v>90.47</c:v>
                </c:pt>
                <c:pt idx="110">
                  <c:v>90.92</c:v>
                </c:pt>
                <c:pt idx="111">
                  <c:v>91.62</c:v>
                </c:pt>
                <c:pt idx="112">
                  <c:v>90.03</c:v>
                </c:pt>
                <c:pt idx="113">
                  <c:v>90.97</c:v>
                </c:pt>
                <c:pt idx="114">
                  <c:v>92.67</c:v>
                </c:pt>
                <c:pt idx="115">
                  <c:v>92.32</c:v>
                </c:pt>
                <c:pt idx="116">
                  <c:v>92.36</c:v>
                </c:pt>
                <c:pt idx="117">
                  <c:v>93.33</c:v>
                </c:pt>
                <c:pt idx="118">
                  <c:v>94.24</c:v>
                </c:pt>
                <c:pt idx="119">
                  <c:v>93.94</c:v>
                </c:pt>
                <c:pt idx="120">
                  <c:v>93.85</c:v>
                </c:pt>
                <c:pt idx="121">
                  <c:v>94.42</c:v>
                </c:pt>
                <c:pt idx="122">
                  <c:v>94.07</c:v>
                </c:pt>
                <c:pt idx="123">
                  <c:v>94.75</c:v>
                </c:pt>
                <c:pt idx="124">
                  <c:v>95.46</c:v>
                </c:pt>
                <c:pt idx="125">
                  <c:v>94.46</c:v>
                </c:pt>
                <c:pt idx="126">
                  <c:v>94.83</c:v>
                </c:pt>
                <c:pt idx="127">
                  <c:v>95.36</c:v>
                </c:pt>
                <c:pt idx="128">
                  <c:v>95.81</c:v>
                </c:pt>
                <c:pt idx="129">
                  <c:v>95.97</c:v>
                </c:pt>
                <c:pt idx="130">
                  <c:v>96.52</c:v>
                </c:pt>
                <c:pt idx="131">
                  <c:v>96.09</c:v>
                </c:pt>
                <c:pt idx="132">
                  <c:v>96.72</c:v>
                </c:pt>
                <c:pt idx="133">
                  <c:v>96.69</c:v>
                </c:pt>
                <c:pt idx="134">
                  <c:v>97.57</c:v>
                </c:pt>
                <c:pt idx="135">
                  <c:v>98.47</c:v>
                </c:pt>
                <c:pt idx="136">
                  <c:v>97.33</c:v>
                </c:pt>
                <c:pt idx="137">
                  <c:v>98.01</c:v>
                </c:pt>
                <c:pt idx="138">
                  <c:v>97.39</c:v>
                </c:pt>
                <c:pt idx="139">
                  <c:v>98.72</c:v>
                </c:pt>
                <c:pt idx="140">
                  <c:v>99.31</c:v>
                </c:pt>
                <c:pt idx="141">
                  <c:v>99.15</c:v>
                </c:pt>
                <c:pt idx="142">
                  <c:v>100</c:v>
                </c:pt>
                <c:pt idx="143">
                  <c:v>100.39</c:v>
                </c:pt>
                <c:pt idx="144">
                  <c:v>100.98</c:v>
                </c:pt>
                <c:pt idx="145">
                  <c:v>99.86</c:v>
                </c:pt>
                <c:pt idx="146">
                  <c:v>100.1</c:v>
                </c:pt>
                <c:pt idx="147">
                  <c:v>100.76</c:v>
                </c:pt>
                <c:pt idx="148">
                  <c:v>101.11</c:v>
                </c:pt>
                <c:pt idx="149">
                  <c:v>101.25</c:v>
                </c:pt>
                <c:pt idx="150">
                  <c:v>101.55</c:v>
                </c:pt>
                <c:pt idx="151">
                  <c:v>102.39</c:v>
                </c:pt>
                <c:pt idx="152">
                  <c:v>100.52</c:v>
                </c:pt>
                <c:pt idx="153">
                  <c:v>99.92</c:v>
                </c:pt>
                <c:pt idx="154">
                  <c:v>101.5</c:v>
                </c:pt>
                <c:pt idx="155">
                  <c:v>102.28</c:v>
                </c:pt>
                <c:pt idx="156">
                  <c:v>102.94</c:v>
                </c:pt>
                <c:pt idx="157">
                  <c:v>103.79</c:v>
                </c:pt>
                <c:pt idx="158">
                  <c:v>103.26</c:v>
                </c:pt>
                <c:pt idx="159">
                  <c:v>103.25</c:v>
                </c:pt>
                <c:pt idx="160">
                  <c:v>103.48</c:v>
                </c:pt>
                <c:pt idx="161">
                  <c:v>103.6</c:v>
                </c:pt>
                <c:pt idx="162">
                  <c:v>104.75</c:v>
                </c:pt>
                <c:pt idx="163">
                  <c:v>104.1</c:v>
                </c:pt>
                <c:pt idx="164">
                  <c:v>104.52</c:v>
                </c:pt>
                <c:pt idx="165">
                  <c:v>103.91</c:v>
                </c:pt>
                <c:pt idx="166">
                  <c:v>103.42</c:v>
                </c:pt>
                <c:pt idx="167">
                  <c:v>103.84</c:v>
                </c:pt>
                <c:pt idx="168">
                  <c:v>104.61</c:v>
                </c:pt>
                <c:pt idx="169">
                  <c:v>104.84</c:v>
                </c:pt>
                <c:pt idx="170">
                  <c:v>103.25</c:v>
                </c:pt>
                <c:pt idx="171">
                  <c:v>104.34</c:v>
                </c:pt>
                <c:pt idx="172">
                  <c:v>105.6</c:v>
                </c:pt>
                <c:pt idx="173">
                  <c:v>105.14</c:v>
                </c:pt>
                <c:pt idx="174">
                  <c:v>105.01</c:v>
                </c:pt>
                <c:pt idx="175">
                  <c:v>104.85</c:v>
                </c:pt>
                <c:pt idx="176">
                  <c:v>105.92</c:v>
                </c:pt>
                <c:pt idx="177">
                  <c:v>106.9</c:v>
                </c:pt>
                <c:pt idx="178">
                  <c:v>107.31</c:v>
                </c:pt>
                <c:pt idx="179">
                  <c:v>107.3</c:v>
                </c:pt>
                <c:pt idx="180">
                  <c:v>106.42</c:v>
                </c:pt>
                <c:pt idx="181">
                  <c:v>106.48</c:v>
                </c:pt>
                <c:pt idx="182">
                  <c:v>107.19</c:v>
                </c:pt>
                <c:pt idx="183">
                  <c:v>107</c:v>
                </c:pt>
                <c:pt idx="184">
                  <c:v>106.65</c:v>
                </c:pt>
                <c:pt idx="185">
                  <c:v>107.57</c:v>
                </c:pt>
                <c:pt idx="186">
                  <c:v>107.72</c:v>
                </c:pt>
                <c:pt idx="187">
                  <c:v>107.89</c:v>
                </c:pt>
                <c:pt idx="188">
                  <c:v>108.09</c:v>
                </c:pt>
                <c:pt idx="189">
                  <c:v>108.99</c:v>
                </c:pt>
                <c:pt idx="190">
                  <c:v>108.91</c:v>
                </c:pt>
                <c:pt idx="191">
                  <c:v>108.65</c:v>
                </c:pt>
                <c:pt idx="192">
                  <c:v>108.64</c:v>
                </c:pt>
                <c:pt idx="193">
                  <c:v>108.58</c:v>
                </c:pt>
                <c:pt idx="194">
                  <c:v>109.23</c:v>
                </c:pt>
                <c:pt idx="195">
                  <c:v>109.2</c:v>
                </c:pt>
                <c:pt idx="196">
                  <c:v>109.95</c:v>
                </c:pt>
                <c:pt idx="197">
                  <c:v>110</c:v>
                </c:pt>
                <c:pt idx="198">
                  <c:v>110.14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CD-4E87-A20E-F4D4DAD80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937424"/>
        <c:axId val="450949904"/>
      </c:lineChart>
      <c:catAx>
        <c:axId val="450937424"/>
        <c:scaling>
          <c:orientation val="minMax"/>
        </c:scaling>
        <c:delete val="0"/>
        <c:axPos val="b"/>
        <c:numFmt formatCode="General" sourceLinked="1"/>
        <c:majorTickMark val="out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49904"/>
        <c:crosses val="autoZero"/>
        <c:auto val="1"/>
        <c:lblAlgn val="ctr"/>
        <c:lblOffset val="100"/>
        <c:tickMarkSkip val="10"/>
        <c:noMultiLvlLbl val="0"/>
      </c:catAx>
      <c:valAx>
        <c:axId val="45094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in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37424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0</xdr:rowOff>
    </xdr:from>
    <xdr:to>
      <xdr:col>20</xdr:col>
      <xdr:colOff>600075</xdr:colOff>
      <xdr:row>36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27E419-6D47-CDAE-09CD-D27F5AB2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0</xdr:row>
      <xdr:rowOff>19050</xdr:rowOff>
    </xdr:from>
    <xdr:to>
      <xdr:col>20</xdr:col>
      <xdr:colOff>581025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DA8F4-157D-DAA7-4987-6356E7F0C3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6DCA1A3-0316-4793-81E8-7599E14A47D0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C72004E-F8F9-4003-87C1-93060E8C6A7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9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8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7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6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5">
      <calculatedColumnFormula>(logtemperature__6[[#This Row],[seconds]]-348)/60</calculatedColumnFormula>
    </tableColumn>
    <tableColumn id="2" xr3:uid="{EF7145E0-B373-49E0-A880-CE32821D989D}" uniqueName="2" name="temp" queryTableFieldId="2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3BD1F0-4048-499D-8CCC-90676BE0DA8E}" name="logtemperature__7" displayName="logtemperature__7" ref="A1:C140" tableType="queryTable" totalsRowShown="0">
  <autoFilter ref="A1:C140" xr:uid="{E83BD1F0-4048-499D-8CCC-90676BE0DA8E}"/>
  <tableColumns count="3">
    <tableColumn id="1" xr3:uid="{FE922F72-ED3D-4865-9059-6FF172D8D005}" uniqueName="1" name="seconds" queryTableFieldId="1"/>
    <tableColumn id="3" xr3:uid="{3E02E8C9-0F44-4A0B-A573-0C78D34894E4}" uniqueName="3" name="minutes" queryTableFieldId="3" dataDxfId="11">
      <calculatedColumnFormula>(logtemperature__7[[#This Row],[seconds]]-28264)/60</calculatedColumnFormula>
    </tableColumn>
    <tableColumn id="2" xr3:uid="{8AFCE4E4-6890-4093-8323-A5EECC3C2DF7}" uniqueName="2" name="temp/time" queryTableFieldId="2" dataDxfId="1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06F30-E667-4808-A88E-0F356512133B}" name="logtemperature__8" displayName="logtemperature__8" ref="A1:C200" tableType="queryTable" totalsRowShown="0" dataDxfId="0">
  <autoFilter ref="A1:C200" xr:uid="{BE506F30-E667-4808-A88E-0F356512133B}"/>
  <tableColumns count="3">
    <tableColumn id="1" xr3:uid="{4F7EA3D0-E02C-4952-A342-21186EBC5546}" uniqueName="1" name="seconds" queryTableFieldId="1" dataDxfId="3"/>
    <tableColumn id="3" xr3:uid="{7479BE1F-26D5-4F7C-AB69-FCED6185E099}" uniqueName="3" name="minutes" queryTableFieldId="3" dataDxfId="2">
      <calculatedColumnFormula>(logtemperature__8[[#This Row],[seconds]]-66)/60</calculatedColumnFormula>
    </tableColumn>
    <tableColumn id="2" xr3:uid="{47933E36-1CA1-4AC8-A915-07F27609C19E}" uniqueName="2" name="temp" queryTableFieldId="2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F739-1190-486A-8214-624DE2DC0AB7}">
  <dimension ref="A1:C140"/>
  <sheetViews>
    <sheetView workbookViewId="0">
      <selection activeCell="W28" sqref="W2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9</v>
      </c>
    </row>
    <row r="2" spans="1:3" x14ac:dyDescent="0.25">
      <c r="A2">
        <v>28264</v>
      </c>
      <c r="B2" s="1">
        <f>(logtemperature__7[[#This Row],[seconds]]-28264)/60</f>
        <v>0</v>
      </c>
      <c r="C2" s="1">
        <v>25.85</v>
      </c>
    </row>
    <row r="3" spans="1:3" x14ac:dyDescent="0.25">
      <c r="A3">
        <v>28274</v>
      </c>
      <c r="B3" s="1">
        <f>(logtemperature__7[[#This Row],[seconds]]-28264)/60</f>
        <v>0.16666666666666666</v>
      </c>
      <c r="C3" s="1">
        <v>25.85</v>
      </c>
    </row>
    <row r="4" spans="1:3" x14ac:dyDescent="0.25">
      <c r="A4">
        <v>28284</v>
      </c>
      <c r="B4" s="1">
        <f>(logtemperature__7[[#This Row],[seconds]]-28264)/60</f>
        <v>0.33333333333333331</v>
      </c>
      <c r="C4" s="1">
        <v>25.8</v>
      </c>
    </row>
    <row r="5" spans="1:3" x14ac:dyDescent="0.25">
      <c r="A5">
        <v>28294</v>
      </c>
      <c r="B5" s="1">
        <f>(logtemperature__7[[#This Row],[seconds]]-28264)/60</f>
        <v>0.5</v>
      </c>
      <c r="C5" s="1">
        <v>25.86</v>
      </c>
    </row>
    <row r="6" spans="1:3" x14ac:dyDescent="0.25">
      <c r="A6">
        <v>28304</v>
      </c>
      <c r="B6" s="1">
        <f>(logtemperature__7[[#This Row],[seconds]]-28264)/60</f>
        <v>0.66666666666666663</v>
      </c>
      <c r="C6" s="1">
        <v>25.82</v>
      </c>
    </row>
    <row r="7" spans="1:3" x14ac:dyDescent="0.25">
      <c r="A7">
        <v>28314</v>
      </c>
      <c r="B7" s="1">
        <f>(logtemperature__7[[#This Row],[seconds]]-28264)/60</f>
        <v>0.83333333333333337</v>
      </c>
      <c r="C7" s="1">
        <v>25.86</v>
      </c>
    </row>
    <row r="8" spans="1:3" x14ac:dyDescent="0.25">
      <c r="A8">
        <v>28324</v>
      </c>
      <c r="B8" s="1">
        <f>(logtemperature__7[[#This Row],[seconds]]-28264)/60</f>
        <v>1</v>
      </c>
      <c r="C8" s="1">
        <v>25.79</v>
      </c>
    </row>
    <row r="9" spans="1:3" x14ac:dyDescent="0.25">
      <c r="A9">
        <v>28334</v>
      </c>
      <c r="B9" s="1">
        <f>(logtemperature__7[[#This Row],[seconds]]-28264)/60</f>
        <v>1.1666666666666667</v>
      </c>
      <c r="C9" s="1">
        <v>25.77</v>
      </c>
    </row>
    <row r="10" spans="1:3" x14ac:dyDescent="0.25">
      <c r="A10">
        <v>28344</v>
      </c>
      <c r="B10" s="1">
        <f>(logtemperature__7[[#This Row],[seconds]]-28264)/60</f>
        <v>1.3333333333333333</v>
      </c>
      <c r="C10" s="1">
        <v>25.79</v>
      </c>
    </row>
    <row r="11" spans="1:3" x14ac:dyDescent="0.25">
      <c r="A11">
        <v>28354</v>
      </c>
      <c r="B11" s="1">
        <f>(logtemperature__7[[#This Row],[seconds]]-28264)/60</f>
        <v>1.5</v>
      </c>
      <c r="C11" s="1">
        <v>25.85</v>
      </c>
    </row>
    <row r="12" spans="1:3" x14ac:dyDescent="0.25">
      <c r="A12">
        <v>28364</v>
      </c>
      <c r="B12" s="1">
        <f>(logtemperature__7[[#This Row],[seconds]]-28264)/60</f>
        <v>1.6666666666666667</v>
      </c>
      <c r="C12" s="1">
        <v>26.52</v>
      </c>
    </row>
    <row r="13" spans="1:3" x14ac:dyDescent="0.25">
      <c r="A13">
        <v>28374</v>
      </c>
      <c r="B13" s="1">
        <f>(logtemperature__7[[#This Row],[seconds]]-28264)/60</f>
        <v>1.8333333333333333</v>
      </c>
      <c r="C13" s="1">
        <v>29.96</v>
      </c>
    </row>
    <row r="14" spans="1:3" x14ac:dyDescent="0.25">
      <c r="A14">
        <v>28384</v>
      </c>
      <c r="B14" s="1">
        <f>(logtemperature__7[[#This Row],[seconds]]-28264)/60</f>
        <v>2</v>
      </c>
      <c r="C14" s="1">
        <v>33.85</v>
      </c>
    </row>
    <row r="15" spans="1:3" x14ac:dyDescent="0.25">
      <c r="A15">
        <v>28394</v>
      </c>
      <c r="B15" s="1">
        <f>(logtemperature__7[[#This Row],[seconds]]-28264)/60</f>
        <v>2.1666666666666665</v>
      </c>
      <c r="C15" s="1">
        <v>36.83</v>
      </c>
    </row>
    <row r="16" spans="1:3" x14ac:dyDescent="0.25">
      <c r="A16">
        <v>28404</v>
      </c>
      <c r="B16" s="1">
        <f>(logtemperature__7[[#This Row],[seconds]]-28264)/60</f>
        <v>2.3333333333333335</v>
      </c>
      <c r="C16" s="1">
        <v>39.659999999999997</v>
      </c>
    </row>
    <row r="17" spans="1:3" x14ac:dyDescent="0.25">
      <c r="A17">
        <v>28414</v>
      </c>
      <c r="B17" s="1">
        <f>(logtemperature__7[[#This Row],[seconds]]-28264)/60</f>
        <v>2.5</v>
      </c>
      <c r="C17" s="1">
        <v>41.64</v>
      </c>
    </row>
    <row r="18" spans="1:3" x14ac:dyDescent="0.25">
      <c r="A18">
        <v>28424</v>
      </c>
      <c r="B18" s="1">
        <f>(logtemperature__7[[#This Row],[seconds]]-28264)/60</f>
        <v>2.6666666666666665</v>
      </c>
      <c r="C18" s="1">
        <v>43.64</v>
      </c>
    </row>
    <row r="19" spans="1:3" x14ac:dyDescent="0.25">
      <c r="A19">
        <v>28434</v>
      </c>
      <c r="B19" s="1">
        <f>(logtemperature__7[[#This Row],[seconds]]-28264)/60</f>
        <v>2.8333333333333335</v>
      </c>
      <c r="C19" s="1">
        <v>45.85</v>
      </c>
    </row>
    <row r="20" spans="1:3" x14ac:dyDescent="0.25">
      <c r="A20">
        <v>28444</v>
      </c>
      <c r="B20" s="1">
        <f>(logtemperature__7[[#This Row],[seconds]]-28264)/60</f>
        <v>3</v>
      </c>
      <c r="C20" s="1">
        <v>47.54</v>
      </c>
    </row>
    <row r="21" spans="1:3" x14ac:dyDescent="0.25">
      <c r="A21">
        <v>28454</v>
      </c>
      <c r="B21" s="1">
        <f>(logtemperature__7[[#This Row],[seconds]]-28264)/60</f>
        <v>3.1666666666666665</v>
      </c>
      <c r="C21" s="1">
        <v>48.58</v>
      </c>
    </row>
    <row r="22" spans="1:3" x14ac:dyDescent="0.25">
      <c r="A22">
        <v>28464</v>
      </c>
      <c r="B22" s="1">
        <f>(logtemperature__7[[#This Row],[seconds]]-28264)/60</f>
        <v>3.3333333333333335</v>
      </c>
      <c r="C22" s="1">
        <v>50.2</v>
      </c>
    </row>
    <row r="23" spans="1:3" x14ac:dyDescent="0.25">
      <c r="A23">
        <v>28474</v>
      </c>
      <c r="B23" s="1">
        <f>(logtemperature__7[[#This Row],[seconds]]-28264)/60</f>
        <v>3.5</v>
      </c>
      <c r="C23" s="1">
        <v>50.93</v>
      </c>
    </row>
    <row r="24" spans="1:3" x14ac:dyDescent="0.25">
      <c r="A24">
        <v>28484</v>
      </c>
      <c r="B24" s="1">
        <f>(logtemperature__7[[#This Row],[seconds]]-28264)/60</f>
        <v>3.6666666666666665</v>
      </c>
      <c r="C24" s="1">
        <v>51.8</v>
      </c>
    </row>
    <row r="25" spans="1:3" x14ac:dyDescent="0.25">
      <c r="A25">
        <v>28494</v>
      </c>
      <c r="B25" s="1">
        <f>(logtemperature__7[[#This Row],[seconds]]-28264)/60</f>
        <v>3.8333333333333335</v>
      </c>
      <c r="C25" s="1">
        <v>52.63</v>
      </c>
    </row>
    <row r="26" spans="1:3" x14ac:dyDescent="0.25">
      <c r="A26">
        <v>28504</v>
      </c>
      <c r="B26" s="1">
        <f>(logtemperature__7[[#This Row],[seconds]]-28264)/60</f>
        <v>4</v>
      </c>
      <c r="C26" s="1">
        <v>53.69</v>
      </c>
    </row>
    <row r="27" spans="1:3" x14ac:dyDescent="0.25">
      <c r="A27">
        <v>28514</v>
      </c>
      <c r="B27" s="1">
        <f>(logtemperature__7[[#This Row],[seconds]]-28264)/60</f>
        <v>4.166666666666667</v>
      </c>
      <c r="C27" s="1">
        <v>54.38</v>
      </c>
    </row>
    <row r="28" spans="1:3" x14ac:dyDescent="0.25">
      <c r="A28">
        <v>28524</v>
      </c>
      <c r="B28" s="1">
        <f>(logtemperature__7[[#This Row],[seconds]]-28264)/60</f>
        <v>4.333333333333333</v>
      </c>
      <c r="C28" s="1">
        <v>55.09</v>
      </c>
    </row>
    <row r="29" spans="1:3" x14ac:dyDescent="0.25">
      <c r="A29">
        <v>28534</v>
      </c>
      <c r="B29" s="1">
        <f>(logtemperature__7[[#This Row],[seconds]]-28264)/60</f>
        <v>4.5</v>
      </c>
      <c r="C29" s="1">
        <v>56.1</v>
      </c>
    </row>
    <row r="30" spans="1:3" x14ac:dyDescent="0.25">
      <c r="A30">
        <v>28544</v>
      </c>
      <c r="B30" s="1">
        <f>(logtemperature__7[[#This Row],[seconds]]-28264)/60</f>
        <v>4.666666666666667</v>
      </c>
      <c r="C30" s="1">
        <v>56.93</v>
      </c>
    </row>
    <row r="31" spans="1:3" x14ac:dyDescent="0.25">
      <c r="A31">
        <v>28554</v>
      </c>
      <c r="B31" s="1">
        <f>(logtemperature__7[[#This Row],[seconds]]-28264)/60</f>
        <v>4.833333333333333</v>
      </c>
      <c r="C31" s="1">
        <v>58.39</v>
      </c>
    </row>
    <row r="32" spans="1:3" x14ac:dyDescent="0.25">
      <c r="A32">
        <v>28564</v>
      </c>
      <c r="B32" s="1">
        <f>(logtemperature__7[[#This Row],[seconds]]-28264)/60</f>
        <v>5</v>
      </c>
      <c r="C32" s="1">
        <v>58.86</v>
      </c>
    </row>
    <row r="33" spans="1:3" x14ac:dyDescent="0.25">
      <c r="A33">
        <v>28574</v>
      </c>
      <c r="B33" s="1">
        <f>(logtemperature__7[[#This Row],[seconds]]-28264)/60</f>
        <v>5.166666666666667</v>
      </c>
      <c r="C33" s="1">
        <v>59.8</v>
      </c>
    </row>
    <row r="34" spans="1:3" x14ac:dyDescent="0.25">
      <c r="A34">
        <v>28584</v>
      </c>
      <c r="B34" s="1">
        <f>(logtemperature__7[[#This Row],[seconds]]-28264)/60</f>
        <v>5.333333333333333</v>
      </c>
      <c r="C34" s="1">
        <v>60.58</v>
      </c>
    </row>
    <row r="35" spans="1:3" x14ac:dyDescent="0.25">
      <c r="A35">
        <v>28594</v>
      </c>
      <c r="B35" s="1">
        <f>(logtemperature__7[[#This Row],[seconds]]-28264)/60</f>
        <v>5.5</v>
      </c>
      <c r="C35" s="1">
        <v>61.02</v>
      </c>
    </row>
    <row r="36" spans="1:3" x14ac:dyDescent="0.25">
      <c r="A36">
        <v>28604</v>
      </c>
      <c r="B36" s="1">
        <f>(logtemperature__7[[#This Row],[seconds]]-28264)/60</f>
        <v>5.666666666666667</v>
      </c>
      <c r="C36" s="1">
        <v>61.57</v>
      </c>
    </row>
    <row r="37" spans="1:3" x14ac:dyDescent="0.25">
      <c r="A37">
        <v>28614</v>
      </c>
      <c r="B37" s="1">
        <f>(logtemperature__7[[#This Row],[seconds]]-28264)/60</f>
        <v>5.833333333333333</v>
      </c>
      <c r="C37" s="1">
        <v>62.18</v>
      </c>
    </row>
    <row r="38" spans="1:3" x14ac:dyDescent="0.25">
      <c r="A38">
        <v>28624</v>
      </c>
      <c r="B38" s="1">
        <f>(logtemperature__7[[#This Row],[seconds]]-28264)/60</f>
        <v>6</v>
      </c>
      <c r="C38" s="1">
        <v>62.09</v>
      </c>
    </row>
    <row r="39" spans="1:3" x14ac:dyDescent="0.25">
      <c r="A39">
        <v>28634</v>
      </c>
      <c r="B39" s="1">
        <f>(logtemperature__7[[#This Row],[seconds]]-28264)/60</f>
        <v>6.166666666666667</v>
      </c>
      <c r="C39" s="1">
        <v>63.57</v>
      </c>
    </row>
    <row r="40" spans="1:3" x14ac:dyDescent="0.25">
      <c r="A40">
        <v>28644</v>
      </c>
      <c r="B40" s="1">
        <f>(logtemperature__7[[#This Row],[seconds]]-28264)/60</f>
        <v>6.333333333333333</v>
      </c>
      <c r="C40" s="1">
        <v>64.22</v>
      </c>
    </row>
    <row r="41" spans="1:3" x14ac:dyDescent="0.25">
      <c r="A41">
        <v>28654</v>
      </c>
      <c r="B41" s="1">
        <f>(logtemperature__7[[#This Row],[seconds]]-28264)/60</f>
        <v>6.5</v>
      </c>
      <c r="C41" s="1">
        <v>64.84</v>
      </c>
    </row>
    <row r="42" spans="1:3" x14ac:dyDescent="0.25">
      <c r="A42">
        <v>28664</v>
      </c>
      <c r="B42" s="1">
        <f>(logtemperature__7[[#This Row],[seconds]]-28264)/60</f>
        <v>6.666666666666667</v>
      </c>
      <c r="C42" s="1">
        <v>65.09</v>
      </c>
    </row>
    <row r="43" spans="1:3" x14ac:dyDescent="0.25">
      <c r="A43">
        <v>28674</v>
      </c>
      <c r="B43" s="1">
        <f>(logtemperature__7[[#This Row],[seconds]]-28264)/60</f>
        <v>6.833333333333333</v>
      </c>
      <c r="C43" s="1">
        <v>65.91</v>
      </c>
    </row>
    <row r="44" spans="1:3" x14ac:dyDescent="0.25">
      <c r="A44">
        <v>28684</v>
      </c>
      <c r="B44" s="1">
        <f>(logtemperature__7[[#This Row],[seconds]]-28264)/60</f>
        <v>7</v>
      </c>
      <c r="C44" s="1">
        <v>66.37</v>
      </c>
    </row>
    <row r="45" spans="1:3" x14ac:dyDescent="0.25">
      <c r="A45">
        <v>28694</v>
      </c>
      <c r="B45" s="1">
        <f>(logtemperature__7[[#This Row],[seconds]]-28264)/60</f>
        <v>7.166666666666667</v>
      </c>
      <c r="C45" s="1">
        <v>66.33</v>
      </c>
    </row>
    <row r="46" spans="1:3" x14ac:dyDescent="0.25">
      <c r="A46">
        <v>28704</v>
      </c>
      <c r="B46" s="1">
        <f>(logtemperature__7[[#This Row],[seconds]]-28264)/60</f>
        <v>7.333333333333333</v>
      </c>
      <c r="C46" s="1">
        <v>66.62</v>
      </c>
    </row>
    <row r="47" spans="1:3" x14ac:dyDescent="0.25">
      <c r="A47">
        <v>28714</v>
      </c>
      <c r="B47" s="1">
        <f>(logtemperature__7[[#This Row],[seconds]]-28264)/60</f>
        <v>7.5</v>
      </c>
      <c r="C47" s="1">
        <v>67.83</v>
      </c>
    </row>
    <row r="48" spans="1:3" x14ac:dyDescent="0.25">
      <c r="A48">
        <v>28724</v>
      </c>
      <c r="B48" s="1">
        <f>(logtemperature__7[[#This Row],[seconds]]-28264)/60</f>
        <v>7.666666666666667</v>
      </c>
      <c r="C48" s="1">
        <v>68.959999999999994</v>
      </c>
    </row>
    <row r="49" spans="1:3" x14ac:dyDescent="0.25">
      <c r="A49">
        <v>28734</v>
      </c>
      <c r="B49" s="1">
        <f>(logtemperature__7[[#This Row],[seconds]]-28264)/60</f>
        <v>7.833333333333333</v>
      </c>
      <c r="C49" s="1">
        <v>68.930000000000007</v>
      </c>
    </row>
    <row r="50" spans="1:3" x14ac:dyDescent="0.25">
      <c r="A50">
        <v>28745</v>
      </c>
      <c r="B50" s="1">
        <f>(logtemperature__7[[#This Row],[seconds]]-28264)/60</f>
        <v>8.0166666666666675</v>
      </c>
      <c r="C50" s="1">
        <v>70.13</v>
      </c>
    </row>
    <row r="51" spans="1:3" x14ac:dyDescent="0.25">
      <c r="A51">
        <v>28755</v>
      </c>
      <c r="B51" s="1">
        <f>(logtemperature__7[[#This Row],[seconds]]-28264)/60</f>
        <v>8.1833333333333336</v>
      </c>
      <c r="C51" s="1">
        <v>71.319999999999993</v>
      </c>
    </row>
    <row r="52" spans="1:3" x14ac:dyDescent="0.25">
      <c r="A52">
        <v>28765</v>
      </c>
      <c r="B52" s="1">
        <f>(logtemperature__7[[#This Row],[seconds]]-28264)/60</f>
        <v>8.35</v>
      </c>
      <c r="C52" s="1">
        <v>71.260000000000005</v>
      </c>
    </row>
    <row r="53" spans="1:3" x14ac:dyDescent="0.25">
      <c r="A53">
        <v>28775</v>
      </c>
      <c r="B53" s="1">
        <f>(logtemperature__7[[#This Row],[seconds]]-28264)/60</f>
        <v>8.5166666666666675</v>
      </c>
      <c r="C53" s="1">
        <v>72</v>
      </c>
    </row>
    <row r="54" spans="1:3" x14ac:dyDescent="0.25">
      <c r="A54">
        <v>28785</v>
      </c>
      <c r="B54" s="1">
        <f>(logtemperature__7[[#This Row],[seconds]]-28264)/60</f>
        <v>8.6833333333333336</v>
      </c>
      <c r="C54" s="1">
        <v>72.209999999999994</v>
      </c>
    </row>
    <row r="55" spans="1:3" x14ac:dyDescent="0.25">
      <c r="A55">
        <v>28795</v>
      </c>
      <c r="B55" s="1">
        <f>(logtemperature__7[[#This Row],[seconds]]-28264)/60</f>
        <v>8.85</v>
      </c>
      <c r="C55" s="1">
        <v>73.680000000000007</v>
      </c>
    </row>
    <row r="56" spans="1:3" x14ac:dyDescent="0.25">
      <c r="A56">
        <v>28805</v>
      </c>
      <c r="B56" s="1">
        <f>(logtemperature__7[[#This Row],[seconds]]-28264)/60</f>
        <v>9.0166666666666675</v>
      </c>
      <c r="C56" s="1">
        <v>74.099999999999994</v>
      </c>
    </row>
    <row r="57" spans="1:3" x14ac:dyDescent="0.25">
      <c r="A57">
        <v>28815</v>
      </c>
      <c r="B57" s="1">
        <f>(logtemperature__7[[#This Row],[seconds]]-28264)/60</f>
        <v>9.1833333333333336</v>
      </c>
      <c r="C57" s="1">
        <v>73.94</v>
      </c>
    </row>
    <row r="58" spans="1:3" x14ac:dyDescent="0.25">
      <c r="A58">
        <v>28825</v>
      </c>
      <c r="B58" s="1">
        <f>(logtemperature__7[[#This Row],[seconds]]-28264)/60</f>
        <v>9.35</v>
      </c>
      <c r="C58" s="1">
        <v>74.849999999999994</v>
      </c>
    </row>
    <row r="59" spans="1:3" x14ac:dyDescent="0.25">
      <c r="A59">
        <v>28835</v>
      </c>
      <c r="B59" s="1">
        <f>(logtemperature__7[[#This Row],[seconds]]-28264)/60</f>
        <v>9.5166666666666675</v>
      </c>
      <c r="C59" s="1">
        <v>74.569999999999993</v>
      </c>
    </row>
    <row r="60" spans="1:3" x14ac:dyDescent="0.25">
      <c r="A60">
        <v>28845</v>
      </c>
      <c r="B60" s="1">
        <f>(logtemperature__7[[#This Row],[seconds]]-28264)/60</f>
        <v>9.6833333333333336</v>
      </c>
      <c r="C60" s="1">
        <v>75.14</v>
      </c>
    </row>
    <row r="61" spans="1:3" x14ac:dyDescent="0.25">
      <c r="A61">
        <v>28855</v>
      </c>
      <c r="B61" s="1">
        <f>(logtemperature__7[[#This Row],[seconds]]-28264)/60</f>
        <v>9.85</v>
      </c>
      <c r="C61" s="1">
        <v>75.25</v>
      </c>
    </row>
    <row r="62" spans="1:3" x14ac:dyDescent="0.25">
      <c r="A62">
        <v>28865</v>
      </c>
      <c r="B62" s="1">
        <f>(logtemperature__7[[#This Row],[seconds]]-28264)/60</f>
        <v>10.016666666666667</v>
      </c>
      <c r="C62" s="1">
        <v>75.66</v>
      </c>
    </row>
    <row r="63" spans="1:3" x14ac:dyDescent="0.25">
      <c r="A63">
        <v>28875</v>
      </c>
      <c r="B63" s="1">
        <f>(logtemperature__7[[#This Row],[seconds]]-28264)/60</f>
        <v>10.183333333333334</v>
      </c>
      <c r="C63" s="1">
        <v>76.67</v>
      </c>
    </row>
    <row r="64" spans="1:3" x14ac:dyDescent="0.25">
      <c r="A64">
        <v>28885</v>
      </c>
      <c r="B64" s="1">
        <f>(logtemperature__7[[#This Row],[seconds]]-28264)/60</f>
        <v>10.35</v>
      </c>
      <c r="C64" s="1">
        <v>77.150000000000006</v>
      </c>
    </row>
    <row r="65" spans="1:3" x14ac:dyDescent="0.25">
      <c r="A65">
        <v>28895</v>
      </c>
      <c r="B65" s="1">
        <f>(logtemperature__7[[#This Row],[seconds]]-28264)/60</f>
        <v>10.516666666666667</v>
      </c>
      <c r="C65" s="1">
        <v>77.930000000000007</v>
      </c>
    </row>
    <row r="66" spans="1:3" x14ac:dyDescent="0.25">
      <c r="A66">
        <v>28905</v>
      </c>
      <c r="B66" s="1">
        <f>(logtemperature__7[[#This Row],[seconds]]-28264)/60</f>
        <v>10.683333333333334</v>
      </c>
      <c r="C66" s="1">
        <v>79.03</v>
      </c>
    </row>
    <row r="67" spans="1:3" x14ac:dyDescent="0.25">
      <c r="A67">
        <v>28915</v>
      </c>
      <c r="B67" s="1">
        <f>(logtemperature__7[[#This Row],[seconds]]-28264)/60</f>
        <v>10.85</v>
      </c>
      <c r="C67" s="1">
        <v>78.760000000000005</v>
      </c>
    </row>
    <row r="68" spans="1:3" x14ac:dyDescent="0.25">
      <c r="A68">
        <v>28925</v>
      </c>
      <c r="B68" s="1">
        <f>(logtemperature__7[[#This Row],[seconds]]-28264)/60</f>
        <v>11.016666666666667</v>
      </c>
      <c r="C68" s="1">
        <v>79.040000000000006</v>
      </c>
    </row>
    <row r="69" spans="1:3" x14ac:dyDescent="0.25">
      <c r="A69">
        <v>28935</v>
      </c>
      <c r="B69" s="1">
        <f>(logtemperature__7[[#This Row],[seconds]]-28264)/60</f>
        <v>11.183333333333334</v>
      </c>
      <c r="C69" s="1">
        <v>79.400000000000006</v>
      </c>
    </row>
    <row r="70" spans="1:3" x14ac:dyDescent="0.25">
      <c r="A70">
        <v>28945</v>
      </c>
      <c r="B70" s="1">
        <f>(logtemperature__7[[#This Row],[seconds]]-28264)/60</f>
        <v>11.35</v>
      </c>
      <c r="C70" s="1">
        <v>79.36</v>
      </c>
    </row>
    <row r="71" spans="1:3" x14ac:dyDescent="0.25">
      <c r="A71">
        <v>28955</v>
      </c>
      <c r="B71" s="1">
        <f>(logtemperature__7[[#This Row],[seconds]]-28264)/60</f>
        <v>11.516666666666667</v>
      </c>
      <c r="C71" s="1">
        <v>80.19</v>
      </c>
    </row>
    <row r="72" spans="1:3" x14ac:dyDescent="0.25">
      <c r="A72">
        <v>28965</v>
      </c>
      <c r="B72" s="1">
        <f>(logtemperature__7[[#This Row],[seconds]]-28264)/60</f>
        <v>11.683333333333334</v>
      </c>
      <c r="C72" s="1">
        <v>81.599999999999994</v>
      </c>
    </row>
    <row r="73" spans="1:3" x14ac:dyDescent="0.25">
      <c r="A73">
        <v>28975</v>
      </c>
      <c r="B73" s="1">
        <f>(logtemperature__7[[#This Row],[seconds]]-28264)/60</f>
        <v>11.85</v>
      </c>
      <c r="C73" s="1">
        <v>81.73</v>
      </c>
    </row>
    <row r="74" spans="1:3" x14ac:dyDescent="0.25">
      <c r="A74">
        <v>28985</v>
      </c>
      <c r="B74" s="1">
        <f>(logtemperature__7[[#This Row],[seconds]]-28264)/60</f>
        <v>12.016666666666667</v>
      </c>
      <c r="C74" s="1">
        <v>82.41</v>
      </c>
    </row>
    <row r="75" spans="1:3" x14ac:dyDescent="0.25">
      <c r="A75">
        <v>28995</v>
      </c>
      <c r="B75" s="1">
        <f>(logtemperature__7[[#This Row],[seconds]]-28264)/60</f>
        <v>12.183333333333334</v>
      </c>
      <c r="C75" s="1">
        <v>83.32</v>
      </c>
    </row>
    <row r="76" spans="1:3" x14ac:dyDescent="0.25">
      <c r="A76">
        <v>29005</v>
      </c>
      <c r="B76" s="1">
        <f>(logtemperature__7[[#This Row],[seconds]]-28264)/60</f>
        <v>12.35</v>
      </c>
      <c r="C76" s="1">
        <v>82.54</v>
      </c>
    </row>
    <row r="77" spans="1:3" x14ac:dyDescent="0.25">
      <c r="A77">
        <v>29015</v>
      </c>
      <c r="B77" s="1">
        <f>(logtemperature__7[[#This Row],[seconds]]-28264)/60</f>
        <v>12.516666666666667</v>
      </c>
      <c r="C77" s="1">
        <v>83.27</v>
      </c>
    </row>
    <row r="78" spans="1:3" x14ac:dyDescent="0.25">
      <c r="A78">
        <v>29025</v>
      </c>
      <c r="B78" s="1">
        <f>(logtemperature__7[[#This Row],[seconds]]-28264)/60</f>
        <v>12.683333333333334</v>
      </c>
      <c r="C78" s="1">
        <v>83.75</v>
      </c>
    </row>
    <row r="79" spans="1:3" x14ac:dyDescent="0.25">
      <c r="A79">
        <v>29035</v>
      </c>
      <c r="B79" s="1">
        <f>(logtemperature__7[[#This Row],[seconds]]-28264)/60</f>
        <v>12.85</v>
      </c>
      <c r="C79" s="1">
        <v>83.78</v>
      </c>
    </row>
    <row r="80" spans="1:3" x14ac:dyDescent="0.25">
      <c r="A80">
        <v>29045</v>
      </c>
      <c r="B80" s="1">
        <f>(logtemperature__7[[#This Row],[seconds]]-28264)/60</f>
        <v>13.016666666666667</v>
      </c>
      <c r="C80" s="1">
        <v>84.59</v>
      </c>
    </row>
    <row r="81" spans="1:3" x14ac:dyDescent="0.25">
      <c r="A81">
        <v>29055</v>
      </c>
      <c r="B81" s="1">
        <f>(logtemperature__7[[#This Row],[seconds]]-28264)/60</f>
        <v>13.183333333333334</v>
      </c>
      <c r="C81" s="1">
        <v>85.11</v>
      </c>
    </row>
    <row r="82" spans="1:3" x14ac:dyDescent="0.25">
      <c r="A82">
        <v>29065</v>
      </c>
      <c r="B82" s="1">
        <f>(logtemperature__7[[#This Row],[seconds]]-28264)/60</f>
        <v>13.35</v>
      </c>
      <c r="C82" s="1">
        <v>85.19</v>
      </c>
    </row>
    <row r="83" spans="1:3" x14ac:dyDescent="0.25">
      <c r="A83">
        <v>29075</v>
      </c>
      <c r="B83" s="1">
        <f>(logtemperature__7[[#This Row],[seconds]]-28264)/60</f>
        <v>13.516666666666667</v>
      </c>
      <c r="C83" s="1">
        <v>85.55</v>
      </c>
    </row>
    <row r="84" spans="1:3" x14ac:dyDescent="0.25">
      <c r="A84">
        <v>29085</v>
      </c>
      <c r="B84" s="1">
        <f>(logtemperature__7[[#This Row],[seconds]]-28264)/60</f>
        <v>13.683333333333334</v>
      </c>
      <c r="C84" s="1">
        <v>86.12</v>
      </c>
    </row>
    <row r="85" spans="1:3" x14ac:dyDescent="0.25">
      <c r="A85">
        <v>29095</v>
      </c>
      <c r="B85" s="1">
        <f>(logtemperature__7[[#This Row],[seconds]]-28264)/60</f>
        <v>13.85</v>
      </c>
      <c r="C85" s="1">
        <v>86.64</v>
      </c>
    </row>
    <row r="86" spans="1:3" x14ac:dyDescent="0.25">
      <c r="A86">
        <v>29105</v>
      </c>
      <c r="B86" s="1">
        <f>(logtemperature__7[[#This Row],[seconds]]-28264)/60</f>
        <v>14.016666666666667</v>
      </c>
      <c r="C86" s="1">
        <v>87.24</v>
      </c>
    </row>
    <row r="87" spans="1:3" x14ac:dyDescent="0.25">
      <c r="A87">
        <v>29115</v>
      </c>
      <c r="B87" s="1">
        <f>(logtemperature__7[[#This Row],[seconds]]-28264)/60</f>
        <v>14.183333333333334</v>
      </c>
      <c r="C87" s="1">
        <v>87.05</v>
      </c>
    </row>
    <row r="88" spans="1:3" x14ac:dyDescent="0.25">
      <c r="A88">
        <v>29125</v>
      </c>
      <c r="B88" s="1">
        <f>(logtemperature__7[[#This Row],[seconds]]-28264)/60</f>
        <v>14.35</v>
      </c>
      <c r="C88" s="1">
        <v>86.99</v>
      </c>
    </row>
    <row r="89" spans="1:3" x14ac:dyDescent="0.25">
      <c r="A89">
        <v>29135</v>
      </c>
      <c r="B89" s="1">
        <f>(logtemperature__7[[#This Row],[seconds]]-28264)/60</f>
        <v>14.516666666666667</v>
      </c>
      <c r="C89" s="1">
        <v>87.09</v>
      </c>
    </row>
    <row r="90" spans="1:3" x14ac:dyDescent="0.25">
      <c r="A90">
        <v>29145</v>
      </c>
      <c r="B90" s="1">
        <f>(logtemperature__7[[#This Row],[seconds]]-28264)/60</f>
        <v>14.683333333333334</v>
      </c>
      <c r="C90" s="1">
        <v>87.38</v>
      </c>
    </row>
    <row r="91" spans="1:3" x14ac:dyDescent="0.25">
      <c r="A91">
        <v>29155</v>
      </c>
      <c r="B91" s="1">
        <f>(logtemperature__7[[#This Row],[seconds]]-28264)/60</f>
        <v>14.85</v>
      </c>
      <c r="C91" s="1">
        <v>87.63</v>
      </c>
    </row>
    <row r="92" spans="1:3" x14ac:dyDescent="0.25">
      <c r="A92">
        <v>29165</v>
      </c>
      <c r="B92" s="1">
        <f>(logtemperature__7[[#This Row],[seconds]]-28264)/60</f>
        <v>15.016666666666667</v>
      </c>
      <c r="C92" s="1">
        <v>88.16</v>
      </c>
    </row>
    <row r="93" spans="1:3" x14ac:dyDescent="0.25">
      <c r="A93">
        <v>29175</v>
      </c>
      <c r="B93" s="1">
        <f>(logtemperature__7[[#This Row],[seconds]]-28264)/60</f>
        <v>15.183333333333334</v>
      </c>
      <c r="C93" s="1">
        <v>88.23</v>
      </c>
    </row>
    <row r="94" spans="1:3" x14ac:dyDescent="0.25">
      <c r="A94">
        <v>29185</v>
      </c>
      <c r="B94" s="1">
        <f>(logtemperature__7[[#This Row],[seconds]]-28264)/60</f>
        <v>15.35</v>
      </c>
      <c r="C94" s="1">
        <v>88.92</v>
      </c>
    </row>
    <row r="95" spans="1:3" x14ac:dyDescent="0.25">
      <c r="A95">
        <v>29195</v>
      </c>
      <c r="B95" s="1">
        <f>(logtemperature__7[[#This Row],[seconds]]-28264)/60</f>
        <v>15.516666666666667</v>
      </c>
      <c r="C95" s="1">
        <v>89.61</v>
      </c>
    </row>
    <row r="96" spans="1:3" x14ac:dyDescent="0.25">
      <c r="A96">
        <v>29205</v>
      </c>
      <c r="B96" s="1">
        <f>(logtemperature__7[[#This Row],[seconds]]-28264)/60</f>
        <v>15.683333333333334</v>
      </c>
      <c r="C96" s="1">
        <v>89.52</v>
      </c>
    </row>
    <row r="97" spans="1:3" x14ac:dyDescent="0.25">
      <c r="A97">
        <v>29215</v>
      </c>
      <c r="B97" s="1">
        <f>(logtemperature__7[[#This Row],[seconds]]-28264)/60</f>
        <v>15.85</v>
      </c>
      <c r="C97" s="1">
        <v>89.37</v>
      </c>
    </row>
    <row r="98" spans="1:3" x14ac:dyDescent="0.25">
      <c r="A98">
        <v>29226</v>
      </c>
      <c r="B98" s="1">
        <f>(logtemperature__7[[#This Row],[seconds]]-28264)/60</f>
        <v>16.033333333333335</v>
      </c>
      <c r="C98" s="1">
        <v>89.61</v>
      </c>
    </row>
    <row r="99" spans="1:3" x14ac:dyDescent="0.25">
      <c r="A99">
        <v>29236</v>
      </c>
      <c r="B99" s="1">
        <f>(logtemperature__7[[#This Row],[seconds]]-28264)/60</f>
        <v>16.2</v>
      </c>
      <c r="C99" s="1">
        <v>89.78</v>
      </c>
    </row>
    <row r="100" spans="1:3" x14ac:dyDescent="0.25">
      <c r="A100">
        <v>29246</v>
      </c>
      <c r="B100" s="1">
        <f>(logtemperature__7[[#This Row],[seconds]]-28264)/60</f>
        <v>16.366666666666667</v>
      </c>
      <c r="C100" s="1">
        <v>90.51</v>
      </c>
    </row>
    <row r="101" spans="1:3" x14ac:dyDescent="0.25">
      <c r="A101">
        <v>29256</v>
      </c>
      <c r="B101" s="1">
        <f>(logtemperature__7[[#This Row],[seconds]]-28264)/60</f>
        <v>16.533333333333335</v>
      </c>
      <c r="C101" s="1">
        <v>91.32</v>
      </c>
    </row>
    <row r="102" spans="1:3" x14ac:dyDescent="0.25">
      <c r="A102">
        <v>29266</v>
      </c>
      <c r="B102" s="1">
        <f>(logtemperature__7[[#This Row],[seconds]]-28264)/60</f>
        <v>16.7</v>
      </c>
      <c r="C102" s="1">
        <v>91.69</v>
      </c>
    </row>
    <row r="103" spans="1:3" x14ac:dyDescent="0.25">
      <c r="A103">
        <v>29276</v>
      </c>
      <c r="B103" s="1">
        <f>(logtemperature__7[[#This Row],[seconds]]-28264)/60</f>
        <v>16.866666666666667</v>
      </c>
      <c r="C103" s="1">
        <v>91.88</v>
      </c>
    </row>
    <row r="104" spans="1:3" x14ac:dyDescent="0.25">
      <c r="A104">
        <v>29286</v>
      </c>
      <c r="B104" s="1">
        <f>(logtemperature__7[[#This Row],[seconds]]-28264)/60</f>
        <v>17.033333333333335</v>
      </c>
      <c r="C104" s="1">
        <v>92.54</v>
      </c>
    </row>
    <row r="105" spans="1:3" x14ac:dyDescent="0.25">
      <c r="A105">
        <v>29296</v>
      </c>
      <c r="B105" s="1">
        <f>(logtemperature__7[[#This Row],[seconds]]-28264)/60</f>
        <v>17.2</v>
      </c>
      <c r="C105" s="1">
        <v>92.95</v>
      </c>
    </row>
    <row r="106" spans="1:3" x14ac:dyDescent="0.25">
      <c r="A106">
        <v>29306</v>
      </c>
      <c r="B106" s="1">
        <f>(logtemperature__7[[#This Row],[seconds]]-28264)/60</f>
        <v>17.366666666666667</v>
      </c>
      <c r="C106" s="1">
        <v>92.99</v>
      </c>
    </row>
    <row r="107" spans="1:3" x14ac:dyDescent="0.25">
      <c r="A107">
        <v>29316</v>
      </c>
      <c r="B107" s="1">
        <f>(logtemperature__7[[#This Row],[seconds]]-28264)/60</f>
        <v>17.533333333333335</v>
      </c>
      <c r="C107" s="1">
        <v>92.28</v>
      </c>
    </row>
    <row r="108" spans="1:3" x14ac:dyDescent="0.25">
      <c r="A108">
        <v>29326</v>
      </c>
      <c r="B108" s="1">
        <f>(logtemperature__7[[#This Row],[seconds]]-28264)/60</f>
        <v>17.7</v>
      </c>
      <c r="C108" s="1">
        <v>92.47</v>
      </c>
    </row>
    <row r="109" spans="1:3" x14ac:dyDescent="0.25">
      <c r="A109">
        <v>29336</v>
      </c>
      <c r="B109" s="1">
        <f>(logtemperature__7[[#This Row],[seconds]]-28264)/60</f>
        <v>17.866666666666667</v>
      </c>
      <c r="C109" s="1">
        <v>93.02</v>
      </c>
    </row>
    <row r="110" spans="1:3" x14ac:dyDescent="0.25">
      <c r="A110">
        <v>29346</v>
      </c>
      <c r="B110" s="1">
        <f>(logtemperature__7[[#This Row],[seconds]]-28264)/60</f>
        <v>18.033333333333335</v>
      </c>
      <c r="C110" s="1">
        <v>92.99</v>
      </c>
    </row>
    <row r="111" spans="1:3" x14ac:dyDescent="0.25">
      <c r="A111">
        <v>29356</v>
      </c>
      <c r="B111" s="1">
        <f>(logtemperature__7[[#This Row],[seconds]]-28264)/60</f>
        <v>18.2</v>
      </c>
      <c r="C111" s="1">
        <v>93.85</v>
      </c>
    </row>
    <row r="112" spans="1:3" x14ac:dyDescent="0.25">
      <c r="A112">
        <v>29366</v>
      </c>
      <c r="B112" s="1">
        <f>(logtemperature__7[[#This Row],[seconds]]-28264)/60</f>
        <v>18.366666666666667</v>
      </c>
      <c r="C112" s="1">
        <v>94.32</v>
      </c>
    </row>
    <row r="113" spans="1:3" x14ac:dyDescent="0.25">
      <c r="A113">
        <v>29376</v>
      </c>
      <c r="B113" s="1">
        <f>(logtemperature__7[[#This Row],[seconds]]-28264)/60</f>
        <v>18.533333333333335</v>
      </c>
      <c r="C113" s="1">
        <v>94.52</v>
      </c>
    </row>
    <row r="114" spans="1:3" x14ac:dyDescent="0.25">
      <c r="A114">
        <v>29386</v>
      </c>
      <c r="B114" s="1">
        <f>(logtemperature__7[[#This Row],[seconds]]-28264)/60</f>
        <v>18.7</v>
      </c>
      <c r="C114" s="1">
        <v>93.87</v>
      </c>
    </row>
    <row r="115" spans="1:3" x14ac:dyDescent="0.25">
      <c r="A115">
        <v>29396</v>
      </c>
      <c r="B115" s="1">
        <f>(logtemperature__7[[#This Row],[seconds]]-28264)/60</f>
        <v>18.866666666666667</v>
      </c>
      <c r="C115" s="1">
        <v>94.25</v>
      </c>
    </row>
    <row r="116" spans="1:3" x14ac:dyDescent="0.25">
      <c r="A116">
        <v>29406</v>
      </c>
      <c r="B116" s="1">
        <f>(logtemperature__7[[#This Row],[seconds]]-28264)/60</f>
        <v>19.033333333333335</v>
      </c>
      <c r="C116" s="1">
        <v>95.02</v>
      </c>
    </row>
    <row r="117" spans="1:3" x14ac:dyDescent="0.25">
      <c r="A117">
        <v>29416</v>
      </c>
      <c r="B117" s="1">
        <f>(logtemperature__7[[#This Row],[seconds]]-28264)/60</f>
        <v>19.2</v>
      </c>
      <c r="C117" s="1">
        <v>95.13</v>
      </c>
    </row>
    <row r="118" spans="1:3" x14ac:dyDescent="0.25">
      <c r="A118">
        <v>29426</v>
      </c>
      <c r="B118" s="1">
        <f>(logtemperature__7[[#This Row],[seconds]]-28264)/60</f>
        <v>19.366666666666667</v>
      </c>
      <c r="C118" s="1">
        <v>95.56</v>
      </c>
    </row>
    <row r="119" spans="1:3" x14ac:dyDescent="0.25">
      <c r="A119">
        <v>29436</v>
      </c>
      <c r="B119" s="1">
        <f>(logtemperature__7[[#This Row],[seconds]]-28264)/60</f>
        <v>19.533333333333335</v>
      </c>
      <c r="C119" s="1">
        <v>96.15</v>
      </c>
    </row>
    <row r="120" spans="1:3" x14ac:dyDescent="0.25">
      <c r="A120">
        <v>29446</v>
      </c>
      <c r="B120" s="1">
        <f>(logtemperature__7[[#This Row],[seconds]]-28264)/60</f>
        <v>19.7</v>
      </c>
      <c r="C120" s="1">
        <v>96.6</v>
      </c>
    </row>
    <row r="121" spans="1:3" x14ac:dyDescent="0.25">
      <c r="A121">
        <v>29456</v>
      </c>
      <c r="B121" s="1">
        <f>(logtemperature__7[[#This Row],[seconds]]-28264)/60</f>
        <v>19.866666666666667</v>
      </c>
      <c r="C121" s="1">
        <v>96.63</v>
      </c>
    </row>
    <row r="122" spans="1:3" x14ac:dyDescent="0.25">
      <c r="A122">
        <v>29466</v>
      </c>
      <c r="B122" s="1">
        <f>(logtemperature__7[[#This Row],[seconds]]-28264)/60</f>
        <v>20.033333333333335</v>
      </c>
      <c r="C122" s="1">
        <v>97</v>
      </c>
    </row>
    <row r="123" spans="1:3" x14ac:dyDescent="0.25">
      <c r="A123">
        <v>29476</v>
      </c>
      <c r="B123" s="1">
        <f>(logtemperature__7[[#This Row],[seconds]]-28264)/60</f>
        <v>20.2</v>
      </c>
      <c r="C123" s="1">
        <v>97.41</v>
      </c>
    </row>
    <row r="124" spans="1:3" x14ac:dyDescent="0.25">
      <c r="A124">
        <v>29486</v>
      </c>
      <c r="B124" s="1">
        <f>(logtemperature__7[[#This Row],[seconds]]-28264)/60</f>
        <v>20.366666666666667</v>
      </c>
      <c r="C124" s="1">
        <v>97.44</v>
      </c>
    </row>
    <row r="125" spans="1:3" x14ac:dyDescent="0.25">
      <c r="A125">
        <v>29496</v>
      </c>
      <c r="B125" s="1">
        <f>(logtemperature__7[[#This Row],[seconds]]-28264)/60</f>
        <v>20.533333333333335</v>
      </c>
      <c r="C125" s="1">
        <v>97.71</v>
      </c>
    </row>
    <row r="126" spans="1:3" x14ac:dyDescent="0.25">
      <c r="A126">
        <v>29506</v>
      </c>
      <c r="B126" s="1">
        <f>(logtemperature__7[[#This Row],[seconds]]-28264)/60</f>
        <v>20.7</v>
      </c>
      <c r="C126" s="1">
        <v>97.94</v>
      </c>
    </row>
    <row r="127" spans="1:3" x14ac:dyDescent="0.25">
      <c r="A127">
        <v>29516</v>
      </c>
      <c r="B127" s="1">
        <f>(logtemperature__7[[#This Row],[seconds]]-28264)/60</f>
        <v>20.866666666666667</v>
      </c>
      <c r="C127" s="1">
        <v>99.06</v>
      </c>
    </row>
    <row r="128" spans="1:3" x14ac:dyDescent="0.25">
      <c r="A128">
        <v>29526</v>
      </c>
      <c r="B128" s="1">
        <f>(logtemperature__7[[#This Row],[seconds]]-28264)/60</f>
        <v>21.033333333333335</v>
      </c>
      <c r="C128" s="1">
        <v>98.56</v>
      </c>
    </row>
    <row r="129" spans="1:3" x14ac:dyDescent="0.25">
      <c r="A129">
        <v>29536</v>
      </c>
      <c r="B129" s="1">
        <f>(logtemperature__7[[#This Row],[seconds]]-28264)/60</f>
        <v>21.2</v>
      </c>
      <c r="C129" s="1">
        <v>98.82</v>
      </c>
    </row>
    <row r="130" spans="1:3" x14ac:dyDescent="0.25">
      <c r="A130">
        <v>29546</v>
      </c>
      <c r="B130" s="1">
        <f>(logtemperature__7[[#This Row],[seconds]]-28264)/60</f>
        <v>21.366666666666667</v>
      </c>
      <c r="C130" s="1">
        <v>99.46</v>
      </c>
    </row>
    <row r="131" spans="1:3" x14ac:dyDescent="0.25">
      <c r="A131">
        <v>29556</v>
      </c>
      <c r="B131" s="1">
        <f>(logtemperature__7[[#This Row],[seconds]]-28264)/60</f>
        <v>21.533333333333335</v>
      </c>
      <c r="C131" s="1">
        <v>99.71</v>
      </c>
    </row>
    <row r="132" spans="1:3" x14ac:dyDescent="0.25">
      <c r="A132">
        <v>29566</v>
      </c>
      <c r="B132" s="1">
        <f>(logtemperature__7[[#This Row],[seconds]]-28264)/60</f>
        <v>21.7</v>
      </c>
      <c r="C132" s="1">
        <v>99.12</v>
      </c>
    </row>
    <row r="133" spans="1:3" x14ac:dyDescent="0.25">
      <c r="A133">
        <v>29576</v>
      </c>
      <c r="B133" s="1">
        <f>(logtemperature__7[[#This Row],[seconds]]-28264)/60</f>
        <v>21.866666666666667</v>
      </c>
      <c r="C133" s="1">
        <v>99.38</v>
      </c>
    </row>
    <row r="134" spans="1:3" x14ac:dyDescent="0.25">
      <c r="A134">
        <v>29586</v>
      </c>
      <c r="B134" s="1">
        <f>(logtemperature__7[[#This Row],[seconds]]-28264)/60</f>
        <v>22.033333333333335</v>
      </c>
      <c r="C134" s="1">
        <v>99.5</v>
      </c>
    </row>
    <row r="135" spans="1:3" x14ac:dyDescent="0.25">
      <c r="A135">
        <v>29596</v>
      </c>
      <c r="B135" s="1">
        <f>(logtemperature__7[[#This Row],[seconds]]-28264)/60</f>
        <v>22.2</v>
      </c>
      <c r="C135" s="1">
        <v>99.66</v>
      </c>
    </row>
    <row r="136" spans="1:3" x14ac:dyDescent="0.25">
      <c r="A136">
        <v>29606</v>
      </c>
      <c r="B136" s="1">
        <f>(logtemperature__7[[#This Row],[seconds]]-28264)/60</f>
        <v>22.366666666666667</v>
      </c>
      <c r="C136" s="1">
        <v>99.54</v>
      </c>
    </row>
    <row r="137" spans="1:3" x14ac:dyDescent="0.25">
      <c r="A137">
        <v>29616</v>
      </c>
      <c r="B137" s="1">
        <f>(logtemperature__7[[#This Row],[seconds]]-28264)/60</f>
        <v>22.533333333333335</v>
      </c>
      <c r="C137" s="1">
        <v>99.98</v>
      </c>
    </row>
    <row r="138" spans="1:3" x14ac:dyDescent="0.25">
      <c r="A138">
        <v>29626</v>
      </c>
      <c r="B138" s="1">
        <f>(logtemperature__7[[#This Row],[seconds]]-28264)/60</f>
        <v>22.7</v>
      </c>
      <c r="C138" s="1">
        <v>100.83</v>
      </c>
    </row>
    <row r="139" spans="1:3" x14ac:dyDescent="0.25">
      <c r="A139">
        <v>29636</v>
      </c>
      <c r="B139" s="1">
        <f>(logtemperature__7[[#This Row],[seconds]]-28264)/60</f>
        <v>22.866666666666667</v>
      </c>
      <c r="C139" s="1">
        <v>100.65</v>
      </c>
    </row>
    <row r="140" spans="1:3" x14ac:dyDescent="0.25">
      <c r="A140">
        <v>29646</v>
      </c>
      <c r="B140" s="1">
        <f>(logtemperature__7[[#This Row],[seconds]]-28264)/60</f>
        <v>23.033333333333335</v>
      </c>
      <c r="C140" s="1">
        <v>99.51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ADB9-A701-4743-A834-A1C2B2198B26}">
  <dimension ref="A1:C201"/>
  <sheetViews>
    <sheetView tabSelected="1"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 s="1">
        <v>66</v>
      </c>
      <c r="B2" s="1">
        <f>(logtemperature__8[[#This Row],[seconds]]-66)/60</f>
        <v>0</v>
      </c>
      <c r="C2" s="1">
        <v>23.82</v>
      </c>
    </row>
    <row r="3" spans="1:3" x14ac:dyDescent="0.25">
      <c r="A3" s="1">
        <v>76</v>
      </c>
      <c r="B3" s="1">
        <f>(logtemperature__8[[#This Row],[seconds]]-66)/60</f>
        <v>0.16666666666666666</v>
      </c>
      <c r="C3" s="1">
        <v>23.87</v>
      </c>
    </row>
    <row r="4" spans="1:3" x14ac:dyDescent="0.25">
      <c r="A4" s="1">
        <v>86</v>
      </c>
      <c r="B4" s="1">
        <f>(logtemperature__8[[#This Row],[seconds]]-66)/60</f>
        <v>0.33333333333333331</v>
      </c>
      <c r="C4" s="1">
        <v>23.85</v>
      </c>
    </row>
    <row r="5" spans="1:3" x14ac:dyDescent="0.25">
      <c r="A5" s="1">
        <v>96</v>
      </c>
      <c r="B5" s="1">
        <f>(logtemperature__8[[#This Row],[seconds]]-66)/60</f>
        <v>0.5</v>
      </c>
      <c r="C5" s="1">
        <v>24.02</v>
      </c>
    </row>
    <row r="6" spans="1:3" x14ac:dyDescent="0.25">
      <c r="A6" s="1">
        <v>106</v>
      </c>
      <c r="B6" s="1">
        <f>(logtemperature__8[[#This Row],[seconds]]-66)/60</f>
        <v>0.66666666666666663</v>
      </c>
      <c r="C6" s="1">
        <v>24.14</v>
      </c>
    </row>
    <row r="7" spans="1:3" x14ac:dyDescent="0.25">
      <c r="A7" s="1">
        <v>116</v>
      </c>
      <c r="B7" s="1">
        <f>(logtemperature__8[[#This Row],[seconds]]-66)/60</f>
        <v>0.83333333333333337</v>
      </c>
      <c r="C7" s="1">
        <v>24.51</v>
      </c>
    </row>
    <row r="8" spans="1:3" x14ac:dyDescent="0.25">
      <c r="A8" s="1">
        <v>126</v>
      </c>
      <c r="B8" s="1">
        <f>(logtemperature__8[[#This Row],[seconds]]-66)/60</f>
        <v>1</v>
      </c>
      <c r="C8" s="1">
        <v>26.66</v>
      </c>
    </row>
    <row r="9" spans="1:3" x14ac:dyDescent="0.25">
      <c r="A9" s="1">
        <v>136</v>
      </c>
      <c r="B9" s="1">
        <f>(logtemperature__8[[#This Row],[seconds]]-66)/60</f>
        <v>1.1666666666666667</v>
      </c>
      <c r="C9" s="1">
        <v>30.51</v>
      </c>
    </row>
    <row r="10" spans="1:3" x14ac:dyDescent="0.25">
      <c r="A10" s="1">
        <v>146</v>
      </c>
      <c r="B10" s="1">
        <f>(logtemperature__8[[#This Row],[seconds]]-66)/60</f>
        <v>1.3333333333333333</v>
      </c>
      <c r="C10" s="1">
        <v>33.94</v>
      </c>
    </row>
    <row r="11" spans="1:3" x14ac:dyDescent="0.25">
      <c r="A11" s="1">
        <v>156</v>
      </c>
      <c r="B11" s="1">
        <f>(logtemperature__8[[#This Row],[seconds]]-66)/60</f>
        <v>1.5</v>
      </c>
      <c r="C11" s="1">
        <v>36.58</v>
      </c>
    </row>
    <row r="12" spans="1:3" x14ac:dyDescent="0.25">
      <c r="A12" s="1">
        <v>166</v>
      </c>
      <c r="B12" s="1">
        <f>(logtemperature__8[[#This Row],[seconds]]-66)/60</f>
        <v>1.6666666666666667</v>
      </c>
      <c r="C12" s="1">
        <v>38.69</v>
      </c>
    </row>
    <row r="13" spans="1:3" x14ac:dyDescent="0.25">
      <c r="A13" s="1">
        <v>176</v>
      </c>
      <c r="B13" s="1">
        <f>(logtemperature__8[[#This Row],[seconds]]-66)/60</f>
        <v>1.8333333333333333</v>
      </c>
      <c r="C13" s="1">
        <v>40.11</v>
      </c>
    </row>
    <row r="14" spans="1:3" x14ac:dyDescent="0.25">
      <c r="A14" s="1">
        <v>186</v>
      </c>
      <c r="B14" s="1">
        <f>(logtemperature__8[[#This Row],[seconds]]-66)/60</f>
        <v>2</v>
      </c>
      <c r="C14" s="1">
        <v>41.4</v>
      </c>
    </row>
    <row r="15" spans="1:3" x14ac:dyDescent="0.25">
      <c r="A15" s="1">
        <v>196</v>
      </c>
      <c r="B15" s="1">
        <f>(logtemperature__8[[#This Row],[seconds]]-66)/60</f>
        <v>2.1666666666666665</v>
      </c>
      <c r="C15" s="1">
        <v>43.29</v>
      </c>
    </row>
    <row r="16" spans="1:3" x14ac:dyDescent="0.25">
      <c r="A16" s="1">
        <v>206</v>
      </c>
      <c r="B16" s="1">
        <f>(logtemperature__8[[#This Row],[seconds]]-66)/60</f>
        <v>2.3333333333333335</v>
      </c>
      <c r="C16" s="1">
        <v>44.4</v>
      </c>
    </row>
    <row r="17" spans="1:3" x14ac:dyDescent="0.25">
      <c r="A17" s="1">
        <v>216</v>
      </c>
      <c r="B17" s="1">
        <f>(logtemperature__8[[#This Row],[seconds]]-66)/60</f>
        <v>2.5</v>
      </c>
      <c r="C17" s="1">
        <v>46.37</v>
      </c>
    </row>
    <row r="18" spans="1:3" x14ac:dyDescent="0.25">
      <c r="A18" s="1">
        <v>226</v>
      </c>
      <c r="B18" s="1">
        <f>(logtemperature__8[[#This Row],[seconds]]-66)/60</f>
        <v>2.6666666666666665</v>
      </c>
      <c r="C18" s="1">
        <v>45.76</v>
      </c>
    </row>
    <row r="19" spans="1:3" x14ac:dyDescent="0.25">
      <c r="A19" s="1">
        <v>236</v>
      </c>
      <c r="B19" s="1">
        <f>(logtemperature__8[[#This Row],[seconds]]-66)/60</f>
        <v>2.8333333333333335</v>
      </c>
      <c r="C19" s="1">
        <v>47.42</v>
      </c>
    </row>
    <row r="20" spans="1:3" x14ac:dyDescent="0.25">
      <c r="A20" s="1">
        <v>246</v>
      </c>
      <c r="B20" s="1">
        <f>(logtemperature__8[[#This Row],[seconds]]-66)/60</f>
        <v>3</v>
      </c>
      <c r="C20" s="1">
        <v>49.44</v>
      </c>
    </row>
    <row r="21" spans="1:3" x14ac:dyDescent="0.25">
      <c r="A21" s="1">
        <v>256</v>
      </c>
      <c r="B21" s="1">
        <f>(logtemperature__8[[#This Row],[seconds]]-66)/60</f>
        <v>3.1666666666666665</v>
      </c>
      <c r="C21" s="1">
        <v>50.43</v>
      </c>
    </row>
    <row r="22" spans="1:3" x14ac:dyDescent="0.25">
      <c r="A22" s="1">
        <v>266</v>
      </c>
      <c r="B22" s="1">
        <f>(logtemperature__8[[#This Row],[seconds]]-66)/60</f>
        <v>3.3333333333333335</v>
      </c>
      <c r="C22" s="1">
        <v>51.19</v>
      </c>
    </row>
    <row r="23" spans="1:3" x14ac:dyDescent="0.25">
      <c r="A23" s="1">
        <v>276</v>
      </c>
      <c r="B23" s="1">
        <f>(logtemperature__8[[#This Row],[seconds]]-66)/60</f>
        <v>3.5</v>
      </c>
      <c r="C23" s="1">
        <v>52.46</v>
      </c>
    </row>
    <row r="24" spans="1:3" x14ac:dyDescent="0.25">
      <c r="A24" s="1">
        <v>287</v>
      </c>
      <c r="B24" s="1">
        <f>(logtemperature__8[[#This Row],[seconds]]-66)/60</f>
        <v>3.6833333333333331</v>
      </c>
      <c r="C24" s="1">
        <v>52.26</v>
      </c>
    </row>
    <row r="25" spans="1:3" x14ac:dyDescent="0.25">
      <c r="A25" s="1">
        <v>297</v>
      </c>
      <c r="B25" s="1">
        <f>(logtemperature__8[[#This Row],[seconds]]-66)/60</f>
        <v>3.85</v>
      </c>
      <c r="C25" s="1">
        <v>54.14</v>
      </c>
    </row>
    <row r="26" spans="1:3" x14ac:dyDescent="0.25">
      <c r="A26" s="1">
        <v>307</v>
      </c>
      <c r="B26" s="1">
        <f>(logtemperature__8[[#This Row],[seconds]]-66)/60</f>
        <v>4.0166666666666666</v>
      </c>
      <c r="C26" s="1">
        <v>54.37</v>
      </c>
    </row>
    <row r="27" spans="1:3" x14ac:dyDescent="0.25">
      <c r="A27" s="1">
        <v>317</v>
      </c>
      <c r="B27" s="1">
        <f>(logtemperature__8[[#This Row],[seconds]]-66)/60</f>
        <v>4.1833333333333336</v>
      </c>
      <c r="C27" s="1">
        <v>53.97</v>
      </c>
    </row>
    <row r="28" spans="1:3" x14ac:dyDescent="0.25">
      <c r="A28" s="1">
        <v>327</v>
      </c>
      <c r="B28" s="1">
        <f>(logtemperature__8[[#This Row],[seconds]]-66)/60</f>
        <v>4.3499999999999996</v>
      </c>
      <c r="C28" s="1">
        <v>54.98</v>
      </c>
    </row>
    <row r="29" spans="1:3" x14ac:dyDescent="0.25">
      <c r="A29" s="1">
        <v>337</v>
      </c>
      <c r="B29" s="1">
        <f>(logtemperature__8[[#This Row],[seconds]]-66)/60</f>
        <v>4.5166666666666666</v>
      </c>
      <c r="C29" s="1">
        <v>55.06</v>
      </c>
    </row>
    <row r="30" spans="1:3" x14ac:dyDescent="0.25">
      <c r="A30" s="1">
        <v>347</v>
      </c>
      <c r="B30" s="1">
        <f>(logtemperature__8[[#This Row],[seconds]]-66)/60</f>
        <v>4.6833333333333336</v>
      </c>
      <c r="C30" s="1">
        <v>56.19</v>
      </c>
    </row>
    <row r="31" spans="1:3" x14ac:dyDescent="0.25">
      <c r="A31" s="1">
        <v>357</v>
      </c>
      <c r="B31" s="1">
        <f>(logtemperature__8[[#This Row],[seconds]]-66)/60</f>
        <v>4.8499999999999996</v>
      </c>
      <c r="C31" s="1">
        <v>56.23</v>
      </c>
    </row>
    <row r="32" spans="1:3" x14ac:dyDescent="0.25">
      <c r="A32" s="1">
        <v>367</v>
      </c>
      <c r="B32" s="1">
        <f>(logtemperature__8[[#This Row],[seconds]]-66)/60</f>
        <v>5.0166666666666666</v>
      </c>
      <c r="C32" s="1">
        <v>57.59</v>
      </c>
    </row>
    <row r="33" spans="1:3" x14ac:dyDescent="0.25">
      <c r="A33" s="1">
        <v>377</v>
      </c>
      <c r="B33" s="1">
        <f>(logtemperature__8[[#This Row],[seconds]]-66)/60</f>
        <v>5.1833333333333336</v>
      </c>
      <c r="C33" s="1">
        <v>58.06</v>
      </c>
    </row>
    <row r="34" spans="1:3" x14ac:dyDescent="0.25">
      <c r="A34" s="1">
        <v>387</v>
      </c>
      <c r="B34" s="1">
        <f>(logtemperature__8[[#This Row],[seconds]]-66)/60</f>
        <v>5.35</v>
      </c>
      <c r="C34" s="1">
        <v>58.41</v>
      </c>
    </row>
    <row r="35" spans="1:3" x14ac:dyDescent="0.25">
      <c r="A35" s="1">
        <v>397</v>
      </c>
      <c r="B35" s="1">
        <f>(logtemperature__8[[#This Row],[seconds]]-66)/60</f>
        <v>5.5166666666666666</v>
      </c>
      <c r="C35" s="1">
        <v>59.54</v>
      </c>
    </row>
    <row r="36" spans="1:3" x14ac:dyDescent="0.25">
      <c r="A36" s="1">
        <v>407</v>
      </c>
      <c r="B36" s="1">
        <f>(logtemperature__8[[#This Row],[seconds]]-66)/60</f>
        <v>5.6833333333333336</v>
      </c>
      <c r="C36" s="1">
        <v>60.24</v>
      </c>
    </row>
    <row r="37" spans="1:3" x14ac:dyDescent="0.25">
      <c r="A37" s="1">
        <v>417</v>
      </c>
      <c r="B37" s="1">
        <f>(logtemperature__8[[#This Row],[seconds]]-66)/60</f>
        <v>5.85</v>
      </c>
      <c r="C37" s="1">
        <v>62.2</v>
      </c>
    </row>
    <row r="38" spans="1:3" x14ac:dyDescent="0.25">
      <c r="A38" s="1">
        <v>427</v>
      </c>
      <c r="B38" s="1">
        <f>(logtemperature__8[[#This Row],[seconds]]-66)/60</f>
        <v>6.0166666666666666</v>
      </c>
      <c r="C38" s="1">
        <v>62.54</v>
      </c>
    </row>
    <row r="39" spans="1:3" x14ac:dyDescent="0.25">
      <c r="A39" s="1">
        <v>437</v>
      </c>
      <c r="B39" s="1">
        <f>(logtemperature__8[[#This Row],[seconds]]-66)/60</f>
        <v>6.1833333333333336</v>
      </c>
      <c r="C39" s="1">
        <v>63.64</v>
      </c>
    </row>
    <row r="40" spans="1:3" x14ac:dyDescent="0.25">
      <c r="A40" s="1">
        <v>447</v>
      </c>
      <c r="B40" s="1">
        <f>(logtemperature__8[[#This Row],[seconds]]-66)/60</f>
        <v>6.35</v>
      </c>
      <c r="C40" s="1">
        <v>64.040000000000006</v>
      </c>
    </row>
    <row r="41" spans="1:3" x14ac:dyDescent="0.25">
      <c r="A41" s="1">
        <v>457</v>
      </c>
      <c r="B41" s="1">
        <f>(logtemperature__8[[#This Row],[seconds]]-66)/60</f>
        <v>6.5166666666666666</v>
      </c>
      <c r="C41" s="1">
        <v>64.010000000000005</v>
      </c>
    </row>
    <row r="42" spans="1:3" x14ac:dyDescent="0.25">
      <c r="A42" s="1">
        <v>467</v>
      </c>
      <c r="B42" s="1">
        <f>(logtemperature__8[[#This Row],[seconds]]-66)/60</f>
        <v>6.6833333333333336</v>
      </c>
      <c r="C42" s="1">
        <v>64.98</v>
      </c>
    </row>
    <row r="43" spans="1:3" x14ac:dyDescent="0.25">
      <c r="A43" s="1">
        <v>477</v>
      </c>
      <c r="B43" s="1">
        <f>(logtemperature__8[[#This Row],[seconds]]-66)/60</f>
        <v>6.85</v>
      </c>
      <c r="C43" s="1">
        <v>66.069999999999993</v>
      </c>
    </row>
    <row r="44" spans="1:3" x14ac:dyDescent="0.25">
      <c r="A44" s="1">
        <v>487</v>
      </c>
      <c r="B44" s="1">
        <f>(logtemperature__8[[#This Row],[seconds]]-66)/60</f>
        <v>7.0166666666666666</v>
      </c>
      <c r="C44" s="1">
        <v>64.66</v>
      </c>
    </row>
    <row r="45" spans="1:3" x14ac:dyDescent="0.25">
      <c r="A45" s="1">
        <v>497</v>
      </c>
      <c r="B45" s="1">
        <f>(logtemperature__8[[#This Row],[seconds]]-66)/60</f>
        <v>7.1833333333333336</v>
      </c>
      <c r="C45" s="1">
        <v>64.959999999999994</v>
      </c>
    </row>
    <row r="46" spans="1:3" x14ac:dyDescent="0.25">
      <c r="A46" s="1">
        <v>507</v>
      </c>
      <c r="B46" s="1">
        <f>(logtemperature__8[[#This Row],[seconds]]-66)/60</f>
        <v>7.35</v>
      </c>
      <c r="C46" s="1">
        <v>65.53</v>
      </c>
    </row>
    <row r="47" spans="1:3" x14ac:dyDescent="0.25">
      <c r="A47" s="1">
        <v>517</v>
      </c>
      <c r="B47" s="1">
        <f>(logtemperature__8[[#This Row],[seconds]]-66)/60</f>
        <v>7.5166666666666666</v>
      </c>
      <c r="C47" s="1">
        <v>65.540000000000006</v>
      </c>
    </row>
    <row r="48" spans="1:3" x14ac:dyDescent="0.25">
      <c r="A48" s="1">
        <v>527</v>
      </c>
      <c r="B48" s="1">
        <f>(logtemperature__8[[#This Row],[seconds]]-66)/60</f>
        <v>7.6833333333333336</v>
      </c>
      <c r="C48" s="1">
        <v>67.849999999999994</v>
      </c>
    </row>
    <row r="49" spans="1:3" x14ac:dyDescent="0.25">
      <c r="A49" s="1">
        <v>537</v>
      </c>
      <c r="B49" s="1">
        <f>(logtemperature__8[[#This Row],[seconds]]-66)/60</f>
        <v>7.85</v>
      </c>
      <c r="C49" s="1">
        <v>67.38</v>
      </c>
    </row>
    <row r="50" spans="1:3" x14ac:dyDescent="0.25">
      <c r="A50" s="1">
        <v>547</v>
      </c>
      <c r="B50" s="1">
        <f>(logtemperature__8[[#This Row],[seconds]]-66)/60</f>
        <v>8.0166666666666675</v>
      </c>
      <c r="C50" s="1">
        <v>68.41</v>
      </c>
    </row>
    <row r="51" spans="1:3" x14ac:dyDescent="0.25">
      <c r="A51" s="1">
        <v>557</v>
      </c>
      <c r="B51" s="1">
        <f>(logtemperature__8[[#This Row],[seconds]]-66)/60</f>
        <v>8.1833333333333336</v>
      </c>
      <c r="C51" s="1">
        <v>69.06</v>
      </c>
    </row>
    <row r="52" spans="1:3" x14ac:dyDescent="0.25">
      <c r="A52" s="1">
        <v>567</v>
      </c>
      <c r="B52" s="1">
        <f>(logtemperature__8[[#This Row],[seconds]]-66)/60</f>
        <v>8.35</v>
      </c>
      <c r="C52" s="1">
        <v>70.59</v>
      </c>
    </row>
    <row r="53" spans="1:3" x14ac:dyDescent="0.25">
      <c r="A53" s="1">
        <v>577</v>
      </c>
      <c r="B53" s="1">
        <f>(logtemperature__8[[#This Row],[seconds]]-66)/60</f>
        <v>8.5166666666666675</v>
      </c>
      <c r="C53" s="1">
        <v>71.540000000000006</v>
      </c>
    </row>
    <row r="54" spans="1:3" x14ac:dyDescent="0.25">
      <c r="A54" s="1">
        <v>587</v>
      </c>
      <c r="B54" s="1">
        <f>(logtemperature__8[[#This Row],[seconds]]-66)/60</f>
        <v>8.6833333333333336</v>
      </c>
      <c r="C54" s="1">
        <v>72.31</v>
      </c>
    </row>
    <row r="55" spans="1:3" x14ac:dyDescent="0.25">
      <c r="A55" s="1">
        <v>597</v>
      </c>
      <c r="B55" s="1">
        <f>(logtemperature__8[[#This Row],[seconds]]-66)/60</f>
        <v>8.85</v>
      </c>
      <c r="C55" s="1">
        <v>73.33</v>
      </c>
    </row>
    <row r="56" spans="1:3" x14ac:dyDescent="0.25">
      <c r="A56" s="1">
        <v>607</v>
      </c>
      <c r="B56" s="1">
        <f>(logtemperature__8[[#This Row],[seconds]]-66)/60</f>
        <v>9.0166666666666675</v>
      </c>
      <c r="C56" s="1">
        <v>72.22</v>
      </c>
    </row>
    <row r="57" spans="1:3" x14ac:dyDescent="0.25">
      <c r="A57" s="1">
        <v>617</v>
      </c>
      <c r="B57" s="1">
        <f>(logtemperature__8[[#This Row],[seconds]]-66)/60</f>
        <v>9.1833333333333336</v>
      </c>
      <c r="C57" s="1">
        <v>72.66</v>
      </c>
    </row>
    <row r="58" spans="1:3" x14ac:dyDescent="0.25">
      <c r="A58" s="1">
        <v>627</v>
      </c>
      <c r="B58" s="1">
        <f>(logtemperature__8[[#This Row],[seconds]]-66)/60</f>
        <v>9.35</v>
      </c>
      <c r="C58" s="1">
        <v>73.14</v>
      </c>
    </row>
    <row r="59" spans="1:3" x14ac:dyDescent="0.25">
      <c r="A59" s="1">
        <v>637</v>
      </c>
      <c r="B59" s="1">
        <f>(logtemperature__8[[#This Row],[seconds]]-66)/60</f>
        <v>9.5166666666666675</v>
      </c>
      <c r="C59" s="1">
        <v>74.27</v>
      </c>
    </row>
    <row r="60" spans="1:3" x14ac:dyDescent="0.25">
      <c r="A60" s="1">
        <v>647</v>
      </c>
      <c r="B60" s="1">
        <f>(logtemperature__8[[#This Row],[seconds]]-66)/60</f>
        <v>9.6833333333333336</v>
      </c>
      <c r="C60" s="1">
        <v>75.11</v>
      </c>
    </row>
    <row r="61" spans="1:3" x14ac:dyDescent="0.25">
      <c r="A61" s="1">
        <v>657</v>
      </c>
      <c r="B61" s="1">
        <f>(logtemperature__8[[#This Row],[seconds]]-66)/60</f>
        <v>9.85</v>
      </c>
      <c r="C61" s="1">
        <v>74.7</v>
      </c>
    </row>
    <row r="62" spans="1:3" x14ac:dyDescent="0.25">
      <c r="A62" s="1">
        <v>667</v>
      </c>
      <c r="B62" s="1">
        <f>(logtemperature__8[[#This Row],[seconds]]-66)/60</f>
        <v>10.016666666666667</v>
      </c>
      <c r="C62" s="1">
        <v>75.66</v>
      </c>
    </row>
    <row r="63" spans="1:3" x14ac:dyDescent="0.25">
      <c r="A63" s="1">
        <v>677</v>
      </c>
      <c r="B63" s="1">
        <f>(logtemperature__8[[#This Row],[seconds]]-66)/60</f>
        <v>10.183333333333334</v>
      </c>
      <c r="C63" s="1">
        <v>74.73</v>
      </c>
    </row>
    <row r="64" spans="1:3" x14ac:dyDescent="0.25">
      <c r="A64" s="1">
        <v>687</v>
      </c>
      <c r="B64" s="1">
        <f>(logtemperature__8[[#This Row],[seconds]]-66)/60</f>
        <v>10.35</v>
      </c>
      <c r="C64" s="1">
        <v>75.7</v>
      </c>
    </row>
    <row r="65" spans="1:3" x14ac:dyDescent="0.25">
      <c r="A65" s="1">
        <v>697</v>
      </c>
      <c r="B65" s="1">
        <f>(logtemperature__8[[#This Row],[seconds]]-66)/60</f>
        <v>10.516666666666667</v>
      </c>
      <c r="C65" s="1">
        <v>76.819999999999993</v>
      </c>
    </row>
    <row r="66" spans="1:3" x14ac:dyDescent="0.25">
      <c r="A66" s="1">
        <v>707</v>
      </c>
      <c r="B66" s="1">
        <f>(logtemperature__8[[#This Row],[seconds]]-66)/60</f>
        <v>10.683333333333334</v>
      </c>
      <c r="C66" s="1">
        <v>76</v>
      </c>
    </row>
    <row r="67" spans="1:3" x14ac:dyDescent="0.25">
      <c r="A67" s="1">
        <v>717</v>
      </c>
      <c r="B67" s="1">
        <f>(logtemperature__8[[#This Row],[seconds]]-66)/60</f>
        <v>10.85</v>
      </c>
      <c r="C67" s="1">
        <v>75.09</v>
      </c>
    </row>
    <row r="68" spans="1:3" x14ac:dyDescent="0.25">
      <c r="A68" s="1">
        <v>727</v>
      </c>
      <c r="B68" s="1">
        <f>(logtemperature__8[[#This Row],[seconds]]-66)/60</f>
        <v>11.016666666666667</v>
      </c>
      <c r="C68" s="1">
        <v>74.510000000000005</v>
      </c>
    </row>
    <row r="69" spans="1:3" x14ac:dyDescent="0.25">
      <c r="A69" s="1">
        <v>737</v>
      </c>
      <c r="B69" s="1">
        <f>(logtemperature__8[[#This Row],[seconds]]-66)/60</f>
        <v>11.183333333333334</v>
      </c>
      <c r="C69" s="1">
        <v>75.959999999999994</v>
      </c>
    </row>
    <row r="70" spans="1:3" x14ac:dyDescent="0.25">
      <c r="A70" s="1">
        <v>747</v>
      </c>
      <c r="B70" s="1">
        <f>(logtemperature__8[[#This Row],[seconds]]-66)/60</f>
        <v>11.35</v>
      </c>
      <c r="C70" s="1">
        <v>77.47</v>
      </c>
    </row>
    <row r="71" spans="1:3" x14ac:dyDescent="0.25">
      <c r="A71" s="1">
        <v>757</v>
      </c>
      <c r="B71" s="1">
        <f>(logtemperature__8[[#This Row],[seconds]]-66)/60</f>
        <v>11.516666666666667</v>
      </c>
      <c r="C71" s="1">
        <v>77.88</v>
      </c>
    </row>
    <row r="72" spans="1:3" x14ac:dyDescent="0.25">
      <c r="A72" s="1">
        <v>768</v>
      </c>
      <c r="B72" s="1">
        <f>(logtemperature__8[[#This Row],[seconds]]-66)/60</f>
        <v>11.7</v>
      </c>
      <c r="C72" s="1">
        <v>78.069999999999993</v>
      </c>
    </row>
    <row r="73" spans="1:3" x14ac:dyDescent="0.25">
      <c r="A73" s="1">
        <v>778</v>
      </c>
      <c r="B73" s="1">
        <f>(logtemperature__8[[#This Row],[seconds]]-66)/60</f>
        <v>11.866666666666667</v>
      </c>
      <c r="C73" s="1">
        <v>78.63</v>
      </c>
    </row>
    <row r="74" spans="1:3" x14ac:dyDescent="0.25">
      <c r="A74" s="1">
        <v>788</v>
      </c>
      <c r="B74" s="1">
        <f>(logtemperature__8[[#This Row],[seconds]]-66)/60</f>
        <v>12.033333333333333</v>
      </c>
      <c r="C74" s="1">
        <v>78.569999999999993</v>
      </c>
    </row>
    <row r="75" spans="1:3" x14ac:dyDescent="0.25">
      <c r="A75" s="1">
        <v>798</v>
      </c>
      <c r="B75" s="1">
        <f>(logtemperature__8[[#This Row],[seconds]]-66)/60</f>
        <v>12.2</v>
      </c>
      <c r="C75" s="1">
        <v>79.98</v>
      </c>
    </row>
    <row r="76" spans="1:3" x14ac:dyDescent="0.25">
      <c r="A76" s="1">
        <v>808</v>
      </c>
      <c r="B76" s="1">
        <f>(logtemperature__8[[#This Row],[seconds]]-66)/60</f>
        <v>12.366666666666667</v>
      </c>
      <c r="C76" s="1">
        <v>81.25</v>
      </c>
    </row>
    <row r="77" spans="1:3" x14ac:dyDescent="0.25">
      <c r="A77" s="1">
        <v>818</v>
      </c>
      <c r="B77" s="1">
        <f>(logtemperature__8[[#This Row],[seconds]]-66)/60</f>
        <v>12.533333333333333</v>
      </c>
      <c r="C77" s="1">
        <v>80.28</v>
      </c>
    </row>
    <row r="78" spans="1:3" x14ac:dyDescent="0.25">
      <c r="A78" s="1">
        <v>828</v>
      </c>
      <c r="B78" s="1">
        <f>(logtemperature__8[[#This Row],[seconds]]-66)/60</f>
        <v>12.7</v>
      </c>
      <c r="C78" s="1">
        <v>81.53</v>
      </c>
    </row>
    <row r="79" spans="1:3" x14ac:dyDescent="0.25">
      <c r="A79" s="1">
        <v>838</v>
      </c>
      <c r="B79" s="1">
        <f>(logtemperature__8[[#This Row],[seconds]]-66)/60</f>
        <v>12.866666666666667</v>
      </c>
      <c r="C79" s="1">
        <v>80.03</v>
      </c>
    </row>
    <row r="80" spans="1:3" x14ac:dyDescent="0.25">
      <c r="A80" s="1">
        <v>848</v>
      </c>
      <c r="B80" s="1">
        <f>(logtemperature__8[[#This Row],[seconds]]-66)/60</f>
        <v>13.033333333333333</v>
      </c>
      <c r="C80" s="1">
        <v>80.72</v>
      </c>
    </row>
    <row r="81" spans="1:3" x14ac:dyDescent="0.25">
      <c r="A81" s="1">
        <v>858</v>
      </c>
      <c r="B81" s="1">
        <f>(logtemperature__8[[#This Row],[seconds]]-66)/60</f>
        <v>13.2</v>
      </c>
      <c r="C81" s="1">
        <v>81.38</v>
      </c>
    </row>
    <row r="82" spans="1:3" x14ac:dyDescent="0.25">
      <c r="A82" s="1">
        <v>868</v>
      </c>
      <c r="B82" s="1">
        <f>(logtemperature__8[[#This Row],[seconds]]-66)/60</f>
        <v>13.366666666666667</v>
      </c>
      <c r="C82" s="1">
        <v>82.45</v>
      </c>
    </row>
    <row r="83" spans="1:3" x14ac:dyDescent="0.25">
      <c r="A83" s="1">
        <v>878</v>
      </c>
      <c r="B83" s="1">
        <f>(logtemperature__8[[#This Row],[seconds]]-66)/60</f>
        <v>13.533333333333333</v>
      </c>
      <c r="C83" s="1">
        <v>82.05</v>
      </c>
    </row>
    <row r="84" spans="1:3" x14ac:dyDescent="0.25">
      <c r="A84" s="1">
        <v>888</v>
      </c>
      <c r="B84" s="1">
        <f>(logtemperature__8[[#This Row],[seconds]]-66)/60</f>
        <v>13.7</v>
      </c>
      <c r="C84" s="1">
        <v>82.17</v>
      </c>
    </row>
    <row r="85" spans="1:3" x14ac:dyDescent="0.25">
      <c r="A85" s="1">
        <v>898</v>
      </c>
      <c r="B85" s="1">
        <f>(logtemperature__8[[#This Row],[seconds]]-66)/60</f>
        <v>13.866666666666667</v>
      </c>
      <c r="C85" s="1">
        <v>82.33</v>
      </c>
    </row>
    <row r="86" spans="1:3" x14ac:dyDescent="0.25">
      <c r="A86" s="1">
        <v>908</v>
      </c>
      <c r="B86" s="1">
        <f>(logtemperature__8[[#This Row],[seconds]]-66)/60</f>
        <v>14.033333333333333</v>
      </c>
      <c r="C86" s="1">
        <v>82.63</v>
      </c>
    </row>
    <row r="87" spans="1:3" x14ac:dyDescent="0.25">
      <c r="A87" s="1">
        <v>918</v>
      </c>
      <c r="B87" s="1">
        <f>(logtemperature__8[[#This Row],[seconds]]-66)/60</f>
        <v>14.2</v>
      </c>
      <c r="C87" s="1">
        <v>83.61</v>
      </c>
    </row>
    <row r="88" spans="1:3" x14ac:dyDescent="0.25">
      <c r="A88" s="1">
        <v>928</v>
      </c>
      <c r="B88" s="1">
        <f>(logtemperature__8[[#This Row],[seconds]]-66)/60</f>
        <v>14.366666666666667</v>
      </c>
      <c r="C88" s="1">
        <v>84.3</v>
      </c>
    </row>
    <row r="89" spans="1:3" x14ac:dyDescent="0.25">
      <c r="A89" s="1">
        <v>938</v>
      </c>
      <c r="B89" s="1">
        <f>(logtemperature__8[[#This Row],[seconds]]-66)/60</f>
        <v>14.533333333333333</v>
      </c>
      <c r="C89" s="1">
        <v>84.2</v>
      </c>
    </row>
    <row r="90" spans="1:3" x14ac:dyDescent="0.25">
      <c r="A90" s="1">
        <v>948</v>
      </c>
      <c r="B90" s="1">
        <f>(logtemperature__8[[#This Row],[seconds]]-66)/60</f>
        <v>14.7</v>
      </c>
      <c r="C90" s="1">
        <v>83.97</v>
      </c>
    </row>
    <row r="91" spans="1:3" x14ac:dyDescent="0.25">
      <c r="A91" s="1">
        <v>958</v>
      </c>
      <c r="B91" s="1">
        <f>(logtemperature__8[[#This Row],[seconds]]-66)/60</f>
        <v>14.866666666666667</v>
      </c>
      <c r="C91" s="1">
        <v>84.94</v>
      </c>
    </row>
    <row r="92" spans="1:3" x14ac:dyDescent="0.25">
      <c r="A92" s="1">
        <v>968</v>
      </c>
      <c r="B92" s="1">
        <f>(logtemperature__8[[#This Row],[seconds]]-66)/60</f>
        <v>15.033333333333333</v>
      </c>
      <c r="C92" s="1">
        <v>84.44</v>
      </c>
    </row>
    <row r="93" spans="1:3" x14ac:dyDescent="0.25">
      <c r="A93" s="1">
        <v>978</v>
      </c>
      <c r="B93" s="1">
        <f>(logtemperature__8[[#This Row],[seconds]]-66)/60</f>
        <v>15.2</v>
      </c>
      <c r="C93" s="1">
        <v>86.36</v>
      </c>
    </row>
    <row r="94" spans="1:3" x14ac:dyDescent="0.25">
      <c r="A94" s="1">
        <v>988</v>
      </c>
      <c r="B94" s="1">
        <f>(logtemperature__8[[#This Row],[seconds]]-66)/60</f>
        <v>15.366666666666667</v>
      </c>
      <c r="C94" s="1">
        <v>84.27</v>
      </c>
    </row>
    <row r="95" spans="1:3" x14ac:dyDescent="0.25">
      <c r="A95" s="1">
        <v>998</v>
      </c>
      <c r="B95" s="1">
        <f>(logtemperature__8[[#This Row],[seconds]]-66)/60</f>
        <v>15.533333333333333</v>
      </c>
      <c r="C95" s="1">
        <v>85.09</v>
      </c>
    </row>
    <row r="96" spans="1:3" x14ac:dyDescent="0.25">
      <c r="A96" s="1">
        <v>1008</v>
      </c>
      <c r="B96" s="1">
        <f>(logtemperature__8[[#This Row],[seconds]]-66)/60</f>
        <v>15.7</v>
      </c>
      <c r="C96" s="1">
        <v>86.6</v>
      </c>
    </row>
    <row r="97" spans="1:3" x14ac:dyDescent="0.25">
      <c r="A97" s="1">
        <v>1018</v>
      </c>
      <c r="B97" s="1">
        <f>(logtemperature__8[[#This Row],[seconds]]-66)/60</f>
        <v>15.866666666666667</v>
      </c>
      <c r="C97" s="1">
        <v>86.67</v>
      </c>
    </row>
    <row r="98" spans="1:3" x14ac:dyDescent="0.25">
      <c r="A98" s="1">
        <v>1028</v>
      </c>
      <c r="B98" s="1">
        <f>(logtemperature__8[[#This Row],[seconds]]-66)/60</f>
        <v>16.033333333333335</v>
      </c>
      <c r="C98" s="1">
        <v>87.06</v>
      </c>
    </row>
    <row r="99" spans="1:3" x14ac:dyDescent="0.25">
      <c r="A99" s="1">
        <v>1038</v>
      </c>
      <c r="B99" s="1">
        <f>(logtemperature__8[[#This Row],[seconds]]-66)/60</f>
        <v>16.2</v>
      </c>
      <c r="C99" s="1">
        <v>86.49</v>
      </c>
    </row>
    <row r="100" spans="1:3" x14ac:dyDescent="0.25">
      <c r="A100" s="1">
        <v>1048</v>
      </c>
      <c r="B100" s="1">
        <f>(logtemperature__8[[#This Row],[seconds]]-66)/60</f>
        <v>16.366666666666667</v>
      </c>
      <c r="C100" s="1">
        <v>86.28</v>
      </c>
    </row>
    <row r="101" spans="1:3" x14ac:dyDescent="0.25">
      <c r="A101" s="1">
        <v>1058</v>
      </c>
      <c r="B101" s="1">
        <f>(logtemperature__8[[#This Row],[seconds]]-66)/60</f>
        <v>16.533333333333335</v>
      </c>
      <c r="C101" s="1">
        <v>87.31</v>
      </c>
    </row>
    <row r="102" spans="1:3" x14ac:dyDescent="0.25">
      <c r="A102" s="1">
        <v>1068</v>
      </c>
      <c r="B102" s="1">
        <f>(logtemperature__8[[#This Row],[seconds]]-66)/60</f>
        <v>16.7</v>
      </c>
      <c r="C102" s="1">
        <v>87.12</v>
      </c>
    </row>
    <row r="103" spans="1:3" x14ac:dyDescent="0.25">
      <c r="A103" s="1">
        <v>1078</v>
      </c>
      <c r="B103" s="1">
        <f>(logtemperature__8[[#This Row],[seconds]]-66)/60</f>
        <v>16.866666666666667</v>
      </c>
      <c r="C103" s="1">
        <v>88.5</v>
      </c>
    </row>
    <row r="104" spans="1:3" x14ac:dyDescent="0.25">
      <c r="A104" s="1">
        <v>1088</v>
      </c>
      <c r="B104" s="1">
        <f>(logtemperature__8[[#This Row],[seconds]]-66)/60</f>
        <v>17.033333333333335</v>
      </c>
      <c r="C104" s="1">
        <v>88.63</v>
      </c>
    </row>
    <row r="105" spans="1:3" x14ac:dyDescent="0.25">
      <c r="A105" s="1">
        <v>1098</v>
      </c>
      <c r="B105" s="1">
        <f>(logtemperature__8[[#This Row],[seconds]]-66)/60</f>
        <v>17.2</v>
      </c>
      <c r="C105" s="1">
        <v>89.53</v>
      </c>
    </row>
    <row r="106" spans="1:3" x14ac:dyDescent="0.25">
      <c r="A106" s="1">
        <v>1108</v>
      </c>
      <c r="B106" s="1">
        <f>(logtemperature__8[[#This Row],[seconds]]-66)/60</f>
        <v>17.366666666666667</v>
      </c>
      <c r="C106" s="1">
        <v>89.95</v>
      </c>
    </row>
    <row r="107" spans="1:3" x14ac:dyDescent="0.25">
      <c r="A107" s="1">
        <v>1118</v>
      </c>
      <c r="B107" s="1">
        <f>(logtemperature__8[[#This Row],[seconds]]-66)/60</f>
        <v>17.533333333333335</v>
      </c>
      <c r="C107" s="1">
        <v>89.65</v>
      </c>
    </row>
    <row r="108" spans="1:3" x14ac:dyDescent="0.25">
      <c r="A108" s="1">
        <v>1128</v>
      </c>
      <c r="B108" s="1">
        <f>(logtemperature__8[[#This Row],[seconds]]-66)/60</f>
        <v>17.7</v>
      </c>
      <c r="C108" s="1">
        <v>90.49</v>
      </c>
    </row>
    <row r="109" spans="1:3" x14ac:dyDescent="0.25">
      <c r="A109" s="1">
        <v>1138</v>
      </c>
      <c r="B109" s="1">
        <f>(logtemperature__8[[#This Row],[seconds]]-66)/60</f>
        <v>17.866666666666667</v>
      </c>
      <c r="C109" s="1">
        <v>90.33</v>
      </c>
    </row>
    <row r="110" spans="1:3" x14ac:dyDescent="0.25">
      <c r="A110" s="1">
        <v>1148</v>
      </c>
      <c r="B110" s="1">
        <f>(logtemperature__8[[#This Row],[seconds]]-66)/60</f>
        <v>18.033333333333335</v>
      </c>
      <c r="C110" s="1">
        <v>90.46</v>
      </c>
    </row>
    <row r="111" spans="1:3" x14ac:dyDescent="0.25">
      <c r="A111" s="1">
        <v>1158</v>
      </c>
      <c r="B111" s="1">
        <f>(logtemperature__8[[#This Row],[seconds]]-66)/60</f>
        <v>18.2</v>
      </c>
      <c r="C111" s="1">
        <v>90.47</v>
      </c>
    </row>
    <row r="112" spans="1:3" x14ac:dyDescent="0.25">
      <c r="A112" s="1">
        <v>1168</v>
      </c>
      <c r="B112" s="1">
        <f>(logtemperature__8[[#This Row],[seconds]]-66)/60</f>
        <v>18.366666666666667</v>
      </c>
      <c r="C112" s="1">
        <v>90.92</v>
      </c>
    </row>
    <row r="113" spans="1:3" x14ac:dyDescent="0.25">
      <c r="A113" s="1">
        <v>1178</v>
      </c>
      <c r="B113" s="1">
        <f>(logtemperature__8[[#This Row],[seconds]]-66)/60</f>
        <v>18.533333333333335</v>
      </c>
      <c r="C113" s="1">
        <v>91.62</v>
      </c>
    </row>
    <row r="114" spans="1:3" x14ac:dyDescent="0.25">
      <c r="A114" s="1">
        <v>1188</v>
      </c>
      <c r="B114" s="1">
        <f>(logtemperature__8[[#This Row],[seconds]]-66)/60</f>
        <v>18.7</v>
      </c>
      <c r="C114" s="1">
        <v>90.03</v>
      </c>
    </row>
    <row r="115" spans="1:3" x14ac:dyDescent="0.25">
      <c r="A115" s="1">
        <v>1198</v>
      </c>
      <c r="B115" s="1">
        <f>(logtemperature__8[[#This Row],[seconds]]-66)/60</f>
        <v>18.866666666666667</v>
      </c>
      <c r="C115" s="1">
        <v>90.97</v>
      </c>
    </row>
    <row r="116" spans="1:3" x14ac:dyDescent="0.25">
      <c r="A116" s="1">
        <v>1208</v>
      </c>
      <c r="B116" s="1">
        <f>(logtemperature__8[[#This Row],[seconds]]-66)/60</f>
        <v>19.033333333333335</v>
      </c>
      <c r="C116" s="1">
        <v>92.67</v>
      </c>
    </row>
    <row r="117" spans="1:3" x14ac:dyDescent="0.25">
      <c r="A117" s="1">
        <v>1218</v>
      </c>
      <c r="B117" s="1">
        <f>(logtemperature__8[[#This Row],[seconds]]-66)/60</f>
        <v>19.2</v>
      </c>
      <c r="C117" s="1">
        <v>92.32</v>
      </c>
    </row>
    <row r="118" spans="1:3" x14ac:dyDescent="0.25">
      <c r="A118" s="1">
        <v>1228</v>
      </c>
      <c r="B118" s="1">
        <f>(logtemperature__8[[#This Row],[seconds]]-66)/60</f>
        <v>19.366666666666667</v>
      </c>
      <c r="C118" s="1">
        <v>92.36</v>
      </c>
    </row>
    <row r="119" spans="1:3" x14ac:dyDescent="0.25">
      <c r="A119" s="1">
        <v>1238</v>
      </c>
      <c r="B119" s="1">
        <f>(logtemperature__8[[#This Row],[seconds]]-66)/60</f>
        <v>19.533333333333335</v>
      </c>
      <c r="C119" s="1">
        <v>93.33</v>
      </c>
    </row>
    <row r="120" spans="1:3" x14ac:dyDescent="0.25">
      <c r="A120" s="1">
        <v>1248</v>
      </c>
      <c r="B120" s="1">
        <f>(logtemperature__8[[#This Row],[seconds]]-66)/60</f>
        <v>19.7</v>
      </c>
      <c r="C120" s="1">
        <v>94.24</v>
      </c>
    </row>
    <row r="121" spans="1:3" x14ac:dyDescent="0.25">
      <c r="A121" s="1">
        <v>1259</v>
      </c>
      <c r="B121" s="1">
        <f>(logtemperature__8[[#This Row],[seconds]]-66)/60</f>
        <v>19.883333333333333</v>
      </c>
      <c r="C121" s="1">
        <v>93.94</v>
      </c>
    </row>
    <row r="122" spans="1:3" x14ac:dyDescent="0.25">
      <c r="A122" s="1">
        <v>1269</v>
      </c>
      <c r="B122" s="1">
        <f>(logtemperature__8[[#This Row],[seconds]]-66)/60</f>
        <v>20.05</v>
      </c>
      <c r="C122" s="1">
        <v>93.85</v>
      </c>
    </row>
    <row r="123" spans="1:3" x14ac:dyDescent="0.25">
      <c r="A123" s="1">
        <v>1279</v>
      </c>
      <c r="B123" s="1">
        <f>(logtemperature__8[[#This Row],[seconds]]-66)/60</f>
        <v>20.216666666666665</v>
      </c>
      <c r="C123" s="1">
        <v>94.42</v>
      </c>
    </row>
    <row r="124" spans="1:3" x14ac:dyDescent="0.25">
      <c r="A124" s="1">
        <v>1289</v>
      </c>
      <c r="B124" s="1">
        <f>(logtemperature__8[[#This Row],[seconds]]-66)/60</f>
        <v>20.383333333333333</v>
      </c>
      <c r="C124" s="1">
        <v>94.07</v>
      </c>
    </row>
    <row r="125" spans="1:3" x14ac:dyDescent="0.25">
      <c r="A125" s="1">
        <v>1299</v>
      </c>
      <c r="B125" s="1">
        <f>(logtemperature__8[[#This Row],[seconds]]-66)/60</f>
        <v>20.55</v>
      </c>
      <c r="C125" s="1">
        <v>94.75</v>
      </c>
    </row>
    <row r="126" spans="1:3" x14ac:dyDescent="0.25">
      <c r="A126" s="1">
        <v>1309</v>
      </c>
      <c r="B126" s="1">
        <f>(logtemperature__8[[#This Row],[seconds]]-66)/60</f>
        <v>20.716666666666665</v>
      </c>
      <c r="C126" s="1">
        <v>95.46</v>
      </c>
    </row>
    <row r="127" spans="1:3" x14ac:dyDescent="0.25">
      <c r="A127" s="1">
        <v>1319</v>
      </c>
      <c r="B127" s="1">
        <f>(logtemperature__8[[#This Row],[seconds]]-66)/60</f>
        <v>20.883333333333333</v>
      </c>
      <c r="C127" s="1">
        <v>94.46</v>
      </c>
    </row>
    <row r="128" spans="1:3" x14ac:dyDescent="0.25">
      <c r="A128" s="1">
        <v>1329</v>
      </c>
      <c r="B128" s="1">
        <f>(logtemperature__8[[#This Row],[seconds]]-66)/60</f>
        <v>21.05</v>
      </c>
      <c r="C128" s="1">
        <v>94.83</v>
      </c>
    </row>
    <row r="129" spans="1:3" x14ac:dyDescent="0.25">
      <c r="A129" s="1">
        <v>1339</v>
      </c>
      <c r="B129" s="1">
        <f>(logtemperature__8[[#This Row],[seconds]]-66)/60</f>
        <v>21.216666666666665</v>
      </c>
      <c r="C129" s="1">
        <v>95.36</v>
      </c>
    </row>
    <row r="130" spans="1:3" x14ac:dyDescent="0.25">
      <c r="A130" s="1">
        <v>1349</v>
      </c>
      <c r="B130" s="1">
        <f>(logtemperature__8[[#This Row],[seconds]]-66)/60</f>
        <v>21.383333333333333</v>
      </c>
      <c r="C130" s="1">
        <v>95.81</v>
      </c>
    </row>
    <row r="131" spans="1:3" x14ac:dyDescent="0.25">
      <c r="A131" s="1">
        <v>1359</v>
      </c>
      <c r="B131" s="1">
        <f>(logtemperature__8[[#This Row],[seconds]]-66)/60</f>
        <v>21.55</v>
      </c>
      <c r="C131" s="1">
        <v>95.97</v>
      </c>
    </row>
    <row r="132" spans="1:3" x14ac:dyDescent="0.25">
      <c r="A132" s="1">
        <v>1369</v>
      </c>
      <c r="B132" s="1">
        <f>(logtemperature__8[[#This Row],[seconds]]-66)/60</f>
        <v>21.716666666666665</v>
      </c>
      <c r="C132" s="1">
        <v>96.52</v>
      </c>
    </row>
    <row r="133" spans="1:3" x14ac:dyDescent="0.25">
      <c r="A133" s="1">
        <v>1379</v>
      </c>
      <c r="B133" s="1">
        <f>(logtemperature__8[[#This Row],[seconds]]-66)/60</f>
        <v>21.883333333333333</v>
      </c>
      <c r="C133" s="1">
        <v>96.09</v>
      </c>
    </row>
    <row r="134" spans="1:3" x14ac:dyDescent="0.25">
      <c r="A134" s="1">
        <v>1389</v>
      </c>
      <c r="B134" s="1">
        <f>(logtemperature__8[[#This Row],[seconds]]-66)/60</f>
        <v>22.05</v>
      </c>
      <c r="C134" s="1">
        <v>96.72</v>
      </c>
    </row>
    <row r="135" spans="1:3" x14ac:dyDescent="0.25">
      <c r="A135" s="1">
        <v>1399</v>
      </c>
      <c r="B135" s="1">
        <f>(logtemperature__8[[#This Row],[seconds]]-66)/60</f>
        <v>22.216666666666665</v>
      </c>
      <c r="C135" s="1">
        <v>96.69</v>
      </c>
    </row>
    <row r="136" spans="1:3" x14ac:dyDescent="0.25">
      <c r="A136" s="1">
        <v>1409</v>
      </c>
      <c r="B136" s="1">
        <f>(logtemperature__8[[#This Row],[seconds]]-66)/60</f>
        <v>22.383333333333333</v>
      </c>
      <c r="C136" s="1">
        <v>97.57</v>
      </c>
    </row>
    <row r="137" spans="1:3" x14ac:dyDescent="0.25">
      <c r="A137" s="1">
        <v>1419</v>
      </c>
      <c r="B137" s="1">
        <f>(logtemperature__8[[#This Row],[seconds]]-66)/60</f>
        <v>22.55</v>
      </c>
      <c r="C137" s="1">
        <v>98.47</v>
      </c>
    </row>
    <row r="138" spans="1:3" x14ac:dyDescent="0.25">
      <c r="A138" s="1">
        <v>1429</v>
      </c>
      <c r="B138" s="1">
        <f>(logtemperature__8[[#This Row],[seconds]]-66)/60</f>
        <v>22.716666666666665</v>
      </c>
      <c r="C138" s="1">
        <v>97.33</v>
      </c>
    </row>
    <row r="139" spans="1:3" x14ac:dyDescent="0.25">
      <c r="A139" s="1">
        <v>1439</v>
      </c>
      <c r="B139" s="1">
        <f>(logtemperature__8[[#This Row],[seconds]]-66)/60</f>
        <v>22.883333333333333</v>
      </c>
      <c r="C139" s="1">
        <v>98.01</v>
      </c>
    </row>
    <row r="140" spans="1:3" x14ac:dyDescent="0.25">
      <c r="A140" s="1">
        <v>1449</v>
      </c>
      <c r="B140" s="1">
        <f>(logtemperature__8[[#This Row],[seconds]]-66)/60</f>
        <v>23.05</v>
      </c>
      <c r="C140" s="1">
        <v>97.39</v>
      </c>
    </row>
    <row r="141" spans="1:3" x14ac:dyDescent="0.25">
      <c r="A141" s="1">
        <v>1459</v>
      </c>
      <c r="B141" s="1">
        <f>(logtemperature__8[[#This Row],[seconds]]-66)/60</f>
        <v>23.216666666666665</v>
      </c>
      <c r="C141" s="1">
        <v>98.72</v>
      </c>
    </row>
    <row r="142" spans="1:3" x14ac:dyDescent="0.25">
      <c r="A142" s="1">
        <v>1469</v>
      </c>
      <c r="B142" s="1">
        <f>(logtemperature__8[[#This Row],[seconds]]-66)/60</f>
        <v>23.383333333333333</v>
      </c>
      <c r="C142" s="1">
        <v>99.31</v>
      </c>
    </row>
    <row r="143" spans="1:3" x14ac:dyDescent="0.25">
      <c r="A143" s="1">
        <v>1479</v>
      </c>
      <c r="B143" s="1">
        <f>(logtemperature__8[[#This Row],[seconds]]-66)/60</f>
        <v>23.55</v>
      </c>
      <c r="C143" s="1">
        <v>99.15</v>
      </c>
    </row>
    <row r="144" spans="1:3" x14ac:dyDescent="0.25">
      <c r="A144" s="1">
        <v>1489</v>
      </c>
      <c r="B144" s="1">
        <f>(logtemperature__8[[#This Row],[seconds]]-66)/60</f>
        <v>23.716666666666665</v>
      </c>
      <c r="C144" s="1">
        <v>100</v>
      </c>
    </row>
    <row r="145" spans="1:3" x14ac:dyDescent="0.25">
      <c r="A145" s="1">
        <v>1499</v>
      </c>
      <c r="B145" s="1">
        <f>(logtemperature__8[[#This Row],[seconds]]-66)/60</f>
        <v>23.883333333333333</v>
      </c>
      <c r="C145" s="1">
        <v>100.39</v>
      </c>
    </row>
    <row r="146" spans="1:3" x14ac:dyDescent="0.25">
      <c r="A146" s="1">
        <v>1509</v>
      </c>
      <c r="B146" s="1">
        <f>(logtemperature__8[[#This Row],[seconds]]-66)/60</f>
        <v>24.05</v>
      </c>
      <c r="C146" s="1">
        <v>100.98</v>
      </c>
    </row>
    <row r="147" spans="1:3" x14ac:dyDescent="0.25">
      <c r="A147" s="1">
        <v>1519</v>
      </c>
      <c r="B147" s="1">
        <f>(logtemperature__8[[#This Row],[seconds]]-66)/60</f>
        <v>24.216666666666665</v>
      </c>
      <c r="C147" s="1">
        <v>99.86</v>
      </c>
    </row>
    <row r="148" spans="1:3" x14ac:dyDescent="0.25">
      <c r="A148" s="1">
        <v>1529</v>
      </c>
      <c r="B148" s="1">
        <f>(logtemperature__8[[#This Row],[seconds]]-66)/60</f>
        <v>24.383333333333333</v>
      </c>
      <c r="C148" s="1">
        <v>100.1</v>
      </c>
    </row>
    <row r="149" spans="1:3" x14ac:dyDescent="0.25">
      <c r="A149" s="1">
        <v>1539</v>
      </c>
      <c r="B149" s="1">
        <f>(logtemperature__8[[#This Row],[seconds]]-66)/60</f>
        <v>24.55</v>
      </c>
      <c r="C149" s="1">
        <v>100.76</v>
      </c>
    </row>
    <row r="150" spans="1:3" x14ac:dyDescent="0.25">
      <c r="A150" s="1">
        <v>1549</v>
      </c>
      <c r="B150" s="1">
        <f>(logtemperature__8[[#This Row],[seconds]]-66)/60</f>
        <v>24.716666666666665</v>
      </c>
      <c r="C150" s="1">
        <v>101.11</v>
      </c>
    </row>
    <row r="151" spans="1:3" x14ac:dyDescent="0.25">
      <c r="A151" s="1">
        <v>1559</v>
      </c>
      <c r="B151" s="1">
        <f>(logtemperature__8[[#This Row],[seconds]]-66)/60</f>
        <v>24.883333333333333</v>
      </c>
      <c r="C151" s="1">
        <v>101.25</v>
      </c>
    </row>
    <row r="152" spans="1:3" x14ac:dyDescent="0.25">
      <c r="A152" s="1">
        <v>1569</v>
      </c>
      <c r="B152" s="1">
        <f>(logtemperature__8[[#This Row],[seconds]]-66)/60</f>
        <v>25.05</v>
      </c>
      <c r="C152" s="1">
        <v>101.55</v>
      </c>
    </row>
    <row r="153" spans="1:3" x14ac:dyDescent="0.25">
      <c r="A153" s="1">
        <v>1579</v>
      </c>
      <c r="B153" s="1">
        <f>(logtemperature__8[[#This Row],[seconds]]-66)/60</f>
        <v>25.216666666666665</v>
      </c>
      <c r="C153" s="1">
        <v>102.39</v>
      </c>
    </row>
    <row r="154" spans="1:3" x14ac:dyDescent="0.25">
      <c r="A154" s="1">
        <v>1589</v>
      </c>
      <c r="B154" s="1">
        <f>(logtemperature__8[[#This Row],[seconds]]-66)/60</f>
        <v>25.383333333333333</v>
      </c>
      <c r="C154" s="1">
        <v>100.52</v>
      </c>
    </row>
    <row r="155" spans="1:3" x14ac:dyDescent="0.25">
      <c r="A155" s="1">
        <v>1599</v>
      </c>
      <c r="B155" s="1">
        <f>(logtemperature__8[[#This Row],[seconds]]-66)/60</f>
        <v>25.55</v>
      </c>
      <c r="C155" s="1">
        <v>99.92</v>
      </c>
    </row>
    <row r="156" spans="1:3" x14ac:dyDescent="0.25">
      <c r="A156" s="1">
        <v>1609</v>
      </c>
      <c r="B156" s="1">
        <f>(logtemperature__8[[#This Row],[seconds]]-66)/60</f>
        <v>25.716666666666665</v>
      </c>
      <c r="C156" s="1">
        <v>101.5</v>
      </c>
    </row>
    <row r="157" spans="1:3" x14ac:dyDescent="0.25">
      <c r="A157" s="1">
        <v>1619</v>
      </c>
      <c r="B157" s="1">
        <f>(logtemperature__8[[#This Row],[seconds]]-66)/60</f>
        <v>25.883333333333333</v>
      </c>
      <c r="C157" s="1">
        <v>102.28</v>
      </c>
    </row>
    <row r="158" spans="1:3" x14ac:dyDescent="0.25">
      <c r="A158" s="1">
        <v>1629</v>
      </c>
      <c r="B158" s="1">
        <f>(logtemperature__8[[#This Row],[seconds]]-66)/60</f>
        <v>26.05</v>
      </c>
      <c r="C158" s="1">
        <v>102.94</v>
      </c>
    </row>
    <row r="159" spans="1:3" x14ac:dyDescent="0.25">
      <c r="A159" s="1">
        <v>1639</v>
      </c>
      <c r="B159" s="1">
        <f>(logtemperature__8[[#This Row],[seconds]]-66)/60</f>
        <v>26.216666666666665</v>
      </c>
      <c r="C159" s="1">
        <v>103.79</v>
      </c>
    </row>
    <row r="160" spans="1:3" x14ac:dyDescent="0.25">
      <c r="A160" s="1">
        <v>1649</v>
      </c>
      <c r="B160" s="1">
        <f>(logtemperature__8[[#This Row],[seconds]]-66)/60</f>
        <v>26.383333333333333</v>
      </c>
      <c r="C160" s="1">
        <v>103.26</v>
      </c>
    </row>
    <row r="161" spans="1:3" x14ac:dyDescent="0.25">
      <c r="A161" s="1">
        <v>1659</v>
      </c>
      <c r="B161" s="1">
        <f>(logtemperature__8[[#This Row],[seconds]]-66)/60</f>
        <v>26.55</v>
      </c>
      <c r="C161" s="1">
        <v>103.25</v>
      </c>
    </row>
    <row r="162" spans="1:3" x14ac:dyDescent="0.25">
      <c r="A162" s="1">
        <v>1669</v>
      </c>
      <c r="B162" s="1">
        <f>(logtemperature__8[[#This Row],[seconds]]-66)/60</f>
        <v>26.716666666666665</v>
      </c>
      <c r="C162" s="1">
        <v>103.48</v>
      </c>
    </row>
    <row r="163" spans="1:3" x14ac:dyDescent="0.25">
      <c r="A163" s="1">
        <v>1679</v>
      </c>
      <c r="B163" s="1">
        <f>(logtemperature__8[[#This Row],[seconds]]-66)/60</f>
        <v>26.883333333333333</v>
      </c>
      <c r="C163" s="1">
        <v>103.6</v>
      </c>
    </row>
    <row r="164" spans="1:3" x14ac:dyDescent="0.25">
      <c r="A164" s="1">
        <v>1689</v>
      </c>
      <c r="B164" s="1">
        <f>(logtemperature__8[[#This Row],[seconds]]-66)/60</f>
        <v>27.05</v>
      </c>
      <c r="C164" s="1">
        <v>104.75</v>
      </c>
    </row>
    <row r="165" spans="1:3" x14ac:dyDescent="0.25">
      <c r="A165" s="1">
        <v>1699</v>
      </c>
      <c r="B165" s="1">
        <f>(logtemperature__8[[#This Row],[seconds]]-66)/60</f>
        <v>27.216666666666665</v>
      </c>
      <c r="C165" s="1">
        <v>104.1</v>
      </c>
    </row>
    <row r="166" spans="1:3" x14ac:dyDescent="0.25">
      <c r="A166" s="1">
        <v>1709</v>
      </c>
      <c r="B166" s="1">
        <f>(logtemperature__8[[#This Row],[seconds]]-66)/60</f>
        <v>27.383333333333333</v>
      </c>
      <c r="C166" s="1">
        <v>104.52</v>
      </c>
    </row>
    <row r="167" spans="1:3" x14ac:dyDescent="0.25">
      <c r="A167" s="1">
        <v>1719</v>
      </c>
      <c r="B167" s="1">
        <f>(logtemperature__8[[#This Row],[seconds]]-66)/60</f>
        <v>27.55</v>
      </c>
      <c r="C167" s="1">
        <v>103.91</v>
      </c>
    </row>
    <row r="168" spans="1:3" x14ac:dyDescent="0.25">
      <c r="A168" s="1">
        <v>1729</v>
      </c>
      <c r="B168" s="1">
        <f>(logtemperature__8[[#This Row],[seconds]]-66)/60</f>
        <v>27.716666666666665</v>
      </c>
      <c r="C168" s="1">
        <v>103.42</v>
      </c>
    </row>
    <row r="169" spans="1:3" x14ac:dyDescent="0.25">
      <c r="A169" s="1">
        <v>1739</v>
      </c>
      <c r="B169" s="1">
        <f>(logtemperature__8[[#This Row],[seconds]]-66)/60</f>
        <v>27.883333333333333</v>
      </c>
      <c r="C169" s="1">
        <v>103.84</v>
      </c>
    </row>
    <row r="170" spans="1:3" x14ac:dyDescent="0.25">
      <c r="A170" s="1">
        <v>1750</v>
      </c>
      <c r="B170" s="1">
        <f>(logtemperature__8[[#This Row],[seconds]]-66)/60</f>
        <v>28.066666666666666</v>
      </c>
      <c r="C170" s="1">
        <v>104.61</v>
      </c>
    </row>
    <row r="171" spans="1:3" x14ac:dyDescent="0.25">
      <c r="A171" s="1">
        <v>1760</v>
      </c>
      <c r="B171" s="1">
        <f>(logtemperature__8[[#This Row],[seconds]]-66)/60</f>
        <v>28.233333333333334</v>
      </c>
      <c r="C171" s="1">
        <v>104.84</v>
      </c>
    </row>
    <row r="172" spans="1:3" x14ac:dyDescent="0.25">
      <c r="A172" s="1">
        <v>1770</v>
      </c>
      <c r="B172" s="1">
        <f>(logtemperature__8[[#This Row],[seconds]]-66)/60</f>
        <v>28.4</v>
      </c>
      <c r="C172" s="1">
        <v>103.25</v>
      </c>
    </row>
    <row r="173" spans="1:3" x14ac:dyDescent="0.25">
      <c r="A173" s="1">
        <v>1780</v>
      </c>
      <c r="B173" s="1">
        <f>(logtemperature__8[[#This Row],[seconds]]-66)/60</f>
        <v>28.566666666666666</v>
      </c>
      <c r="C173" s="1">
        <v>104.34</v>
      </c>
    </row>
    <row r="174" spans="1:3" x14ac:dyDescent="0.25">
      <c r="A174" s="1">
        <v>1790</v>
      </c>
      <c r="B174" s="1">
        <f>(logtemperature__8[[#This Row],[seconds]]-66)/60</f>
        <v>28.733333333333334</v>
      </c>
      <c r="C174" s="1">
        <v>105.6</v>
      </c>
    </row>
    <row r="175" spans="1:3" x14ac:dyDescent="0.25">
      <c r="A175" s="1">
        <v>1800</v>
      </c>
      <c r="B175" s="1">
        <f>(logtemperature__8[[#This Row],[seconds]]-66)/60</f>
        <v>28.9</v>
      </c>
      <c r="C175" s="1">
        <v>105.14</v>
      </c>
    </row>
    <row r="176" spans="1:3" x14ac:dyDescent="0.25">
      <c r="A176" s="1">
        <v>1810</v>
      </c>
      <c r="B176" s="1">
        <f>(logtemperature__8[[#This Row],[seconds]]-66)/60</f>
        <v>29.066666666666666</v>
      </c>
      <c r="C176" s="1">
        <v>105.01</v>
      </c>
    </row>
    <row r="177" spans="1:3" x14ac:dyDescent="0.25">
      <c r="A177" s="1">
        <v>1820</v>
      </c>
      <c r="B177" s="1">
        <f>(logtemperature__8[[#This Row],[seconds]]-66)/60</f>
        <v>29.233333333333334</v>
      </c>
      <c r="C177" s="1">
        <v>104.85</v>
      </c>
    </row>
    <row r="178" spans="1:3" x14ac:dyDescent="0.25">
      <c r="A178" s="1">
        <v>1830</v>
      </c>
      <c r="B178" s="1">
        <f>(logtemperature__8[[#This Row],[seconds]]-66)/60</f>
        <v>29.4</v>
      </c>
      <c r="C178" s="1">
        <v>105.92</v>
      </c>
    </row>
    <row r="179" spans="1:3" x14ac:dyDescent="0.25">
      <c r="A179" s="1">
        <v>1840</v>
      </c>
      <c r="B179" s="1">
        <f>(logtemperature__8[[#This Row],[seconds]]-66)/60</f>
        <v>29.566666666666666</v>
      </c>
      <c r="C179" s="1">
        <v>106.9</v>
      </c>
    </row>
    <row r="180" spans="1:3" x14ac:dyDescent="0.25">
      <c r="A180" s="1">
        <v>1850</v>
      </c>
      <c r="B180" s="1">
        <f>(logtemperature__8[[#This Row],[seconds]]-66)/60</f>
        <v>29.733333333333334</v>
      </c>
      <c r="C180" s="1">
        <v>107.31</v>
      </c>
    </row>
    <row r="181" spans="1:3" x14ac:dyDescent="0.25">
      <c r="A181" s="1">
        <v>1860</v>
      </c>
      <c r="B181" s="1">
        <f>(logtemperature__8[[#This Row],[seconds]]-66)/60</f>
        <v>29.9</v>
      </c>
      <c r="C181" s="1">
        <v>107.3</v>
      </c>
    </row>
    <row r="182" spans="1:3" x14ac:dyDescent="0.25">
      <c r="A182" s="1">
        <v>1870</v>
      </c>
      <c r="B182" s="1">
        <f>(logtemperature__8[[#This Row],[seconds]]-66)/60</f>
        <v>30.066666666666666</v>
      </c>
      <c r="C182" s="1">
        <v>106.42</v>
      </c>
    </row>
    <row r="183" spans="1:3" x14ac:dyDescent="0.25">
      <c r="A183" s="1">
        <v>1880</v>
      </c>
      <c r="B183" s="1">
        <f>(logtemperature__8[[#This Row],[seconds]]-66)/60</f>
        <v>30.233333333333334</v>
      </c>
      <c r="C183" s="1">
        <v>106.48</v>
      </c>
    </row>
    <row r="184" spans="1:3" x14ac:dyDescent="0.25">
      <c r="A184" s="1">
        <v>1890</v>
      </c>
      <c r="B184" s="1">
        <f>(logtemperature__8[[#This Row],[seconds]]-66)/60</f>
        <v>30.4</v>
      </c>
      <c r="C184" s="1">
        <v>107.19</v>
      </c>
    </row>
    <row r="185" spans="1:3" x14ac:dyDescent="0.25">
      <c r="A185" s="1">
        <v>1900</v>
      </c>
      <c r="B185" s="1">
        <f>(logtemperature__8[[#This Row],[seconds]]-66)/60</f>
        <v>30.566666666666666</v>
      </c>
      <c r="C185" s="1">
        <v>107</v>
      </c>
    </row>
    <row r="186" spans="1:3" x14ac:dyDescent="0.25">
      <c r="A186" s="1">
        <v>1910</v>
      </c>
      <c r="B186" s="1">
        <f>(logtemperature__8[[#This Row],[seconds]]-66)/60</f>
        <v>30.733333333333334</v>
      </c>
      <c r="C186" s="1">
        <v>106.65</v>
      </c>
    </row>
    <row r="187" spans="1:3" x14ac:dyDescent="0.25">
      <c r="A187" s="1">
        <v>1920</v>
      </c>
      <c r="B187" s="1">
        <f>(logtemperature__8[[#This Row],[seconds]]-66)/60</f>
        <v>30.9</v>
      </c>
      <c r="C187" s="1">
        <v>107.57</v>
      </c>
    </row>
    <row r="188" spans="1:3" x14ac:dyDescent="0.25">
      <c r="A188" s="1">
        <v>1930</v>
      </c>
      <c r="B188" s="1">
        <f>(logtemperature__8[[#This Row],[seconds]]-66)/60</f>
        <v>31.066666666666666</v>
      </c>
      <c r="C188" s="1">
        <v>107.72</v>
      </c>
    </row>
    <row r="189" spans="1:3" x14ac:dyDescent="0.25">
      <c r="A189" s="1">
        <v>1940</v>
      </c>
      <c r="B189" s="1">
        <f>(logtemperature__8[[#This Row],[seconds]]-66)/60</f>
        <v>31.233333333333334</v>
      </c>
      <c r="C189" s="1">
        <v>107.89</v>
      </c>
    </row>
    <row r="190" spans="1:3" x14ac:dyDescent="0.25">
      <c r="A190" s="1">
        <v>1950</v>
      </c>
      <c r="B190" s="1">
        <f>(logtemperature__8[[#This Row],[seconds]]-66)/60</f>
        <v>31.4</v>
      </c>
      <c r="C190" s="1">
        <v>108.09</v>
      </c>
    </row>
    <row r="191" spans="1:3" x14ac:dyDescent="0.25">
      <c r="A191" s="1">
        <v>1960</v>
      </c>
      <c r="B191" s="1">
        <f>(logtemperature__8[[#This Row],[seconds]]-66)/60</f>
        <v>31.566666666666666</v>
      </c>
      <c r="C191" s="1">
        <v>108.99</v>
      </c>
    </row>
    <row r="192" spans="1:3" x14ac:dyDescent="0.25">
      <c r="A192" s="1">
        <v>1970</v>
      </c>
      <c r="B192" s="1">
        <f>(logtemperature__8[[#This Row],[seconds]]-66)/60</f>
        <v>31.733333333333334</v>
      </c>
      <c r="C192" s="1">
        <v>108.91</v>
      </c>
    </row>
    <row r="193" spans="1:3" x14ac:dyDescent="0.25">
      <c r="A193" s="1">
        <v>1980</v>
      </c>
      <c r="B193" s="1">
        <f>(logtemperature__8[[#This Row],[seconds]]-66)/60</f>
        <v>31.9</v>
      </c>
      <c r="C193" s="1">
        <v>108.65</v>
      </c>
    </row>
    <row r="194" spans="1:3" x14ac:dyDescent="0.25">
      <c r="A194" s="1">
        <v>1990</v>
      </c>
      <c r="B194" s="1">
        <f>(logtemperature__8[[#This Row],[seconds]]-66)/60</f>
        <v>32.06666666666667</v>
      </c>
      <c r="C194" s="1">
        <v>108.64</v>
      </c>
    </row>
    <row r="195" spans="1:3" x14ac:dyDescent="0.25">
      <c r="A195" s="1">
        <v>2000</v>
      </c>
      <c r="B195" s="1">
        <f>(logtemperature__8[[#This Row],[seconds]]-66)/60</f>
        <v>32.233333333333334</v>
      </c>
      <c r="C195" s="1">
        <v>108.58</v>
      </c>
    </row>
    <row r="196" spans="1:3" x14ac:dyDescent="0.25">
      <c r="A196" s="1">
        <v>2010</v>
      </c>
      <c r="B196" s="1">
        <f>(logtemperature__8[[#This Row],[seconds]]-66)/60</f>
        <v>32.4</v>
      </c>
      <c r="C196" s="1">
        <v>109.23</v>
      </c>
    </row>
    <row r="197" spans="1:3" x14ac:dyDescent="0.25">
      <c r="A197" s="1">
        <v>2020</v>
      </c>
      <c r="B197" s="1">
        <f>(logtemperature__8[[#This Row],[seconds]]-66)/60</f>
        <v>32.56666666666667</v>
      </c>
      <c r="C197" s="1">
        <v>109.2</v>
      </c>
    </row>
    <row r="198" spans="1:3" x14ac:dyDescent="0.25">
      <c r="A198" s="1">
        <v>2030</v>
      </c>
      <c r="B198" s="1">
        <f>(logtemperature__8[[#This Row],[seconds]]-66)/60</f>
        <v>32.733333333333334</v>
      </c>
      <c r="C198" s="1">
        <v>109.95</v>
      </c>
    </row>
    <row r="199" spans="1:3" x14ac:dyDescent="0.25">
      <c r="A199" s="1">
        <v>2040</v>
      </c>
      <c r="B199" s="1">
        <f>(logtemperature__8[[#This Row],[seconds]]-66)/60</f>
        <v>32.9</v>
      </c>
      <c r="C199" s="1">
        <v>110</v>
      </c>
    </row>
    <row r="200" spans="1:3" x14ac:dyDescent="0.25">
      <c r="A200" s="1">
        <v>2050</v>
      </c>
      <c r="B200" s="1">
        <f>(logtemperature__8[[#This Row],[seconds]]-66)/60</f>
        <v>33.06666666666667</v>
      </c>
      <c r="C200" s="1">
        <v>110.14</v>
      </c>
    </row>
    <row r="201" spans="1:3" x14ac:dyDescent="0.25">
      <c r="A201" s="1"/>
      <c r="B201" s="1"/>
      <c r="C201" s="1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FAEFD-9830-4495-99B5-ED15AF63080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0524</vt:lpstr>
      <vt:lpstr>0525</vt:lpstr>
      <vt:lpstr>---</vt:lpstr>
      <vt:lpstr>0606</vt:lpstr>
      <vt:lpstr>0607</vt:lpstr>
      <vt:lpstr>0607-a</vt:lpstr>
      <vt:lpstr>0608-a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2026-06-08T09:50:33Z</dcterms:modified>
</cp:coreProperties>
</file>