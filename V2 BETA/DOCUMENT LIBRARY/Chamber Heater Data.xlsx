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240" documentId="8_{2D60A7A9-E59B-411A-B8FB-4CFDAA058ADE}" xr6:coauthVersionLast="47" xr6:coauthVersionMax="47" xr10:uidLastSave="{6F251442-F0AB-4794-8460-E250B9409094}"/>
  <bookViews>
    <workbookView xWindow="-120" yWindow="-120" windowWidth="29040" windowHeight="15720" activeTab="4" xr2:uid="{F1B2DFB2-7066-456A-9422-DB88FD1CE09F}"/>
  </bookViews>
  <sheets>
    <sheet name="0524" sheetId="2" r:id="rId1"/>
    <sheet name="0525" sheetId="3" r:id="rId2"/>
    <sheet name="---" sheetId="7" r:id="rId3"/>
    <sheet name="0606" sheetId="8" r:id="rId4"/>
    <sheet name="0607" sheetId="9" r:id="rId5"/>
    <sheet name="Sheet2" sheetId="6" r:id="rId6"/>
  </sheets>
  <definedNames>
    <definedName name="ExternalData_1" localSheetId="2" hidden="1">'---'!$A$1:$C$157</definedName>
    <definedName name="ExternalData_1" localSheetId="0" hidden="1">'0524'!$A$1:$C$166</definedName>
    <definedName name="ExternalData_1" localSheetId="1" hidden="1">'0525'!$A$1:$C$264</definedName>
    <definedName name="ExternalData_1" localSheetId="3" hidden="1">'0606'!$A$1:$C$43</definedName>
    <definedName name="ExternalData_1" localSheetId="4" hidden="1">'0607'!$A$1:$C$92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3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4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5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  <connection id="6" xr16:uid="{C1DB57FA-DAAE-4EF2-91B4-CB0CFC6933AD}" keepAlive="1" name="Query - logtemperature (6)" description="Connection to the 'logtemperature (6)' query in the workbook." type="5" refreshedVersion="8" background="1" saveData="1">
    <dbPr connection="Provider=Microsoft.Mashup.OleDb.1;Data Source=$Workbook$;Location=&quot;logtemperature (6)&quot;;Extended Properties=&quot;&quot;" command="SELECT * FROM [logtemperature (6)]"/>
  </connection>
</connections>
</file>

<file path=xl/sharedStrings.xml><?xml version="1.0" encoding="utf-8"?>
<sst xmlns="http://schemas.openxmlformats.org/spreadsheetml/2006/main" count="15" uniqueCount="9">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</sst>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6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'---'!$B$2:$B$157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'---'!$C$2:$C$157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'0607'!$B$2:$B$92</c:f>
              <c:numCache>
                <c:formatCode>0</c:formatCode>
                <c:ptCount val="91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0.5</c:v>
                </c:pt>
                <c:pt idx="4">
                  <c:v>0.66666666666666663</c:v>
                </c:pt>
                <c:pt idx="5">
                  <c:v>0.83333333333333337</c:v>
                </c:pt>
                <c:pt idx="6">
                  <c:v>1</c:v>
                </c:pt>
                <c:pt idx="7">
                  <c:v>1.1666666666666667</c:v>
                </c:pt>
                <c:pt idx="8">
                  <c:v>1.3333333333333333</c:v>
                </c:pt>
                <c:pt idx="9">
                  <c:v>1.5</c:v>
                </c:pt>
                <c:pt idx="10">
                  <c:v>1.6666666666666667</c:v>
                </c:pt>
                <c:pt idx="11">
                  <c:v>1.8333333333333333</c:v>
                </c:pt>
                <c:pt idx="12">
                  <c:v>2</c:v>
                </c:pt>
                <c:pt idx="13">
                  <c:v>2.1666666666666665</c:v>
                </c:pt>
                <c:pt idx="14">
                  <c:v>2.3333333333333335</c:v>
                </c:pt>
                <c:pt idx="15">
                  <c:v>2.5</c:v>
                </c:pt>
                <c:pt idx="16">
                  <c:v>2.6666666666666665</c:v>
                </c:pt>
                <c:pt idx="17">
                  <c:v>2.8333333333333335</c:v>
                </c:pt>
                <c:pt idx="18">
                  <c:v>3</c:v>
                </c:pt>
                <c:pt idx="19">
                  <c:v>3.1666666666666665</c:v>
                </c:pt>
                <c:pt idx="20">
                  <c:v>3.3333333333333335</c:v>
                </c:pt>
                <c:pt idx="21">
                  <c:v>3.5</c:v>
                </c:pt>
                <c:pt idx="22">
                  <c:v>3.6666666666666665</c:v>
                </c:pt>
                <c:pt idx="23">
                  <c:v>3.8333333333333335</c:v>
                </c:pt>
                <c:pt idx="24">
                  <c:v>4</c:v>
                </c:pt>
                <c:pt idx="25">
                  <c:v>4.166666666666667</c:v>
                </c:pt>
                <c:pt idx="26">
                  <c:v>4.333333333333333</c:v>
                </c:pt>
                <c:pt idx="27">
                  <c:v>4.5</c:v>
                </c:pt>
                <c:pt idx="28">
                  <c:v>4.666666666666667</c:v>
                </c:pt>
                <c:pt idx="29">
                  <c:v>4.833333333333333</c:v>
                </c:pt>
                <c:pt idx="30">
                  <c:v>5</c:v>
                </c:pt>
                <c:pt idx="31">
                  <c:v>5.166666666666667</c:v>
                </c:pt>
                <c:pt idx="32">
                  <c:v>5.333333333333333</c:v>
                </c:pt>
                <c:pt idx="33">
                  <c:v>5.5</c:v>
                </c:pt>
                <c:pt idx="34">
                  <c:v>5.666666666666667</c:v>
                </c:pt>
                <c:pt idx="35">
                  <c:v>5.833333333333333</c:v>
                </c:pt>
                <c:pt idx="36">
                  <c:v>6</c:v>
                </c:pt>
                <c:pt idx="37">
                  <c:v>6.166666666666667</c:v>
                </c:pt>
                <c:pt idx="38">
                  <c:v>6.333333333333333</c:v>
                </c:pt>
                <c:pt idx="39">
                  <c:v>6.5</c:v>
                </c:pt>
                <c:pt idx="40">
                  <c:v>6.666666666666667</c:v>
                </c:pt>
                <c:pt idx="41">
                  <c:v>6.833333333333333</c:v>
                </c:pt>
                <c:pt idx="42">
                  <c:v>7</c:v>
                </c:pt>
                <c:pt idx="43">
                  <c:v>7.166666666666667</c:v>
                </c:pt>
                <c:pt idx="44">
                  <c:v>7.333333333333333</c:v>
                </c:pt>
                <c:pt idx="45">
                  <c:v>7.5</c:v>
                </c:pt>
                <c:pt idx="46">
                  <c:v>7.666666666666667</c:v>
                </c:pt>
                <c:pt idx="47">
                  <c:v>7.85</c:v>
                </c:pt>
                <c:pt idx="48">
                  <c:v>8.0166666666666675</c:v>
                </c:pt>
                <c:pt idx="49">
                  <c:v>8.1833333333333336</c:v>
                </c:pt>
                <c:pt idx="50">
                  <c:v>8.35</c:v>
                </c:pt>
                <c:pt idx="51">
                  <c:v>8.5166666666666675</c:v>
                </c:pt>
                <c:pt idx="52">
                  <c:v>8.6833333333333336</c:v>
                </c:pt>
                <c:pt idx="53">
                  <c:v>8.85</c:v>
                </c:pt>
                <c:pt idx="54">
                  <c:v>9.0166666666666675</c:v>
                </c:pt>
                <c:pt idx="55">
                  <c:v>9.1833333333333336</c:v>
                </c:pt>
                <c:pt idx="56">
                  <c:v>9.35</c:v>
                </c:pt>
                <c:pt idx="57">
                  <c:v>9.5166666666666675</c:v>
                </c:pt>
                <c:pt idx="58">
                  <c:v>9.6833333333333336</c:v>
                </c:pt>
                <c:pt idx="59">
                  <c:v>9.85</c:v>
                </c:pt>
                <c:pt idx="60">
                  <c:v>10.016666666666667</c:v>
                </c:pt>
                <c:pt idx="61">
                  <c:v>10.183333333333334</c:v>
                </c:pt>
                <c:pt idx="62">
                  <c:v>10.35</c:v>
                </c:pt>
                <c:pt idx="63">
                  <c:v>10.516666666666667</c:v>
                </c:pt>
                <c:pt idx="64">
                  <c:v>10.683333333333334</c:v>
                </c:pt>
                <c:pt idx="65">
                  <c:v>10.85</c:v>
                </c:pt>
                <c:pt idx="66">
                  <c:v>11.016666666666667</c:v>
                </c:pt>
                <c:pt idx="67">
                  <c:v>11.183333333333334</c:v>
                </c:pt>
                <c:pt idx="68">
                  <c:v>11.35</c:v>
                </c:pt>
                <c:pt idx="69">
                  <c:v>11.516666666666667</c:v>
                </c:pt>
                <c:pt idx="70">
                  <c:v>11.683333333333334</c:v>
                </c:pt>
                <c:pt idx="71">
                  <c:v>11.85</c:v>
                </c:pt>
                <c:pt idx="72">
                  <c:v>12.016666666666667</c:v>
                </c:pt>
                <c:pt idx="73">
                  <c:v>12.183333333333334</c:v>
                </c:pt>
                <c:pt idx="74">
                  <c:v>12.35</c:v>
                </c:pt>
                <c:pt idx="75">
                  <c:v>12.516666666666667</c:v>
                </c:pt>
                <c:pt idx="76">
                  <c:v>12.683333333333334</c:v>
                </c:pt>
                <c:pt idx="77">
                  <c:v>12.85</c:v>
                </c:pt>
                <c:pt idx="78">
                  <c:v>13.016666666666667</c:v>
                </c:pt>
                <c:pt idx="79">
                  <c:v>13.183333333333334</c:v>
                </c:pt>
                <c:pt idx="80">
                  <c:v>13.35</c:v>
                </c:pt>
                <c:pt idx="81">
                  <c:v>13.516666666666667</c:v>
                </c:pt>
                <c:pt idx="82">
                  <c:v>13.683333333333334</c:v>
                </c:pt>
                <c:pt idx="83">
                  <c:v>13.85</c:v>
                </c:pt>
                <c:pt idx="84">
                  <c:v>14.016666666666667</c:v>
                </c:pt>
                <c:pt idx="85">
                  <c:v>14.183333333333334</c:v>
                </c:pt>
                <c:pt idx="86">
                  <c:v>14.35</c:v>
                </c:pt>
                <c:pt idx="87">
                  <c:v>14.516666666666667</c:v>
                </c:pt>
                <c:pt idx="88">
                  <c:v>14.683333333333334</c:v>
                </c:pt>
                <c:pt idx="89">
                  <c:v>14.85</c:v>
                </c:pt>
                <c:pt idx="90">
                  <c:v>15.016666666666667</c:v>
                </c:pt>
              </c:numCache>
            </c:numRef>
          </c:cat>
          <c:val>
            <c:numRef>
              <c:f>'0607'!$C$2:$C$92</c:f>
              <c:numCache>
                <c:formatCode>0</c:formatCode>
                <c:ptCount val="91"/>
                <c:pt idx="0">
                  <c:v>23.65</c:v>
                </c:pt>
                <c:pt idx="1">
                  <c:v>23.84</c:v>
                </c:pt>
                <c:pt idx="2">
                  <c:v>25.12</c:v>
                </c:pt>
                <c:pt idx="3">
                  <c:v>27</c:v>
                </c:pt>
                <c:pt idx="4">
                  <c:v>29.98</c:v>
                </c:pt>
                <c:pt idx="5">
                  <c:v>31.73</c:v>
                </c:pt>
                <c:pt idx="6">
                  <c:v>33.43</c:v>
                </c:pt>
                <c:pt idx="7">
                  <c:v>34.81</c:v>
                </c:pt>
                <c:pt idx="8">
                  <c:v>36.619999999999997</c:v>
                </c:pt>
                <c:pt idx="9">
                  <c:v>37.729999999999997</c:v>
                </c:pt>
                <c:pt idx="10">
                  <c:v>38.97</c:v>
                </c:pt>
                <c:pt idx="11">
                  <c:v>40.200000000000003</c:v>
                </c:pt>
                <c:pt idx="12">
                  <c:v>40.76</c:v>
                </c:pt>
                <c:pt idx="13">
                  <c:v>40.46</c:v>
                </c:pt>
                <c:pt idx="14">
                  <c:v>41.28</c:v>
                </c:pt>
                <c:pt idx="15">
                  <c:v>43.08</c:v>
                </c:pt>
                <c:pt idx="16">
                  <c:v>43.55</c:v>
                </c:pt>
                <c:pt idx="17">
                  <c:v>44.33</c:v>
                </c:pt>
                <c:pt idx="18">
                  <c:v>45.01</c:v>
                </c:pt>
                <c:pt idx="19">
                  <c:v>45.45</c:v>
                </c:pt>
                <c:pt idx="20">
                  <c:v>46.08</c:v>
                </c:pt>
                <c:pt idx="21">
                  <c:v>46.5</c:v>
                </c:pt>
                <c:pt idx="22">
                  <c:v>46.77</c:v>
                </c:pt>
                <c:pt idx="23">
                  <c:v>48.12</c:v>
                </c:pt>
                <c:pt idx="24">
                  <c:v>48.08</c:v>
                </c:pt>
                <c:pt idx="25">
                  <c:v>48.57</c:v>
                </c:pt>
                <c:pt idx="26">
                  <c:v>49.4</c:v>
                </c:pt>
                <c:pt idx="27">
                  <c:v>49.87</c:v>
                </c:pt>
                <c:pt idx="28">
                  <c:v>50.46</c:v>
                </c:pt>
                <c:pt idx="29">
                  <c:v>50.86</c:v>
                </c:pt>
                <c:pt idx="30">
                  <c:v>49.91</c:v>
                </c:pt>
                <c:pt idx="31">
                  <c:v>50.8</c:v>
                </c:pt>
                <c:pt idx="32">
                  <c:v>51.67</c:v>
                </c:pt>
                <c:pt idx="33">
                  <c:v>51.81</c:v>
                </c:pt>
                <c:pt idx="34">
                  <c:v>52.38</c:v>
                </c:pt>
                <c:pt idx="35">
                  <c:v>53.17</c:v>
                </c:pt>
                <c:pt idx="36">
                  <c:v>53.35</c:v>
                </c:pt>
                <c:pt idx="37">
                  <c:v>52.78</c:v>
                </c:pt>
                <c:pt idx="38">
                  <c:v>52.79</c:v>
                </c:pt>
                <c:pt idx="39">
                  <c:v>52.92</c:v>
                </c:pt>
                <c:pt idx="40">
                  <c:v>54.07</c:v>
                </c:pt>
                <c:pt idx="41">
                  <c:v>54.04</c:v>
                </c:pt>
                <c:pt idx="42">
                  <c:v>54.09</c:v>
                </c:pt>
                <c:pt idx="43">
                  <c:v>54.72</c:v>
                </c:pt>
                <c:pt idx="44">
                  <c:v>54.73</c:v>
                </c:pt>
                <c:pt idx="45">
                  <c:v>55.45</c:v>
                </c:pt>
                <c:pt idx="46">
                  <c:v>55.99</c:v>
                </c:pt>
                <c:pt idx="47">
                  <c:v>56.72</c:v>
                </c:pt>
                <c:pt idx="48">
                  <c:v>56.37</c:v>
                </c:pt>
                <c:pt idx="49">
                  <c:v>55.48</c:v>
                </c:pt>
                <c:pt idx="50">
                  <c:v>56.69</c:v>
                </c:pt>
                <c:pt idx="51">
                  <c:v>57.12</c:v>
                </c:pt>
                <c:pt idx="52">
                  <c:v>56.99</c:v>
                </c:pt>
                <c:pt idx="53">
                  <c:v>57.87</c:v>
                </c:pt>
                <c:pt idx="54">
                  <c:v>58.8</c:v>
                </c:pt>
                <c:pt idx="55">
                  <c:v>57.42</c:v>
                </c:pt>
                <c:pt idx="56">
                  <c:v>58.65</c:v>
                </c:pt>
                <c:pt idx="57">
                  <c:v>57.2</c:v>
                </c:pt>
                <c:pt idx="58">
                  <c:v>58.7</c:v>
                </c:pt>
                <c:pt idx="59">
                  <c:v>59.59</c:v>
                </c:pt>
                <c:pt idx="60">
                  <c:v>59.74</c:v>
                </c:pt>
                <c:pt idx="61">
                  <c:v>61.17</c:v>
                </c:pt>
                <c:pt idx="62">
                  <c:v>61.39</c:v>
                </c:pt>
                <c:pt idx="63">
                  <c:v>60.65</c:v>
                </c:pt>
                <c:pt idx="64">
                  <c:v>59.51</c:v>
                </c:pt>
                <c:pt idx="65">
                  <c:v>60.41</c:v>
                </c:pt>
                <c:pt idx="66">
                  <c:v>60.41</c:v>
                </c:pt>
                <c:pt idx="67">
                  <c:v>60.46</c:v>
                </c:pt>
                <c:pt idx="68">
                  <c:v>60.2</c:v>
                </c:pt>
                <c:pt idx="69">
                  <c:v>61.32</c:v>
                </c:pt>
                <c:pt idx="70">
                  <c:v>60.87</c:v>
                </c:pt>
                <c:pt idx="71">
                  <c:v>61.65</c:v>
                </c:pt>
                <c:pt idx="72">
                  <c:v>61.32</c:v>
                </c:pt>
                <c:pt idx="73">
                  <c:v>62.45</c:v>
                </c:pt>
                <c:pt idx="74">
                  <c:v>62.51</c:v>
                </c:pt>
                <c:pt idx="75">
                  <c:v>63.11</c:v>
                </c:pt>
                <c:pt idx="76">
                  <c:v>62.63</c:v>
                </c:pt>
                <c:pt idx="77">
                  <c:v>61.93</c:v>
                </c:pt>
                <c:pt idx="78">
                  <c:v>63.34</c:v>
                </c:pt>
                <c:pt idx="79">
                  <c:v>62.88</c:v>
                </c:pt>
                <c:pt idx="80">
                  <c:v>63.9</c:v>
                </c:pt>
                <c:pt idx="81">
                  <c:v>64.069999999999993</c:v>
                </c:pt>
                <c:pt idx="82">
                  <c:v>63.88</c:v>
                </c:pt>
                <c:pt idx="83">
                  <c:v>64.98</c:v>
                </c:pt>
                <c:pt idx="84">
                  <c:v>64.2</c:v>
                </c:pt>
                <c:pt idx="85">
                  <c:v>64.16</c:v>
                </c:pt>
                <c:pt idx="86">
                  <c:v>65.14</c:v>
                </c:pt>
                <c:pt idx="87">
                  <c:v>65.459999999999994</c:v>
                </c:pt>
                <c:pt idx="88">
                  <c:v>65.8</c:v>
                </c:pt>
                <c:pt idx="89">
                  <c:v>66.64</c:v>
                </c:pt>
                <c:pt idx="90">
                  <c:v>66.760000000000005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1-44EC-A103-E2D6745B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001439"/>
        <c:axId val="269995199"/>
      </c:lineChart>
      <c:catAx>
        <c:axId val="2700014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69995199"/>
        <c:crosses val="autoZero"/>
        <c:auto val="1"/>
        <c:lblAlgn val="ctr"/>
        <c:lblOffset val="100"/>
        <c:noMultiLvlLbl val="0"/>
      </c:catAx>
      <c:valAx>
        <c:axId val="2699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7000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0</xdr:row>
      <xdr:rowOff>0</xdr:rowOff>
    </xdr:from>
    <xdr:to>
      <xdr:col>22</xdr:col>
      <xdr:colOff>485775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41C14F-BC63-9839-E3BA-493ACCC9E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B98788E5-8A8F-4F87-B157-29CFCE14A30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4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3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2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5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16A63A-14F7-4CBF-82BB-C046DD49BC90}" name="logtemperature__6" displayName="logtemperature__6" ref="A1:C92" tableType="queryTable" totalsRowShown="0">
  <autoFilter ref="A1:C92" xr:uid="{1D16A63A-14F7-4CBF-82BB-C046DD49BC90}"/>
  <tableColumns count="3">
    <tableColumn id="1" xr3:uid="{8A32421D-19BE-42D4-8239-7AE1086EA99B}" uniqueName="1" name="seconds" queryTableFieldId="1"/>
    <tableColumn id="3" xr3:uid="{8FC4FC74-5F95-46D1-A45E-C339ADAAFEE3}" uniqueName="3" name="minutes" queryTableFieldId="3" dataDxfId="1">
      <calculatedColumnFormula>(logtemperature__6[[#This Row],[seconds]]-348)/60</calculatedColumnFormula>
    </tableColumn>
    <tableColumn id="2" xr3:uid="{EF7145E0-B373-49E0-A880-CE32821D989D}" uniqueName="2" name="temp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A0822-4E02-44EA-8580-1B542D6E8250}">
  <dimension ref="A1:C92"/>
  <sheetViews>
    <sheetView tabSelected="1" workbookViewId="0">
      <selection activeCell="X14" sqref="X14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348</v>
      </c>
      <c r="B2" s="1">
        <f>(logtemperature__6[[#This Row],[seconds]]-348)/60</f>
        <v>0</v>
      </c>
      <c r="C2" s="1">
        <v>23.65</v>
      </c>
    </row>
    <row r="3" spans="1:3" x14ac:dyDescent="0.25">
      <c r="A3">
        <v>358</v>
      </c>
      <c r="B3" s="1">
        <f>(logtemperature__6[[#This Row],[seconds]]-348)/60</f>
        <v>0.16666666666666666</v>
      </c>
      <c r="C3" s="1">
        <v>23.84</v>
      </c>
    </row>
    <row r="4" spans="1:3" x14ac:dyDescent="0.25">
      <c r="A4">
        <v>368</v>
      </c>
      <c r="B4" s="1">
        <f>(logtemperature__6[[#This Row],[seconds]]-348)/60</f>
        <v>0.33333333333333331</v>
      </c>
      <c r="C4" s="1">
        <v>25.12</v>
      </c>
    </row>
    <row r="5" spans="1:3" x14ac:dyDescent="0.25">
      <c r="A5">
        <v>378</v>
      </c>
      <c r="B5" s="1">
        <f>(logtemperature__6[[#This Row],[seconds]]-348)/60</f>
        <v>0.5</v>
      </c>
      <c r="C5" s="1">
        <v>27</v>
      </c>
    </row>
    <row r="6" spans="1:3" x14ac:dyDescent="0.25">
      <c r="A6">
        <v>388</v>
      </c>
      <c r="B6" s="1">
        <f>(logtemperature__6[[#This Row],[seconds]]-348)/60</f>
        <v>0.66666666666666663</v>
      </c>
      <c r="C6" s="1">
        <v>29.98</v>
      </c>
    </row>
    <row r="7" spans="1:3" x14ac:dyDescent="0.25">
      <c r="A7">
        <v>398</v>
      </c>
      <c r="B7" s="1">
        <f>(logtemperature__6[[#This Row],[seconds]]-348)/60</f>
        <v>0.83333333333333337</v>
      </c>
      <c r="C7" s="1">
        <v>31.73</v>
      </c>
    </row>
    <row r="8" spans="1:3" x14ac:dyDescent="0.25">
      <c r="A8">
        <v>408</v>
      </c>
      <c r="B8" s="1">
        <f>(logtemperature__6[[#This Row],[seconds]]-348)/60</f>
        <v>1</v>
      </c>
      <c r="C8" s="1">
        <v>33.43</v>
      </c>
    </row>
    <row r="9" spans="1:3" x14ac:dyDescent="0.25">
      <c r="A9">
        <v>418</v>
      </c>
      <c r="B9" s="1">
        <f>(logtemperature__6[[#This Row],[seconds]]-348)/60</f>
        <v>1.1666666666666667</v>
      </c>
      <c r="C9" s="1">
        <v>34.81</v>
      </c>
    </row>
    <row r="10" spans="1:3" x14ac:dyDescent="0.25">
      <c r="A10">
        <v>428</v>
      </c>
      <c r="B10" s="1">
        <f>(logtemperature__6[[#This Row],[seconds]]-348)/60</f>
        <v>1.3333333333333333</v>
      </c>
      <c r="C10" s="1">
        <v>36.619999999999997</v>
      </c>
    </row>
    <row r="11" spans="1:3" x14ac:dyDescent="0.25">
      <c r="A11">
        <v>438</v>
      </c>
      <c r="B11" s="1">
        <f>(logtemperature__6[[#This Row],[seconds]]-348)/60</f>
        <v>1.5</v>
      </c>
      <c r="C11" s="1">
        <v>37.729999999999997</v>
      </c>
    </row>
    <row r="12" spans="1:3" x14ac:dyDescent="0.25">
      <c r="A12">
        <v>448</v>
      </c>
      <c r="B12" s="1">
        <f>(logtemperature__6[[#This Row],[seconds]]-348)/60</f>
        <v>1.6666666666666667</v>
      </c>
      <c r="C12" s="1">
        <v>38.97</v>
      </c>
    </row>
    <row r="13" spans="1:3" x14ac:dyDescent="0.25">
      <c r="A13">
        <v>458</v>
      </c>
      <c r="B13" s="1">
        <f>(logtemperature__6[[#This Row],[seconds]]-348)/60</f>
        <v>1.8333333333333333</v>
      </c>
      <c r="C13" s="1">
        <v>40.200000000000003</v>
      </c>
    </row>
    <row r="14" spans="1:3" x14ac:dyDescent="0.25">
      <c r="A14">
        <v>468</v>
      </c>
      <c r="B14" s="1">
        <f>(logtemperature__6[[#This Row],[seconds]]-348)/60</f>
        <v>2</v>
      </c>
      <c r="C14" s="1">
        <v>40.76</v>
      </c>
    </row>
    <row r="15" spans="1:3" x14ac:dyDescent="0.25">
      <c r="A15">
        <v>478</v>
      </c>
      <c r="B15" s="1">
        <f>(logtemperature__6[[#This Row],[seconds]]-348)/60</f>
        <v>2.1666666666666665</v>
      </c>
      <c r="C15" s="1">
        <v>40.46</v>
      </c>
    </row>
    <row r="16" spans="1:3" x14ac:dyDescent="0.25">
      <c r="A16">
        <v>488</v>
      </c>
      <c r="B16" s="1">
        <f>(logtemperature__6[[#This Row],[seconds]]-348)/60</f>
        <v>2.3333333333333335</v>
      </c>
      <c r="C16" s="1">
        <v>41.28</v>
      </c>
    </row>
    <row r="17" spans="1:3" x14ac:dyDescent="0.25">
      <c r="A17">
        <v>498</v>
      </c>
      <c r="B17" s="1">
        <f>(logtemperature__6[[#This Row],[seconds]]-348)/60</f>
        <v>2.5</v>
      </c>
      <c r="C17" s="1">
        <v>43.08</v>
      </c>
    </row>
    <row r="18" spans="1:3" x14ac:dyDescent="0.25">
      <c r="A18">
        <v>508</v>
      </c>
      <c r="B18" s="1">
        <f>(logtemperature__6[[#This Row],[seconds]]-348)/60</f>
        <v>2.6666666666666665</v>
      </c>
      <c r="C18" s="1">
        <v>43.55</v>
      </c>
    </row>
    <row r="19" spans="1:3" x14ac:dyDescent="0.25">
      <c r="A19">
        <v>518</v>
      </c>
      <c r="B19" s="1">
        <f>(logtemperature__6[[#This Row],[seconds]]-348)/60</f>
        <v>2.8333333333333335</v>
      </c>
      <c r="C19" s="1">
        <v>44.33</v>
      </c>
    </row>
    <row r="20" spans="1:3" x14ac:dyDescent="0.25">
      <c r="A20">
        <v>528</v>
      </c>
      <c r="B20" s="1">
        <f>(logtemperature__6[[#This Row],[seconds]]-348)/60</f>
        <v>3</v>
      </c>
      <c r="C20" s="1">
        <v>45.01</v>
      </c>
    </row>
    <row r="21" spans="1:3" x14ac:dyDescent="0.25">
      <c r="A21">
        <v>538</v>
      </c>
      <c r="B21" s="1">
        <f>(logtemperature__6[[#This Row],[seconds]]-348)/60</f>
        <v>3.1666666666666665</v>
      </c>
      <c r="C21" s="1">
        <v>45.45</v>
      </c>
    </row>
    <row r="22" spans="1:3" x14ac:dyDescent="0.25">
      <c r="A22">
        <v>548</v>
      </c>
      <c r="B22" s="1">
        <f>(logtemperature__6[[#This Row],[seconds]]-348)/60</f>
        <v>3.3333333333333335</v>
      </c>
      <c r="C22" s="1">
        <v>46.08</v>
      </c>
    </row>
    <row r="23" spans="1:3" x14ac:dyDescent="0.25">
      <c r="A23">
        <v>558</v>
      </c>
      <c r="B23" s="1">
        <f>(logtemperature__6[[#This Row],[seconds]]-348)/60</f>
        <v>3.5</v>
      </c>
      <c r="C23" s="1">
        <v>46.5</v>
      </c>
    </row>
    <row r="24" spans="1:3" x14ac:dyDescent="0.25">
      <c r="A24">
        <v>568</v>
      </c>
      <c r="B24" s="1">
        <f>(logtemperature__6[[#This Row],[seconds]]-348)/60</f>
        <v>3.6666666666666665</v>
      </c>
      <c r="C24" s="1">
        <v>46.77</v>
      </c>
    </row>
    <row r="25" spans="1:3" x14ac:dyDescent="0.25">
      <c r="A25">
        <v>578</v>
      </c>
      <c r="B25" s="1">
        <f>(logtemperature__6[[#This Row],[seconds]]-348)/60</f>
        <v>3.8333333333333335</v>
      </c>
      <c r="C25" s="1">
        <v>48.12</v>
      </c>
    </row>
    <row r="26" spans="1:3" x14ac:dyDescent="0.25">
      <c r="A26">
        <v>588</v>
      </c>
      <c r="B26" s="1">
        <f>(logtemperature__6[[#This Row],[seconds]]-348)/60</f>
        <v>4</v>
      </c>
      <c r="C26" s="1">
        <v>48.08</v>
      </c>
    </row>
    <row r="27" spans="1:3" x14ac:dyDescent="0.25">
      <c r="A27">
        <v>598</v>
      </c>
      <c r="B27" s="1">
        <f>(logtemperature__6[[#This Row],[seconds]]-348)/60</f>
        <v>4.166666666666667</v>
      </c>
      <c r="C27" s="1">
        <v>48.57</v>
      </c>
    </row>
    <row r="28" spans="1:3" x14ac:dyDescent="0.25">
      <c r="A28">
        <v>608</v>
      </c>
      <c r="B28" s="1">
        <f>(logtemperature__6[[#This Row],[seconds]]-348)/60</f>
        <v>4.333333333333333</v>
      </c>
      <c r="C28" s="1">
        <v>49.4</v>
      </c>
    </row>
    <row r="29" spans="1:3" x14ac:dyDescent="0.25">
      <c r="A29">
        <v>618</v>
      </c>
      <c r="B29" s="1">
        <f>(logtemperature__6[[#This Row],[seconds]]-348)/60</f>
        <v>4.5</v>
      </c>
      <c r="C29" s="1">
        <v>49.87</v>
      </c>
    </row>
    <row r="30" spans="1:3" x14ac:dyDescent="0.25">
      <c r="A30">
        <v>628</v>
      </c>
      <c r="B30" s="1">
        <f>(logtemperature__6[[#This Row],[seconds]]-348)/60</f>
        <v>4.666666666666667</v>
      </c>
      <c r="C30" s="1">
        <v>50.46</v>
      </c>
    </row>
    <row r="31" spans="1:3" x14ac:dyDescent="0.25">
      <c r="A31">
        <v>638</v>
      </c>
      <c r="B31" s="1">
        <f>(logtemperature__6[[#This Row],[seconds]]-348)/60</f>
        <v>4.833333333333333</v>
      </c>
      <c r="C31" s="1">
        <v>50.86</v>
      </c>
    </row>
    <row r="32" spans="1:3" x14ac:dyDescent="0.25">
      <c r="A32">
        <v>648</v>
      </c>
      <c r="B32" s="1">
        <f>(logtemperature__6[[#This Row],[seconds]]-348)/60</f>
        <v>5</v>
      </c>
      <c r="C32" s="1">
        <v>49.91</v>
      </c>
    </row>
    <row r="33" spans="1:3" x14ac:dyDescent="0.25">
      <c r="A33">
        <v>658</v>
      </c>
      <c r="B33" s="1">
        <f>(logtemperature__6[[#This Row],[seconds]]-348)/60</f>
        <v>5.166666666666667</v>
      </c>
      <c r="C33" s="1">
        <v>50.8</v>
      </c>
    </row>
    <row r="34" spans="1:3" x14ac:dyDescent="0.25">
      <c r="A34">
        <v>668</v>
      </c>
      <c r="B34" s="1">
        <f>(logtemperature__6[[#This Row],[seconds]]-348)/60</f>
        <v>5.333333333333333</v>
      </c>
      <c r="C34" s="1">
        <v>51.67</v>
      </c>
    </row>
    <row r="35" spans="1:3" x14ac:dyDescent="0.25">
      <c r="A35">
        <v>678</v>
      </c>
      <c r="B35" s="1">
        <f>(logtemperature__6[[#This Row],[seconds]]-348)/60</f>
        <v>5.5</v>
      </c>
      <c r="C35" s="1">
        <v>51.81</v>
      </c>
    </row>
    <row r="36" spans="1:3" x14ac:dyDescent="0.25">
      <c r="A36">
        <v>688</v>
      </c>
      <c r="B36" s="1">
        <f>(logtemperature__6[[#This Row],[seconds]]-348)/60</f>
        <v>5.666666666666667</v>
      </c>
      <c r="C36" s="1">
        <v>52.38</v>
      </c>
    </row>
    <row r="37" spans="1:3" x14ac:dyDescent="0.25">
      <c r="A37">
        <v>698</v>
      </c>
      <c r="B37" s="1">
        <f>(logtemperature__6[[#This Row],[seconds]]-348)/60</f>
        <v>5.833333333333333</v>
      </c>
      <c r="C37" s="1">
        <v>53.17</v>
      </c>
    </row>
    <row r="38" spans="1:3" x14ac:dyDescent="0.25">
      <c r="A38">
        <v>708</v>
      </c>
      <c r="B38" s="1">
        <f>(logtemperature__6[[#This Row],[seconds]]-348)/60</f>
        <v>6</v>
      </c>
      <c r="C38" s="1">
        <v>53.35</v>
      </c>
    </row>
    <row r="39" spans="1:3" x14ac:dyDescent="0.25">
      <c r="A39">
        <v>718</v>
      </c>
      <c r="B39" s="1">
        <f>(logtemperature__6[[#This Row],[seconds]]-348)/60</f>
        <v>6.166666666666667</v>
      </c>
      <c r="C39" s="1">
        <v>52.78</v>
      </c>
    </row>
    <row r="40" spans="1:3" x14ac:dyDescent="0.25">
      <c r="A40">
        <v>728</v>
      </c>
      <c r="B40" s="1">
        <f>(logtemperature__6[[#This Row],[seconds]]-348)/60</f>
        <v>6.333333333333333</v>
      </c>
      <c r="C40" s="1">
        <v>52.79</v>
      </c>
    </row>
    <row r="41" spans="1:3" x14ac:dyDescent="0.25">
      <c r="A41">
        <v>738</v>
      </c>
      <c r="B41" s="1">
        <f>(logtemperature__6[[#This Row],[seconds]]-348)/60</f>
        <v>6.5</v>
      </c>
      <c r="C41" s="1">
        <v>52.92</v>
      </c>
    </row>
    <row r="42" spans="1:3" x14ac:dyDescent="0.25">
      <c r="A42">
        <v>748</v>
      </c>
      <c r="B42" s="1">
        <f>(logtemperature__6[[#This Row],[seconds]]-348)/60</f>
        <v>6.666666666666667</v>
      </c>
      <c r="C42" s="1">
        <v>54.07</v>
      </c>
    </row>
    <row r="43" spans="1:3" x14ac:dyDescent="0.25">
      <c r="A43">
        <v>758</v>
      </c>
      <c r="B43" s="1">
        <f>(logtemperature__6[[#This Row],[seconds]]-348)/60</f>
        <v>6.833333333333333</v>
      </c>
      <c r="C43" s="1">
        <v>54.04</v>
      </c>
    </row>
    <row r="44" spans="1:3" x14ac:dyDescent="0.25">
      <c r="A44">
        <v>768</v>
      </c>
      <c r="B44" s="1">
        <f>(logtemperature__6[[#This Row],[seconds]]-348)/60</f>
        <v>7</v>
      </c>
      <c r="C44" s="1">
        <v>54.09</v>
      </c>
    </row>
    <row r="45" spans="1:3" x14ac:dyDescent="0.25">
      <c r="A45">
        <v>778</v>
      </c>
      <c r="B45" s="1">
        <f>(logtemperature__6[[#This Row],[seconds]]-348)/60</f>
        <v>7.166666666666667</v>
      </c>
      <c r="C45" s="1">
        <v>54.72</v>
      </c>
    </row>
    <row r="46" spans="1:3" x14ac:dyDescent="0.25">
      <c r="A46">
        <v>788</v>
      </c>
      <c r="B46" s="1">
        <f>(logtemperature__6[[#This Row],[seconds]]-348)/60</f>
        <v>7.333333333333333</v>
      </c>
      <c r="C46" s="1">
        <v>54.73</v>
      </c>
    </row>
    <row r="47" spans="1:3" x14ac:dyDescent="0.25">
      <c r="A47">
        <v>798</v>
      </c>
      <c r="B47" s="1">
        <f>(logtemperature__6[[#This Row],[seconds]]-348)/60</f>
        <v>7.5</v>
      </c>
      <c r="C47" s="1">
        <v>55.45</v>
      </c>
    </row>
    <row r="48" spans="1:3" x14ac:dyDescent="0.25">
      <c r="A48">
        <v>808</v>
      </c>
      <c r="B48" s="1">
        <f>(logtemperature__6[[#This Row],[seconds]]-348)/60</f>
        <v>7.666666666666667</v>
      </c>
      <c r="C48" s="1">
        <v>55.99</v>
      </c>
    </row>
    <row r="49" spans="1:3" x14ac:dyDescent="0.25">
      <c r="A49">
        <v>819</v>
      </c>
      <c r="B49" s="1">
        <f>(logtemperature__6[[#This Row],[seconds]]-348)/60</f>
        <v>7.85</v>
      </c>
      <c r="C49" s="1">
        <v>56.72</v>
      </c>
    </row>
    <row r="50" spans="1:3" x14ac:dyDescent="0.25">
      <c r="A50">
        <v>829</v>
      </c>
      <c r="B50" s="1">
        <f>(logtemperature__6[[#This Row],[seconds]]-348)/60</f>
        <v>8.0166666666666675</v>
      </c>
      <c r="C50" s="1">
        <v>56.37</v>
      </c>
    </row>
    <row r="51" spans="1:3" x14ac:dyDescent="0.25">
      <c r="A51">
        <v>839</v>
      </c>
      <c r="B51" s="1">
        <f>(logtemperature__6[[#This Row],[seconds]]-348)/60</f>
        <v>8.1833333333333336</v>
      </c>
      <c r="C51" s="1">
        <v>55.48</v>
      </c>
    </row>
    <row r="52" spans="1:3" x14ac:dyDescent="0.25">
      <c r="A52">
        <v>849</v>
      </c>
      <c r="B52" s="1">
        <f>(logtemperature__6[[#This Row],[seconds]]-348)/60</f>
        <v>8.35</v>
      </c>
      <c r="C52" s="1">
        <v>56.69</v>
      </c>
    </row>
    <row r="53" spans="1:3" x14ac:dyDescent="0.25">
      <c r="A53">
        <v>859</v>
      </c>
      <c r="B53" s="1">
        <f>(logtemperature__6[[#This Row],[seconds]]-348)/60</f>
        <v>8.5166666666666675</v>
      </c>
      <c r="C53" s="1">
        <v>57.12</v>
      </c>
    </row>
    <row r="54" spans="1:3" x14ac:dyDescent="0.25">
      <c r="A54">
        <v>869</v>
      </c>
      <c r="B54" s="1">
        <f>(logtemperature__6[[#This Row],[seconds]]-348)/60</f>
        <v>8.6833333333333336</v>
      </c>
      <c r="C54" s="1">
        <v>56.99</v>
      </c>
    </row>
    <row r="55" spans="1:3" x14ac:dyDescent="0.25">
      <c r="A55">
        <v>879</v>
      </c>
      <c r="B55" s="1">
        <f>(logtemperature__6[[#This Row],[seconds]]-348)/60</f>
        <v>8.85</v>
      </c>
      <c r="C55" s="1">
        <v>57.87</v>
      </c>
    </row>
    <row r="56" spans="1:3" x14ac:dyDescent="0.25">
      <c r="A56">
        <v>889</v>
      </c>
      <c r="B56" s="1">
        <f>(logtemperature__6[[#This Row],[seconds]]-348)/60</f>
        <v>9.0166666666666675</v>
      </c>
      <c r="C56" s="1">
        <v>58.8</v>
      </c>
    </row>
    <row r="57" spans="1:3" x14ac:dyDescent="0.25">
      <c r="A57">
        <v>899</v>
      </c>
      <c r="B57" s="1">
        <f>(logtemperature__6[[#This Row],[seconds]]-348)/60</f>
        <v>9.1833333333333336</v>
      </c>
      <c r="C57" s="1">
        <v>57.42</v>
      </c>
    </row>
    <row r="58" spans="1:3" x14ac:dyDescent="0.25">
      <c r="A58">
        <v>909</v>
      </c>
      <c r="B58" s="1">
        <f>(logtemperature__6[[#This Row],[seconds]]-348)/60</f>
        <v>9.35</v>
      </c>
      <c r="C58" s="1">
        <v>58.65</v>
      </c>
    </row>
    <row r="59" spans="1:3" x14ac:dyDescent="0.25">
      <c r="A59">
        <v>919</v>
      </c>
      <c r="B59" s="1">
        <f>(logtemperature__6[[#This Row],[seconds]]-348)/60</f>
        <v>9.5166666666666675</v>
      </c>
      <c r="C59" s="1">
        <v>57.2</v>
      </c>
    </row>
    <row r="60" spans="1:3" x14ac:dyDescent="0.25">
      <c r="A60">
        <v>929</v>
      </c>
      <c r="B60" s="1">
        <f>(logtemperature__6[[#This Row],[seconds]]-348)/60</f>
        <v>9.6833333333333336</v>
      </c>
      <c r="C60" s="1">
        <v>58.7</v>
      </c>
    </row>
    <row r="61" spans="1:3" x14ac:dyDescent="0.25">
      <c r="A61">
        <v>939</v>
      </c>
      <c r="B61" s="1">
        <f>(logtemperature__6[[#This Row],[seconds]]-348)/60</f>
        <v>9.85</v>
      </c>
      <c r="C61" s="1">
        <v>59.59</v>
      </c>
    </row>
    <row r="62" spans="1:3" x14ac:dyDescent="0.25">
      <c r="A62">
        <v>949</v>
      </c>
      <c r="B62" s="1">
        <f>(logtemperature__6[[#This Row],[seconds]]-348)/60</f>
        <v>10.016666666666667</v>
      </c>
      <c r="C62" s="1">
        <v>59.74</v>
      </c>
    </row>
    <row r="63" spans="1:3" x14ac:dyDescent="0.25">
      <c r="A63">
        <v>959</v>
      </c>
      <c r="B63" s="1">
        <f>(logtemperature__6[[#This Row],[seconds]]-348)/60</f>
        <v>10.183333333333334</v>
      </c>
      <c r="C63" s="1">
        <v>61.17</v>
      </c>
    </row>
    <row r="64" spans="1:3" x14ac:dyDescent="0.25">
      <c r="A64">
        <v>969</v>
      </c>
      <c r="B64" s="1">
        <f>(logtemperature__6[[#This Row],[seconds]]-348)/60</f>
        <v>10.35</v>
      </c>
      <c r="C64" s="1">
        <v>61.39</v>
      </c>
    </row>
    <row r="65" spans="1:3" x14ac:dyDescent="0.25">
      <c r="A65">
        <v>979</v>
      </c>
      <c r="B65" s="1">
        <f>(logtemperature__6[[#This Row],[seconds]]-348)/60</f>
        <v>10.516666666666667</v>
      </c>
      <c r="C65" s="1">
        <v>60.65</v>
      </c>
    </row>
    <row r="66" spans="1:3" x14ac:dyDescent="0.25">
      <c r="A66">
        <v>989</v>
      </c>
      <c r="B66" s="1">
        <f>(logtemperature__6[[#This Row],[seconds]]-348)/60</f>
        <v>10.683333333333334</v>
      </c>
      <c r="C66" s="1">
        <v>59.51</v>
      </c>
    </row>
    <row r="67" spans="1:3" x14ac:dyDescent="0.25">
      <c r="A67">
        <v>999</v>
      </c>
      <c r="B67" s="1">
        <f>(logtemperature__6[[#This Row],[seconds]]-348)/60</f>
        <v>10.85</v>
      </c>
      <c r="C67" s="1">
        <v>60.41</v>
      </c>
    </row>
    <row r="68" spans="1:3" x14ac:dyDescent="0.25">
      <c r="A68">
        <v>1009</v>
      </c>
      <c r="B68" s="1">
        <f>(logtemperature__6[[#This Row],[seconds]]-348)/60</f>
        <v>11.016666666666667</v>
      </c>
      <c r="C68" s="1">
        <v>60.41</v>
      </c>
    </row>
    <row r="69" spans="1:3" x14ac:dyDescent="0.25">
      <c r="A69">
        <v>1019</v>
      </c>
      <c r="B69" s="1">
        <f>(logtemperature__6[[#This Row],[seconds]]-348)/60</f>
        <v>11.183333333333334</v>
      </c>
      <c r="C69" s="1">
        <v>60.46</v>
      </c>
    </row>
    <row r="70" spans="1:3" x14ac:dyDescent="0.25">
      <c r="A70">
        <v>1029</v>
      </c>
      <c r="B70" s="1">
        <f>(logtemperature__6[[#This Row],[seconds]]-348)/60</f>
        <v>11.35</v>
      </c>
      <c r="C70" s="1">
        <v>60.2</v>
      </c>
    </row>
    <row r="71" spans="1:3" x14ac:dyDescent="0.25">
      <c r="A71">
        <v>1039</v>
      </c>
      <c r="B71" s="1">
        <f>(logtemperature__6[[#This Row],[seconds]]-348)/60</f>
        <v>11.516666666666667</v>
      </c>
      <c r="C71" s="1">
        <v>61.32</v>
      </c>
    </row>
    <row r="72" spans="1:3" x14ac:dyDescent="0.25">
      <c r="A72">
        <v>1049</v>
      </c>
      <c r="B72" s="1">
        <f>(logtemperature__6[[#This Row],[seconds]]-348)/60</f>
        <v>11.683333333333334</v>
      </c>
      <c r="C72" s="1">
        <v>60.87</v>
      </c>
    </row>
    <row r="73" spans="1:3" x14ac:dyDescent="0.25">
      <c r="A73">
        <v>1059</v>
      </c>
      <c r="B73" s="1">
        <f>(logtemperature__6[[#This Row],[seconds]]-348)/60</f>
        <v>11.85</v>
      </c>
      <c r="C73" s="1">
        <v>61.65</v>
      </c>
    </row>
    <row r="74" spans="1:3" x14ac:dyDescent="0.25">
      <c r="A74">
        <v>1069</v>
      </c>
      <c r="B74" s="1">
        <f>(logtemperature__6[[#This Row],[seconds]]-348)/60</f>
        <v>12.016666666666667</v>
      </c>
      <c r="C74" s="1">
        <v>61.32</v>
      </c>
    </row>
    <row r="75" spans="1:3" x14ac:dyDescent="0.25">
      <c r="A75">
        <v>1079</v>
      </c>
      <c r="B75" s="1">
        <f>(logtemperature__6[[#This Row],[seconds]]-348)/60</f>
        <v>12.183333333333334</v>
      </c>
      <c r="C75" s="1">
        <v>62.45</v>
      </c>
    </row>
    <row r="76" spans="1:3" x14ac:dyDescent="0.25">
      <c r="A76">
        <v>1089</v>
      </c>
      <c r="B76" s="1">
        <f>(logtemperature__6[[#This Row],[seconds]]-348)/60</f>
        <v>12.35</v>
      </c>
      <c r="C76" s="1">
        <v>62.51</v>
      </c>
    </row>
    <row r="77" spans="1:3" x14ac:dyDescent="0.25">
      <c r="A77">
        <v>1099</v>
      </c>
      <c r="B77" s="1">
        <f>(logtemperature__6[[#This Row],[seconds]]-348)/60</f>
        <v>12.516666666666667</v>
      </c>
      <c r="C77" s="1">
        <v>63.11</v>
      </c>
    </row>
    <row r="78" spans="1:3" x14ac:dyDescent="0.25">
      <c r="A78">
        <v>1109</v>
      </c>
      <c r="B78" s="1">
        <f>(logtemperature__6[[#This Row],[seconds]]-348)/60</f>
        <v>12.683333333333334</v>
      </c>
      <c r="C78" s="1">
        <v>62.63</v>
      </c>
    </row>
    <row r="79" spans="1:3" x14ac:dyDescent="0.25">
      <c r="A79">
        <v>1119</v>
      </c>
      <c r="B79" s="1">
        <f>(logtemperature__6[[#This Row],[seconds]]-348)/60</f>
        <v>12.85</v>
      </c>
      <c r="C79" s="1">
        <v>61.93</v>
      </c>
    </row>
    <row r="80" spans="1:3" x14ac:dyDescent="0.25">
      <c r="A80">
        <v>1129</v>
      </c>
      <c r="B80" s="1">
        <f>(logtemperature__6[[#This Row],[seconds]]-348)/60</f>
        <v>13.016666666666667</v>
      </c>
      <c r="C80" s="1">
        <v>63.34</v>
      </c>
    </row>
    <row r="81" spans="1:3" x14ac:dyDescent="0.25">
      <c r="A81">
        <v>1139</v>
      </c>
      <c r="B81" s="1">
        <f>(logtemperature__6[[#This Row],[seconds]]-348)/60</f>
        <v>13.183333333333334</v>
      </c>
      <c r="C81" s="1">
        <v>62.88</v>
      </c>
    </row>
    <row r="82" spans="1:3" x14ac:dyDescent="0.25">
      <c r="A82">
        <v>1149</v>
      </c>
      <c r="B82" s="1">
        <f>(logtemperature__6[[#This Row],[seconds]]-348)/60</f>
        <v>13.35</v>
      </c>
      <c r="C82" s="1">
        <v>63.9</v>
      </c>
    </row>
    <row r="83" spans="1:3" x14ac:dyDescent="0.25">
      <c r="A83">
        <v>1159</v>
      </c>
      <c r="B83" s="1">
        <f>(logtemperature__6[[#This Row],[seconds]]-348)/60</f>
        <v>13.516666666666667</v>
      </c>
      <c r="C83" s="1">
        <v>64.069999999999993</v>
      </c>
    </row>
    <row r="84" spans="1:3" x14ac:dyDescent="0.25">
      <c r="A84">
        <v>1169</v>
      </c>
      <c r="B84" s="1">
        <f>(logtemperature__6[[#This Row],[seconds]]-348)/60</f>
        <v>13.683333333333334</v>
      </c>
      <c r="C84" s="1">
        <v>63.88</v>
      </c>
    </row>
    <row r="85" spans="1:3" x14ac:dyDescent="0.25">
      <c r="A85">
        <v>1179</v>
      </c>
      <c r="B85" s="1">
        <f>(logtemperature__6[[#This Row],[seconds]]-348)/60</f>
        <v>13.85</v>
      </c>
      <c r="C85" s="1">
        <v>64.98</v>
      </c>
    </row>
    <row r="86" spans="1:3" x14ac:dyDescent="0.25">
      <c r="A86">
        <v>1189</v>
      </c>
      <c r="B86" s="1">
        <f>(logtemperature__6[[#This Row],[seconds]]-348)/60</f>
        <v>14.016666666666667</v>
      </c>
      <c r="C86" s="1">
        <v>64.2</v>
      </c>
    </row>
    <row r="87" spans="1:3" x14ac:dyDescent="0.25">
      <c r="A87">
        <v>1199</v>
      </c>
      <c r="B87" s="1">
        <f>(logtemperature__6[[#This Row],[seconds]]-348)/60</f>
        <v>14.183333333333334</v>
      </c>
      <c r="C87" s="1">
        <v>64.16</v>
      </c>
    </row>
    <row r="88" spans="1:3" x14ac:dyDescent="0.25">
      <c r="A88">
        <v>1209</v>
      </c>
      <c r="B88" s="1">
        <f>(logtemperature__6[[#This Row],[seconds]]-348)/60</f>
        <v>14.35</v>
      </c>
      <c r="C88" s="1">
        <v>65.14</v>
      </c>
    </row>
    <row r="89" spans="1:3" x14ac:dyDescent="0.25">
      <c r="A89">
        <v>1219</v>
      </c>
      <c r="B89" s="1">
        <f>(logtemperature__6[[#This Row],[seconds]]-348)/60</f>
        <v>14.516666666666667</v>
      </c>
      <c r="C89" s="1">
        <v>65.459999999999994</v>
      </c>
    </row>
    <row r="90" spans="1:3" x14ac:dyDescent="0.25">
      <c r="A90">
        <v>1229</v>
      </c>
      <c r="B90" s="1">
        <f>(logtemperature__6[[#This Row],[seconds]]-348)/60</f>
        <v>14.683333333333334</v>
      </c>
      <c r="C90" s="1">
        <v>65.8</v>
      </c>
    </row>
    <row r="91" spans="1:3" x14ac:dyDescent="0.25">
      <c r="A91">
        <v>1239</v>
      </c>
      <c r="B91" s="1">
        <f>(logtemperature__6[[#This Row],[seconds]]-348)/60</f>
        <v>14.85</v>
      </c>
      <c r="C91" s="1">
        <v>66.64</v>
      </c>
    </row>
    <row r="92" spans="1:3" x14ac:dyDescent="0.25">
      <c r="A92">
        <v>1249</v>
      </c>
      <c r="B92" s="1">
        <f>(logtemperature__6[[#This Row],[seconds]]-348)/60</f>
        <v>15.016666666666667</v>
      </c>
      <c r="C92" s="1">
        <v>66.760000000000005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2EA3B-39F3-44C6-ACE7-C16B44C7C26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0524</vt:lpstr>
      <vt:lpstr>0525</vt:lpstr>
      <vt:lpstr>---</vt:lpstr>
      <vt:lpstr>0606</vt:lpstr>
      <vt:lpstr>0607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2026-06-07T09:04:49Z</dcterms:modified>
</cp:coreProperties>
</file>