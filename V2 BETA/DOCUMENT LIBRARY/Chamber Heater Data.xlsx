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DOCUMENT LIBRARY/"/>
    </mc:Choice>
  </mc:AlternateContent>
  <xr:revisionPtr revIDLastSave="223" documentId="8_{2D60A7A9-E59B-411A-B8FB-4CFDAA058ADE}" xr6:coauthVersionLast="47" xr6:coauthVersionMax="47" xr10:uidLastSave="{91B79C64-B673-48AE-9A02-64ADEB1F421F}"/>
  <bookViews>
    <workbookView xWindow="-120" yWindow="-120" windowWidth="29040" windowHeight="15720" activeTab="3" xr2:uid="{F1B2DFB2-7066-456A-9422-DB88FD1CE09F}"/>
  </bookViews>
  <sheets>
    <sheet name="0524" sheetId="2" r:id="rId1"/>
    <sheet name="0525" sheetId="3" r:id="rId2"/>
    <sheet name="---" sheetId="7" r:id="rId3"/>
    <sheet name="0606" sheetId="8" r:id="rId4"/>
    <sheet name="Sheet2" sheetId="6" r:id="rId5"/>
  </sheets>
  <definedNames>
    <definedName name="ExternalData_1" localSheetId="2" hidden="1">'---'!$A$1:$C$157</definedName>
    <definedName name="ExternalData_1" localSheetId="0" hidden="1">'0524'!$A$1:$C$166</definedName>
    <definedName name="ExternalData_1" localSheetId="1" hidden="1">'0525'!$A$1:$C$264</definedName>
    <definedName name="ExternalData_1" localSheetId="3" hidden="1">'0606'!$A$1:$C$43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609-5027-48B0-A94D-5C23FD2EDD23}" keepAlive="1" name="Query - logtemperature" description="Connection to the 'logtemperature' query in the workbook." type="5" refreshedVersion="8" background="1" saveData="1">
    <dbPr connection="Provider=Microsoft.Mashup.OleDb.1;Data Source=$Workbook$;Location=logtemperature;Extended Properties=&quot;&quot;" command="SELECT * FROM [logtemperature]"/>
  </connection>
  <connection id="2" xr16:uid="{BB0E5E00-EAAF-4D8D-BEDB-8BD2C1C12835}" keepAlive="1" name="Query - logtemperature (2)" description="Connection to the 'logtemperature (2)' query in the workbook." type="5" refreshedVersion="8" background="1" saveData="1">
    <dbPr connection="Provider=Microsoft.Mashup.OleDb.1;Data Source=$Workbook$;Location=&quot;logtemperature (2)&quot;;Extended Properties=&quot;&quot;" command="SELECT * FROM [logtemperature (2)]"/>
  </connection>
  <connection id="3" xr16:uid="{E86D3AD5-6A6E-4CCA-A360-10DBFD48757B}" keepAlive="1" name="Query - logtemperature (3)" description="Connection to the 'logtemperature (3)' query in the workbook." type="5" refreshedVersion="0" background="1" saveData="1">
    <dbPr connection="Provider=Microsoft.Mashup.OleDb.1;Data Source=$Workbook$;Location=&quot;logtemperature (3)&quot;;Extended Properties=&quot;&quot;" command="SELECT * FROM [logtemperature (3)]"/>
  </connection>
  <connection id="4" xr16:uid="{88A06019-DDE9-4401-AC2C-24D0747106FB}" keepAlive="1" name="Query - logtemperature (4)" description="Connection to the 'logtemperature (4)' query in the workbook." type="5" refreshedVersion="8" background="1" saveData="1">
    <dbPr connection="Provider=Microsoft.Mashup.OleDb.1;Data Source=$Workbook$;Location=&quot;logtemperature (4)&quot;;Extended Properties=&quot;&quot;" command="SELECT * FROM [logtemperature (4)]"/>
  </connection>
  <connection id="5" xr16:uid="{98F6EC34-4087-45BB-A205-7F4889F702BD}" keepAlive="1" name="Query - logtemperature (5)" description="Connection to the 'logtemperature (5)' query in the workbook." type="5" refreshedVersion="8" background="1" saveData="1">
    <dbPr connection="Provider=Microsoft.Mashup.OleDb.1;Data Source=$Workbook$;Location=&quot;logtemperature (5)&quot;;Extended Properties=&quot;&quot;" command="SELECT * FROM [logtemperature (5)]"/>
  </connection>
</connections>
</file>

<file path=xl/sharedStrings.xml><?xml version="1.0" encoding="utf-8"?>
<sst xmlns="http://schemas.openxmlformats.org/spreadsheetml/2006/main" count="12" uniqueCount="9">
  <si>
    <t>Seconds</t>
  </si>
  <si>
    <t>Temperature</t>
  </si>
  <si>
    <t>Minutes</t>
  </si>
  <si>
    <t>Time</t>
  </si>
  <si>
    <t>Column1</t>
  </si>
  <si>
    <t>time</t>
  </si>
  <si>
    <t>temp</t>
  </si>
  <si>
    <t>minutes</t>
  </si>
  <si>
    <t>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</si>
</sst>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4"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Temperature/Time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847134733158356"/>
          <c:y val="0.17171296296296298"/>
          <c:w val="0.86497462817147852"/>
          <c:h val="0.58176691455234764"/>
        </c:manualLayout>
      </c:layout>
      <c:lineChart>
        <c:grouping val="standard"/>
        <c:varyColors val="0"/>
        <c:ser>
          <c:idx val="1"/>
          <c:order val="0"/>
          <c:tx>
            <c:strRef>
              <c:f>'0524'!$C$1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'0524'!$B$2:$B$166</c:f>
              <c:numCache>
                <c:formatCode>0</c:formatCode>
                <c:ptCount val="165"/>
                <c:pt idx="0">
                  <c:v>0.43333333333333002</c:v>
                </c:pt>
                <c:pt idx="1">
                  <c:v>1.43333333333333</c:v>
                </c:pt>
                <c:pt idx="2">
                  <c:v>1.6000000000000014</c:v>
                </c:pt>
                <c:pt idx="3">
                  <c:v>1.7666666666666657</c:v>
                </c:pt>
                <c:pt idx="4">
                  <c:v>1.93333333333333</c:v>
                </c:pt>
                <c:pt idx="5">
                  <c:v>2.1000000000000014</c:v>
                </c:pt>
                <c:pt idx="6">
                  <c:v>2.2666666666666657</c:v>
                </c:pt>
                <c:pt idx="7">
                  <c:v>2.43333333333333</c:v>
                </c:pt>
                <c:pt idx="8">
                  <c:v>2.6000000000000014</c:v>
                </c:pt>
                <c:pt idx="9">
                  <c:v>2.7666666666666657</c:v>
                </c:pt>
                <c:pt idx="10">
                  <c:v>2.93333333333333</c:v>
                </c:pt>
                <c:pt idx="11">
                  <c:v>3.1000000000000014</c:v>
                </c:pt>
                <c:pt idx="12">
                  <c:v>3.2666666666666657</c:v>
                </c:pt>
                <c:pt idx="13">
                  <c:v>3.43333333333333</c:v>
                </c:pt>
                <c:pt idx="14">
                  <c:v>3.6000000000000014</c:v>
                </c:pt>
                <c:pt idx="15">
                  <c:v>3.7666666666666657</c:v>
                </c:pt>
                <c:pt idx="16">
                  <c:v>3.93333333333333</c:v>
                </c:pt>
                <c:pt idx="17">
                  <c:v>4.1000000000000014</c:v>
                </c:pt>
                <c:pt idx="18">
                  <c:v>4.2666666666666657</c:v>
                </c:pt>
                <c:pt idx="19">
                  <c:v>4.43333333333333</c:v>
                </c:pt>
                <c:pt idx="20">
                  <c:v>4.6000000000000014</c:v>
                </c:pt>
                <c:pt idx="21">
                  <c:v>4.7666666666666657</c:v>
                </c:pt>
                <c:pt idx="22">
                  <c:v>4.93333333333333</c:v>
                </c:pt>
                <c:pt idx="23">
                  <c:v>5.1000000000000014</c:v>
                </c:pt>
                <c:pt idx="24">
                  <c:v>5.2666666666666657</c:v>
                </c:pt>
                <c:pt idx="25">
                  <c:v>5.43333333333333</c:v>
                </c:pt>
                <c:pt idx="26">
                  <c:v>5.6000000000000014</c:v>
                </c:pt>
                <c:pt idx="27">
                  <c:v>5.7666666666666657</c:v>
                </c:pt>
                <c:pt idx="28">
                  <c:v>5.93333333333333</c:v>
                </c:pt>
                <c:pt idx="29">
                  <c:v>6.1000000000000014</c:v>
                </c:pt>
                <c:pt idx="30">
                  <c:v>6.2666666666666657</c:v>
                </c:pt>
                <c:pt idx="31">
                  <c:v>6.43333333333333</c:v>
                </c:pt>
                <c:pt idx="32">
                  <c:v>6.6000000000000014</c:v>
                </c:pt>
                <c:pt idx="33">
                  <c:v>6.7666666666666657</c:v>
                </c:pt>
                <c:pt idx="34">
                  <c:v>6.9500000000000028</c:v>
                </c:pt>
                <c:pt idx="35">
                  <c:v>7.1166666666666671</c:v>
                </c:pt>
                <c:pt idx="36">
                  <c:v>7.2833333333333314</c:v>
                </c:pt>
                <c:pt idx="37">
                  <c:v>7.4500000000000028</c:v>
                </c:pt>
                <c:pt idx="38">
                  <c:v>7.6166666666666671</c:v>
                </c:pt>
                <c:pt idx="39">
                  <c:v>7.7833333333333314</c:v>
                </c:pt>
                <c:pt idx="40">
                  <c:v>7.9500000000000028</c:v>
                </c:pt>
                <c:pt idx="41">
                  <c:v>8.1166666666666671</c:v>
                </c:pt>
                <c:pt idx="42">
                  <c:v>8.2833333333333314</c:v>
                </c:pt>
                <c:pt idx="43">
                  <c:v>8.4500000000000028</c:v>
                </c:pt>
                <c:pt idx="44">
                  <c:v>8.6166666666666671</c:v>
                </c:pt>
                <c:pt idx="45">
                  <c:v>8.7833333333333314</c:v>
                </c:pt>
                <c:pt idx="46">
                  <c:v>8.9500000000000028</c:v>
                </c:pt>
                <c:pt idx="47">
                  <c:v>9.1166666666666671</c:v>
                </c:pt>
                <c:pt idx="48">
                  <c:v>9.2833333333333314</c:v>
                </c:pt>
                <c:pt idx="49">
                  <c:v>9.4500000000000028</c:v>
                </c:pt>
                <c:pt idx="50">
                  <c:v>9.6166666666666671</c:v>
                </c:pt>
                <c:pt idx="51">
                  <c:v>9.7833333333333314</c:v>
                </c:pt>
                <c:pt idx="52">
                  <c:v>9.9500000000000028</c:v>
                </c:pt>
                <c:pt idx="53">
                  <c:v>10.116666666666667</c:v>
                </c:pt>
                <c:pt idx="54">
                  <c:v>10.283333333333331</c:v>
                </c:pt>
                <c:pt idx="55">
                  <c:v>10.450000000000003</c:v>
                </c:pt>
                <c:pt idx="56">
                  <c:v>10.616666666666667</c:v>
                </c:pt>
                <c:pt idx="57">
                  <c:v>10.783333333333331</c:v>
                </c:pt>
                <c:pt idx="58">
                  <c:v>10.950000000000003</c:v>
                </c:pt>
                <c:pt idx="59">
                  <c:v>11.116666666666667</c:v>
                </c:pt>
                <c:pt idx="60">
                  <c:v>11.283333333333331</c:v>
                </c:pt>
                <c:pt idx="61">
                  <c:v>11.450000000000003</c:v>
                </c:pt>
                <c:pt idx="62">
                  <c:v>11.616666666666667</c:v>
                </c:pt>
                <c:pt idx="63">
                  <c:v>11.783333333333331</c:v>
                </c:pt>
                <c:pt idx="64">
                  <c:v>11.950000000000003</c:v>
                </c:pt>
                <c:pt idx="65">
                  <c:v>12.116666666666667</c:v>
                </c:pt>
                <c:pt idx="66">
                  <c:v>12.283333333333331</c:v>
                </c:pt>
                <c:pt idx="67">
                  <c:v>12.450000000000003</c:v>
                </c:pt>
                <c:pt idx="68">
                  <c:v>12.616666666666667</c:v>
                </c:pt>
                <c:pt idx="69">
                  <c:v>12.783333333333331</c:v>
                </c:pt>
                <c:pt idx="70">
                  <c:v>12.950000000000003</c:v>
                </c:pt>
                <c:pt idx="71">
                  <c:v>13.116666666666667</c:v>
                </c:pt>
                <c:pt idx="72">
                  <c:v>13.283333333333331</c:v>
                </c:pt>
                <c:pt idx="73">
                  <c:v>13.450000000000003</c:v>
                </c:pt>
                <c:pt idx="74">
                  <c:v>13.616666666666667</c:v>
                </c:pt>
                <c:pt idx="75">
                  <c:v>13.783333333333331</c:v>
                </c:pt>
                <c:pt idx="76">
                  <c:v>13.950000000000003</c:v>
                </c:pt>
                <c:pt idx="77">
                  <c:v>14.116666666666667</c:v>
                </c:pt>
                <c:pt idx="78">
                  <c:v>14.283333333333331</c:v>
                </c:pt>
                <c:pt idx="79">
                  <c:v>14.450000000000003</c:v>
                </c:pt>
                <c:pt idx="80">
                  <c:v>14.616666666666667</c:v>
                </c:pt>
                <c:pt idx="81">
                  <c:v>14.783333333333331</c:v>
                </c:pt>
                <c:pt idx="82">
                  <c:v>14.950000000000003</c:v>
                </c:pt>
                <c:pt idx="83">
                  <c:v>15.133333333333333</c:v>
                </c:pt>
                <c:pt idx="84">
                  <c:v>15.299999999999997</c:v>
                </c:pt>
                <c:pt idx="85">
                  <c:v>15.466666666666669</c:v>
                </c:pt>
                <c:pt idx="86">
                  <c:v>15.633333333333333</c:v>
                </c:pt>
                <c:pt idx="87">
                  <c:v>15.799999999999997</c:v>
                </c:pt>
                <c:pt idx="88">
                  <c:v>15.966666666666669</c:v>
                </c:pt>
                <c:pt idx="89">
                  <c:v>16.133333333333333</c:v>
                </c:pt>
                <c:pt idx="90">
                  <c:v>16.299999999999997</c:v>
                </c:pt>
                <c:pt idx="91">
                  <c:v>16.466666666666669</c:v>
                </c:pt>
                <c:pt idx="92">
                  <c:v>16.633333333333333</c:v>
                </c:pt>
                <c:pt idx="93">
                  <c:v>16.799999999999997</c:v>
                </c:pt>
                <c:pt idx="94">
                  <c:v>16.966666666666669</c:v>
                </c:pt>
                <c:pt idx="95">
                  <c:v>17.133333333333333</c:v>
                </c:pt>
                <c:pt idx="96">
                  <c:v>17.299999999999997</c:v>
                </c:pt>
                <c:pt idx="97">
                  <c:v>17.466666666666669</c:v>
                </c:pt>
                <c:pt idx="98">
                  <c:v>17.633333333333333</c:v>
                </c:pt>
                <c:pt idx="99">
                  <c:v>17.799999999999997</c:v>
                </c:pt>
                <c:pt idx="100">
                  <c:v>17.966666666666669</c:v>
                </c:pt>
                <c:pt idx="101">
                  <c:v>18.13333333333334</c:v>
                </c:pt>
                <c:pt idx="102">
                  <c:v>18.299999999999997</c:v>
                </c:pt>
                <c:pt idx="103">
                  <c:v>18.466666666666669</c:v>
                </c:pt>
                <c:pt idx="104">
                  <c:v>18.63333333333334</c:v>
                </c:pt>
                <c:pt idx="105">
                  <c:v>18.799999999999997</c:v>
                </c:pt>
                <c:pt idx="106">
                  <c:v>18.966666666666669</c:v>
                </c:pt>
                <c:pt idx="107">
                  <c:v>19.13333333333334</c:v>
                </c:pt>
                <c:pt idx="108">
                  <c:v>19.299999999999997</c:v>
                </c:pt>
                <c:pt idx="109">
                  <c:v>19.466666666666669</c:v>
                </c:pt>
                <c:pt idx="110">
                  <c:v>19.63333333333334</c:v>
                </c:pt>
                <c:pt idx="111">
                  <c:v>19.799999999999997</c:v>
                </c:pt>
                <c:pt idx="112">
                  <c:v>19.966666666666669</c:v>
                </c:pt>
                <c:pt idx="113">
                  <c:v>20.13333333333334</c:v>
                </c:pt>
                <c:pt idx="114">
                  <c:v>20.299999999999997</c:v>
                </c:pt>
                <c:pt idx="115">
                  <c:v>20.466666666666669</c:v>
                </c:pt>
                <c:pt idx="116">
                  <c:v>20.63333333333334</c:v>
                </c:pt>
                <c:pt idx="117">
                  <c:v>20.799999999999997</c:v>
                </c:pt>
                <c:pt idx="118">
                  <c:v>20.966666666666669</c:v>
                </c:pt>
                <c:pt idx="119">
                  <c:v>21.13333333333334</c:v>
                </c:pt>
                <c:pt idx="120">
                  <c:v>21.299999999999997</c:v>
                </c:pt>
                <c:pt idx="121">
                  <c:v>21.466666666666669</c:v>
                </c:pt>
                <c:pt idx="122">
                  <c:v>21.63333333333334</c:v>
                </c:pt>
                <c:pt idx="123">
                  <c:v>21.799999999999997</c:v>
                </c:pt>
                <c:pt idx="124">
                  <c:v>21.966666666666669</c:v>
                </c:pt>
                <c:pt idx="125">
                  <c:v>22.13333333333334</c:v>
                </c:pt>
                <c:pt idx="126">
                  <c:v>22.299999999999997</c:v>
                </c:pt>
                <c:pt idx="127">
                  <c:v>22.466666666666669</c:v>
                </c:pt>
                <c:pt idx="128">
                  <c:v>22.63333333333334</c:v>
                </c:pt>
                <c:pt idx="129">
                  <c:v>22.799999999999997</c:v>
                </c:pt>
                <c:pt idx="130">
                  <c:v>22.966666666666669</c:v>
                </c:pt>
                <c:pt idx="131">
                  <c:v>23.13333333333334</c:v>
                </c:pt>
                <c:pt idx="132">
                  <c:v>23.299999999999997</c:v>
                </c:pt>
                <c:pt idx="133">
                  <c:v>23.483333333333334</c:v>
                </c:pt>
                <c:pt idx="134">
                  <c:v>23.650000000000006</c:v>
                </c:pt>
                <c:pt idx="135">
                  <c:v>23.816666666666663</c:v>
                </c:pt>
                <c:pt idx="136">
                  <c:v>23.983333333333334</c:v>
                </c:pt>
                <c:pt idx="137">
                  <c:v>24.150000000000006</c:v>
                </c:pt>
                <c:pt idx="138">
                  <c:v>24.316666666666663</c:v>
                </c:pt>
                <c:pt idx="139">
                  <c:v>24.483333333333334</c:v>
                </c:pt>
                <c:pt idx="140">
                  <c:v>24.650000000000006</c:v>
                </c:pt>
                <c:pt idx="141">
                  <c:v>24.816666666666663</c:v>
                </c:pt>
                <c:pt idx="142">
                  <c:v>24.983333333333334</c:v>
                </c:pt>
                <c:pt idx="143">
                  <c:v>25.150000000000006</c:v>
                </c:pt>
                <c:pt idx="144">
                  <c:v>25.316666666666663</c:v>
                </c:pt>
                <c:pt idx="145">
                  <c:v>25.483333333333334</c:v>
                </c:pt>
                <c:pt idx="146">
                  <c:v>25.650000000000006</c:v>
                </c:pt>
                <c:pt idx="147">
                  <c:v>25.816666666666663</c:v>
                </c:pt>
                <c:pt idx="148">
                  <c:v>25.983333333333334</c:v>
                </c:pt>
                <c:pt idx="149">
                  <c:v>26.150000000000006</c:v>
                </c:pt>
                <c:pt idx="150">
                  <c:v>26.316666666666663</c:v>
                </c:pt>
                <c:pt idx="151">
                  <c:v>26.483333333333334</c:v>
                </c:pt>
                <c:pt idx="152">
                  <c:v>26.650000000000006</c:v>
                </c:pt>
                <c:pt idx="153">
                  <c:v>26.816666666666663</c:v>
                </c:pt>
                <c:pt idx="154">
                  <c:v>26.983333333333334</c:v>
                </c:pt>
                <c:pt idx="155">
                  <c:v>27.150000000000006</c:v>
                </c:pt>
                <c:pt idx="156">
                  <c:v>27.316666666666663</c:v>
                </c:pt>
                <c:pt idx="157">
                  <c:v>27.483333333333334</c:v>
                </c:pt>
                <c:pt idx="158">
                  <c:v>27.650000000000006</c:v>
                </c:pt>
                <c:pt idx="159">
                  <c:v>27.816666666666663</c:v>
                </c:pt>
                <c:pt idx="160">
                  <c:v>27.983333333333334</c:v>
                </c:pt>
                <c:pt idx="161">
                  <c:v>28.150000000000006</c:v>
                </c:pt>
                <c:pt idx="162">
                  <c:v>28.316666666666663</c:v>
                </c:pt>
                <c:pt idx="163">
                  <c:v>28.483333333333334</c:v>
                </c:pt>
                <c:pt idx="164">
                  <c:v>28.650000000000006</c:v>
                </c:pt>
              </c:numCache>
            </c:numRef>
          </c:cat>
          <c:val>
            <c:numRef>
              <c:f>'0524'!$C$2:$C$166</c:f>
              <c:numCache>
                <c:formatCode>General</c:formatCode>
                <c:ptCount val="165"/>
                <c:pt idx="0">
                  <c:v>27.37</c:v>
                </c:pt>
                <c:pt idx="1">
                  <c:v>27.78</c:v>
                </c:pt>
                <c:pt idx="2">
                  <c:v>28.62</c:v>
                </c:pt>
                <c:pt idx="3">
                  <c:v>30.26</c:v>
                </c:pt>
                <c:pt idx="4">
                  <c:v>33.909999999999997</c:v>
                </c:pt>
                <c:pt idx="5">
                  <c:v>37.54</c:v>
                </c:pt>
                <c:pt idx="6">
                  <c:v>40.53</c:v>
                </c:pt>
                <c:pt idx="7">
                  <c:v>42.03</c:v>
                </c:pt>
                <c:pt idx="8">
                  <c:v>46.31</c:v>
                </c:pt>
                <c:pt idx="9">
                  <c:v>47.13</c:v>
                </c:pt>
                <c:pt idx="10">
                  <c:v>48.37</c:v>
                </c:pt>
                <c:pt idx="11">
                  <c:v>49.55</c:v>
                </c:pt>
                <c:pt idx="12">
                  <c:v>50.08</c:v>
                </c:pt>
                <c:pt idx="13">
                  <c:v>51.32</c:v>
                </c:pt>
                <c:pt idx="14">
                  <c:v>54.1</c:v>
                </c:pt>
                <c:pt idx="15">
                  <c:v>54.11</c:v>
                </c:pt>
                <c:pt idx="16">
                  <c:v>56.02</c:v>
                </c:pt>
                <c:pt idx="17">
                  <c:v>56.42</c:v>
                </c:pt>
                <c:pt idx="18">
                  <c:v>55.23</c:v>
                </c:pt>
                <c:pt idx="19">
                  <c:v>56.19</c:v>
                </c:pt>
                <c:pt idx="20">
                  <c:v>57.45</c:v>
                </c:pt>
                <c:pt idx="21">
                  <c:v>57.88</c:v>
                </c:pt>
                <c:pt idx="22">
                  <c:v>55.95</c:v>
                </c:pt>
                <c:pt idx="23">
                  <c:v>58.55</c:v>
                </c:pt>
                <c:pt idx="24">
                  <c:v>60.32</c:v>
                </c:pt>
                <c:pt idx="25">
                  <c:v>60.92</c:v>
                </c:pt>
                <c:pt idx="26">
                  <c:v>59.23</c:v>
                </c:pt>
                <c:pt idx="27">
                  <c:v>60.29</c:v>
                </c:pt>
                <c:pt idx="28">
                  <c:v>60.88</c:v>
                </c:pt>
                <c:pt idx="29">
                  <c:v>60.44</c:v>
                </c:pt>
                <c:pt idx="30">
                  <c:v>62.38</c:v>
                </c:pt>
                <c:pt idx="31">
                  <c:v>64.45</c:v>
                </c:pt>
                <c:pt idx="32">
                  <c:v>63.84</c:v>
                </c:pt>
                <c:pt idx="33">
                  <c:v>65.28</c:v>
                </c:pt>
                <c:pt idx="34">
                  <c:v>64.94</c:v>
                </c:pt>
                <c:pt idx="35">
                  <c:v>66.47</c:v>
                </c:pt>
                <c:pt idx="36">
                  <c:v>66.959999999999994</c:v>
                </c:pt>
                <c:pt idx="37">
                  <c:v>67.319999999999993</c:v>
                </c:pt>
                <c:pt idx="38">
                  <c:v>65.069999999999993</c:v>
                </c:pt>
                <c:pt idx="39">
                  <c:v>65.2</c:v>
                </c:pt>
                <c:pt idx="40">
                  <c:v>66.2</c:v>
                </c:pt>
                <c:pt idx="41">
                  <c:v>65.37</c:v>
                </c:pt>
                <c:pt idx="42">
                  <c:v>67.36</c:v>
                </c:pt>
                <c:pt idx="43">
                  <c:v>68</c:v>
                </c:pt>
                <c:pt idx="44">
                  <c:v>67.489999999999995</c:v>
                </c:pt>
                <c:pt idx="45">
                  <c:v>69.400000000000006</c:v>
                </c:pt>
                <c:pt idx="46">
                  <c:v>71.45</c:v>
                </c:pt>
                <c:pt idx="47">
                  <c:v>70.88</c:v>
                </c:pt>
                <c:pt idx="48">
                  <c:v>71.83</c:v>
                </c:pt>
                <c:pt idx="49">
                  <c:v>71.150000000000006</c:v>
                </c:pt>
                <c:pt idx="50">
                  <c:v>69.709999999999994</c:v>
                </c:pt>
                <c:pt idx="51">
                  <c:v>69.98</c:v>
                </c:pt>
                <c:pt idx="52">
                  <c:v>70.59</c:v>
                </c:pt>
                <c:pt idx="53">
                  <c:v>71.39</c:v>
                </c:pt>
                <c:pt idx="54">
                  <c:v>71.760000000000005</c:v>
                </c:pt>
                <c:pt idx="55">
                  <c:v>72.27</c:v>
                </c:pt>
                <c:pt idx="56">
                  <c:v>71.5</c:v>
                </c:pt>
                <c:pt idx="57">
                  <c:v>69.94</c:v>
                </c:pt>
                <c:pt idx="58">
                  <c:v>70.38</c:v>
                </c:pt>
                <c:pt idx="59">
                  <c:v>71.59</c:v>
                </c:pt>
                <c:pt idx="60">
                  <c:v>70.22</c:v>
                </c:pt>
                <c:pt idx="61">
                  <c:v>72.510000000000005</c:v>
                </c:pt>
                <c:pt idx="62">
                  <c:v>74.33</c:v>
                </c:pt>
                <c:pt idx="63">
                  <c:v>74.73</c:v>
                </c:pt>
                <c:pt idx="64">
                  <c:v>74.23</c:v>
                </c:pt>
                <c:pt idx="65">
                  <c:v>74.56</c:v>
                </c:pt>
                <c:pt idx="66">
                  <c:v>73.489999999999995</c:v>
                </c:pt>
                <c:pt idx="67">
                  <c:v>75.38</c:v>
                </c:pt>
                <c:pt idx="68">
                  <c:v>77.5</c:v>
                </c:pt>
                <c:pt idx="69">
                  <c:v>77.28</c:v>
                </c:pt>
                <c:pt idx="70">
                  <c:v>77.430000000000007</c:v>
                </c:pt>
                <c:pt idx="71">
                  <c:v>76.62</c:v>
                </c:pt>
                <c:pt idx="72">
                  <c:v>77.63</c:v>
                </c:pt>
                <c:pt idx="73">
                  <c:v>76.81</c:v>
                </c:pt>
                <c:pt idx="74">
                  <c:v>77.66</c:v>
                </c:pt>
                <c:pt idx="75">
                  <c:v>78.099999999999994</c:v>
                </c:pt>
                <c:pt idx="76">
                  <c:v>77.319999999999993</c:v>
                </c:pt>
                <c:pt idx="77">
                  <c:v>77.45</c:v>
                </c:pt>
                <c:pt idx="78">
                  <c:v>78.06</c:v>
                </c:pt>
                <c:pt idx="79">
                  <c:v>77.069999999999993</c:v>
                </c:pt>
                <c:pt idx="80">
                  <c:v>78.459999999999994</c:v>
                </c:pt>
                <c:pt idx="81">
                  <c:v>76.63</c:v>
                </c:pt>
                <c:pt idx="82">
                  <c:v>75.33</c:v>
                </c:pt>
                <c:pt idx="83">
                  <c:v>77.349999999999994</c:v>
                </c:pt>
                <c:pt idx="84">
                  <c:v>78.14</c:v>
                </c:pt>
                <c:pt idx="85">
                  <c:v>77.569999999999993</c:v>
                </c:pt>
                <c:pt idx="86">
                  <c:v>77.92</c:v>
                </c:pt>
                <c:pt idx="87">
                  <c:v>79.069999999999993</c:v>
                </c:pt>
                <c:pt idx="88">
                  <c:v>80.8</c:v>
                </c:pt>
                <c:pt idx="89">
                  <c:v>81.08</c:v>
                </c:pt>
                <c:pt idx="90">
                  <c:v>78.62</c:v>
                </c:pt>
                <c:pt idx="91">
                  <c:v>80.86</c:v>
                </c:pt>
                <c:pt idx="92">
                  <c:v>80.98</c:v>
                </c:pt>
                <c:pt idx="93">
                  <c:v>81.13</c:v>
                </c:pt>
                <c:pt idx="94">
                  <c:v>81.349999999999994</c:v>
                </c:pt>
                <c:pt idx="95">
                  <c:v>80.58</c:v>
                </c:pt>
                <c:pt idx="96">
                  <c:v>80.5</c:v>
                </c:pt>
                <c:pt idx="97">
                  <c:v>80.099999999999994</c:v>
                </c:pt>
                <c:pt idx="98">
                  <c:v>81.19</c:v>
                </c:pt>
                <c:pt idx="99">
                  <c:v>80.06</c:v>
                </c:pt>
                <c:pt idx="100">
                  <c:v>81.42</c:v>
                </c:pt>
                <c:pt idx="101">
                  <c:v>81.489999999999995</c:v>
                </c:pt>
                <c:pt idx="102">
                  <c:v>80.73</c:v>
                </c:pt>
                <c:pt idx="103">
                  <c:v>81.27</c:v>
                </c:pt>
                <c:pt idx="104">
                  <c:v>82.98</c:v>
                </c:pt>
                <c:pt idx="105">
                  <c:v>83.12</c:v>
                </c:pt>
                <c:pt idx="106">
                  <c:v>84.55</c:v>
                </c:pt>
                <c:pt idx="107">
                  <c:v>81.400000000000006</c:v>
                </c:pt>
                <c:pt idx="108">
                  <c:v>82.3</c:v>
                </c:pt>
                <c:pt idx="109">
                  <c:v>82.9</c:v>
                </c:pt>
                <c:pt idx="110">
                  <c:v>84.65</c:v>
                </c:pt>
                <c:pt idx="111">
                  <c:v>84.54</c:v>
                </c:pt>
                <c:pt idx="112">
                  <c:v>84.61</c:v>
                </c:pt>
                <c:pt idx="113">
                  <c:v>81.790000000000006</c:v>
                </c:pt>
                <c:pt idx="114">
                  <c:v>85.53</c:v>
                </c:pt>
                <c:pt idx="115">
                  <c:v>85.48</c:v>
                </c:pt>
                <c:pt idx="116">
                  <c:v>85.53</c:v>
                </c:pt>
                <c:pt idx="117">
                  <c:v>84.91</c:v>
                </c:pt>
                <c:pt idx="118">
                  <c:v>85.81</c:v>
                </c:pt>
                <c:pt idx="119">
                  <c:v>86.12</c:v>
                </c:pt>
                <c:pt idx="120">
                  <c:v>85.1</c:v>
                </c:pt>
                <c:pt idx="121">
                  <c:v>86.05</c:v>
                </c:pt>
                <c:pt idx="122">
                  <c:v>85.91</c:v>
                </c:pt>
                <c:pt idx="123">
                  <c:v>86.67</c:v>
                </c:pt>
                <c:pt idx="124">
                  <c:v>85.66</c:v>
                </c:pt>
                <c:pt idx="125">
                  <c:v>86.03</c:v>
                </c:pt>
                <c:pt idx="126">
                  <c:v>83.89</c:v>
                </c:pt>
                <c:pt idx="127">
                  <c:v>84.29</c:v>
                </c:pt>
                <c:pt idx="128">
                  <c:v>83.9</c:v>
                </c:pt>
                <c:pt idx="129">
                  <c:v>84.33</c:v>
                </c:pt>
                <c:pt idx="130">
                  <c:v>85.83</c:v>
                </c:pt>
                <c:pt idx="131">
                  <c:v>86.42</c:v>
                </c:pt>
                <c:pt idx="132">
                  <c:v>84.64</c:v>
                </c:pt>
                <c:pt idx="133">
                  <c:v>87.19</c:v>
                </c:pt>
                <c:pt idx="134">
                  <c:v>86.91</c:v>
                </c:pt>
                <c:pt idx="135">
                  <c:v>86.67</c:v>
                </c:pt>
                <c:pt idx="136">
                  <c:v>86.5</c:v>
                </c:pt>
                <c:pt idx="137">
                  <c:v>87.08</c:v>
                </c:pt>
                <c:pt idx="138">
                  <c:v>88.76</c:v>
                </c:pt>
                <c:pt idx="139">
                  <c:v>87.37</c:v>
                </c:pt>
                <c:pt idx="140">
                  <c:v>86.56</c:v>
                </c:pt>
                <c:pt idx="141">
                  <c:v>86.87</c:v>
                </c:pt>
                <c:pt idx="142">
                  <c:v>85.43</c:v>
                </c:pt>
                <c:pt idx="143">
                  <c:v>85.02</c:v>
                </c:pt>
                <c:pt idx="144">
                  <c:v>86.06</c:v>
                </c:pt>
                <c:pt idx="145">
                  <c:v>85.43</c:v>
                </c:pt>
                <c:pt idx="146">
                  <c:v>86.25</c:v>
                </c:pt>
                <c:pt idx="147">
                  <c:v>86.83</c:v>
                </c:pt>
                <c:pt idx="148">
                  <c:v>87.33</c:v>
                </c:pt>
                <c:pt idx="149">
                  <c:v>88.8</c:v>
                </c:pt>
                <c:pt idx="150">
                  <c:v>87.6</c:v>
                </c:pt>
                <c:pt idx="151">
                  <c:v>86.99</c:v>
                </c:pt>
                <c:pt idx="152">
                  <c:v>89.18</c:v>
                </c:pt>
                <c:pt idx="153">
                  <c:v>87.93</c:v>
                </c:pt>
                <c:pt idx="154">
                  <c:v>88.87</c:v>
                </c:pt>
                <c:pt idx="155">
                  <c:v>84.39</c:v>
                </c:pt>
                <c:pt idx="156">
                  <c:v>85.59</c:v>
                </c:pt>
                <c:pt idx="157">
                  <c:v>86.43</c:v>
                </c:pt>
                <c:pt idx="158">
                  <c:v>89.26</c:v>
                </c:pt>
                <c:pt idx="159">
                  <c:v>87.67</c:v>
                </c:pt>
                <c:pt idx="160">
                  <c:v>88.61</c:v>
                </c:pt>
                <c:pt idx="161">
                  <c:v>89.71</c:v>
                </c:pt>
                <c:pt idx="162">
                  <c:v>88.11</c:v>
                </c:pt>
                <c:pt idx="163">
                  <c:v>89.53</c:v>
                </c:pt>
                <c:pt idx="164">
                  <c:v>90.48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4E-4AA8-89BF-DD8949D4D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1299760"/>
        <c:axId val="281284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'0524'!$A$1</c15:sqref>
                        </c15:formulaRef>
                      </c:ext>
                    </c:extLst>
                    <c:strCache>
                      <c:ptCount val="1"/>
                      <c:pt idx="0">
                        <c:v>Seconds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'0524'!$A$2:$A$166</c15:sqref>
                        </c15:formulaRef>
                      </c:ext>
                    </c:extLst>
                    <c:numCache>
                      <c:formatCode>General</c:formatCode>
                      <c:ptCount val="165"/>
                      <c:pt idx="0">
                        <c:v>2786</c:v>
                      </c:pt>
                      <c:pt idx="1">
                        <c:v>2846</c:v>
                      </c:pt>
                      <c:pt idx="2">
                        <c:v>2856</c:v>
                      </c:pt>
                      <c:pt idx="3">
                        <c:v>2866</c:v>
                      </c:pt>
                      <c:pt idx="4">
                        <c:v>2876</c:v>
                      </c:pt>
                      <c:pt idx="5">
                        <c:v>2886</c:v>
                      </c:pt>
                      <c:pt idx="6">
                        <c:v>2896</c:v>
                      </c:pt>
                      <c:pt idx="7">
                        <c:v>2906</c:v>
                      </c:pt>
                      <c:pt idx="8">
                        <c:v>2916</c:v>
                      </c:pt>
                      <c:pt idx="9">
                        <c:v>2926</c:v>
                      </c:pt>
                      <c:pt idx="10">
                        <c:v>2936</c:v>
                      </c:pt>
                      <c:pt idx="11">
                        <c:v>2946</c:v>
                      </c:pt>
                      <c:pt idx="12">
                        <c:v>2956</c:v>
                      </c:pt>
                      <c:pt idx="13">
                        <c:v>2966</c:v>
                      </c:pt>
                      <c:pt idx="14">
                        <c:v>2976</c:v>
                      </c:pt>
                      <c:pt idx="15">
                        <c:v>2986</c:v>
                      </c:pt>
                      <c:pt idx="16">
                        <c:v>2996</c:v>
                      </c:pt>
                      <c:pt idx="17">
                        <c:v>3006</c:v>
                      </c:pt>
                      <c:pt idx="18">
                        <c:v>3016</c:v>
                      </c:pt>
                      <c:pt idx="19">
                        <c:v>3026</c:v>
                      </c:pt>
                      <c:pt idx="20">
                        <c:v>3036</c:v>
                      </c:pt>
                      <c:pt idx="21">
                        <c:v>3046</c:v>
                      </c:pt>
                      <c:pt idx="22">
                        <c:v>3056</c:v>
                      </c:pt>
                      <c:pt idx="23">
                        <c:v>3066</c:v>
                      </c:pt>
                      <c:pt idx="24">
                        <c:v>3076</c:v>
                      </c:pt>
                      <c:pt idx="25">
                        <c:v>3086</c:v>
                      </c:pt>
                      <c:pt idx="26">
                        <c:v>3096</c:v>
                      </c:pt>
                      <c:pt idx="27">
                        <c:v>3106</c:v>
                      </c:pt>
                      <c:pt idx="28">
                        <c:v>3116</c:v>
                      </c:pt>
                      <c:pt idx="29">
                        <c:v>3126</c:v>
                      </c:pt>
                      <c:pt idx="30">
                        <c:v>3136</c:v>
                      </c:pt>
                      <c:pt idx="31">
                        <c:v>3146</c:v>
                      </c:pt>
                      <c:pt idx="32">
                        <c:v>3156</c:v>
                      </c:pt>
                      <c:pt idx="33">
                        <c:v>3166</c:v>
                      </c:pt>
                      <c:pt idx="34">
                        <c:v>3177</c:v>
                      </c:pt>
                      <c:pt idx="35">
                        <c:v>3187</c:v>
                      </c:pt>
                      <c:pt idx="36">
                        <c:v>3197</c:v>
                      </c:pt>
                      <c:pt idx="37">
                        <c:v>3207</c:v>
                      </c:pt>
                      <c:pt idx="38">
                        <c:v>3217</c:v>
                      </c:pt>
                      <c:pt idx="39">
                        <c:v>3227</c:v>
                      </c:pt>
                      <c:pt idx="40">
                        <c:v>3237</c:v>
                      </c:pt>
                      <c:pt idx="41">
                        <c:v>3247</c:v>
                      </c:pt>
                      <c:pt idx="42">
                        <c:v>3257</c:v>
                      </c:pt>
                      <c:pt idx="43">
                        <c:v>3267</c:v>
                      </c:pt>
                      <c:pt idx="44">
                        <c:v>3277</c:v>
                      </c:pt>
                      <c:pt idx="45">
                        <c:v>3287</c:v>
                      </c:pt>
                      <c:pt idx="46">
                        <c:v>3297</c:v>
                      </c:pt>
                      <c:pt idx="47">
                        <c:v>3307</c:v>
                      </c:pt>
                      <c:pt idx="48">
                        <c:v>3317</c:v>
                      </c:pt>
                      <c:pt idx="49">
                        <c:v>3327</c:v>
                      </c:pt>
                      <c:pt idx="50">
                        <c:v>3337</c:v>
                      </c:pt>
                      <c:pt idx="51">
                        <c:v>3347</c:v>
                      </c:pt>
                      <c:pt idx="52">
                        <c:v>3357</c:v>
                      </c:pt>
                      <c:pt idx="53">
                        <c:v>3367</c:v>
                      </c:pt>
                      <c:pt idx="54">
                        <c:v>3377</c:v>
                      </c:pt>
                      <c:pt idx="55">
                        <c:v>3387</c:v>
                      </c:pt>
                      <c:pt idx="56">
                        <c:v>3397</c:v>
                      </c:pt>
                      <c:pt idx="57">
                        <c:v>3407</c:v>
                      </c:pt>
                      <c:pt idx="58">
                        <c:v>3417</c:v>
                      </c:pt>
                      <c:pt idx="59">
                        <c:v>3427</c:v>
                      </c:pt>
                      <c:pt idx="60">
                        <c:v>3437</c:v>
                      </c:pt>
                      <c:pt idx="61">
                        <c:v>3447</c:v>
                      </c:pt>
                      <c:pt idx="62">
                        <c:v>3457</c:v>
                      </c:pt>
                      <c:pt idx="63">
                        <c:v>3467</c:v>
                      </c:pt>
                      <c:pt idx="64">
                        <c:v>3477</c:v>
                      </c:pt>
                      <c:pt idx="65">
                        <c:v>3487</c:v>
                      </c:pt>
                      <c:pt idx="66">
                        <c:v>3497</c:v>
                      </c:pt>
                      <c:pt idx="67">
                        <c:v>3507</c:v>
                      </c:pt>
                      <c:pt idx="68">
                        <c:v>3517</c:v>
                      </c:pt>
                      <c:pt idx="69">
                        <c:v>3527</c:v>
                      </c:pt>
                      <c:pt idx="70">
                        <c:v>3537</c:v>
                      </c:pt>
                      <c:pt idx="71">
                        <c:v>3547</c:v>
                      </c:pt>
                      <c:pt idx="72">
                        <c:v>3557</c:v>
                      </c:pt>
                      <c:pt idx="73">
                        <c:v>3567</c:v>
                      </c:pt>
                      <c:pt idx="74">
                        <c:v>3577</c:v>
                      </c:pt>
                      <c:pt idx="75">
                        <c:v>3587</c:v>
                      </c:pt>
                      <c:pt idx="76">
                        <c:v>3597</c:v>
                      </c:pt>
                      <c:pt idx="77">
                        <c:v>3607</c:v>
                      </c:pt>
                      <c:pt idx="78">
                        <c:v>3617</c:v>
                      </c:pt>
                      <c:pt idx="79">
                        <c:v>3627</c:v>
                      </c:pt>
                      <c:pt idx="80">
                        <c:v>3637</c:v>
                      </c:pt>
                      <c:pt idx="81">
                        <c:v>3647</c:v>
                      </c:pt>
                      <c:pt idx="82">
                        <c:v>3657</c:v>
                      </c:pt>
                      <c:pt idx="83">
                        <c:v>3668</c:v>
                      </c:pt>
                      <c:pt idx="84">
                        <c:v>3678</c:v>
                      </c:pt>
                      <c:pt idx="85">
                        <c:v>3688</c:v>
                      </c:pt>
                      <c:pt idx="86">
                        <c:v>3698</c:v>
                      </c:pt>
                      <c:pt idx="87">
                        <c:v>3708</c:v>
                      </c:pt>
                      <c:pt idx="88">
                        <c:v>3718</c:v>
                      </c:pt>
                      <c:pt idx="89">
                        <c:v>3728</c:v>
                      </c:pt>
                      <c:pt idx="90">
                        <c:v>3738</c:v>
                      </c:pt>
                      <c:pt idx="91">
                        <c:v>3748</c:v>
                      </c:pt>
                      <c:pt idx="92">
                        <c:v>3758</c:v>
                      </c:pt>
                      <c:pt idx="93">
                        <c:v>3768</c:v>
                      </c:pt>
                      <c:pt idx="94">
                        <c:v>3778</c:v>
                      </c:pt>
                      <c:pt idx="95">
                        <c:v>3788</c:v>
                      </c:pt>
                      <c:pt idx="96">
                        <c:v>3798</c:v>
                      </c:pt>
                      <c:pt idx="97">
                        <c:v>3808</c:v>
                      </c:pt>
                      <c:pt idx="98">
                        <c:v>3818</c:v>
                      </c:pt>
                      <c:pt idx="99">
                        <c:v>3828</c:v>
                      </c:pt>
                      <c:pt idx="100">
                        <c:v>3838</c:v>
                      </c:pt>
                      <c:pt idx="101">
                        <c:v>3848</c:v>
                      </c:pt>
                      <c:pt idx="102">
                        <c:v>3858</c:v>
                      </c:pt>
                      <c:pt idx="103">
                        <c:v>3868</c:v>
                      </c:pt>
                      <c:pt idx="104">
                        <c:v>3878</c:v>
                      </c:pt>
                      <c:pt idx="105">
                        <c:v>3888</c:v>
                      </c:pt>
                      <c:pt idx="106">
                        <c:v>3898</c:v>
                      </c:pt>
                      <c:pt idx="107">
                        <c:v>3908</c:v>
                      </c:pt>
                      <c:pt idx="108">
                        <c:v>3918</c:v>
                      </c:pt>
                      <c:pt idx="109">
                        <c:v>3928</c:v>
                      </c:pt>
                      <c:pt idx="110">
                        <c:v>3938</c:v>
                      </c:pt>
                      <c:pt idx="111">
                        <c:v>3948</c:v>
                      </c:pt>
                      <c:pt idx="112">
                        <c:v>3958</c:v>
                      </c:pt>
                      <c:pt idx="113">
                        <c:v>3968</c:v>
                      </c:pt>
                      <c:pt idx="114">
                        <c:v>3978</c:v>
                      </c:pt>
                      <c:pt idx="115">
                        <c:v>3988</c:v>
                      </c:pt>
                      <c:pt idx="116">
                        <c:v>3998</c:v>
                      </c:pt>
                      <c:pt idx="117">
                        <c:v>4008</c:v>
                      </c:pt>
                      <c:pt idx="118">
                        <c:v>4018</c:v>
                      </c:pt>
                      <c:pt idx="119">
                        <c:v>4028</c:v>
                      </c:pt>
                      <c:pt idx="120">
                        <c:v>4038</c:v>
                      </c:pt>
                      <c:pt idx="121">
                        <c:v>4048</c:v>
                      </c:pt>
                      <c:pt idx="122">
                        <c:v>4058</c:v>
                      </c:pt>
                      <c:pt idx="123">
                        <c:v>4068</c:v>
                      </c:pt>
                      <c:pt idx="124">
                        <c:v>4078</c:v>
                      </c:pt>
                      <c:pt idx="125">
                        <c:v>4088</c:v>
                      </c:pt>
                      <c:pt idx="126">
                        <c:v>4098</c:v>
                      </c:pt>
                      <c:pt idx="127">
                        <c:v>4108</c:v>
                      </c:pt>
                      <c:pt idx="128">
                        <c:v>4118</c:v>
                      </c:pt>
                      <c:pt idx="129">
                        <c:v>4128</c:v>
                      </c:pt>
                      <c:pt idx="130">
                        <c:v>4138</c:v>
                      </c:pt>
                      <c:pt idx="131">
                        <c:v>4148</c:v>
                      </c:pt>
                      <c:pt idx="132">
                        <c:v>4158</c:v>
                      </c:pt>
                      <c:pt idx="133">
                        <c:v>4169</c:v>
                      </c:pt>
                      <c:pt idx="134">
                        <c:v>4179</c:v>
                      </c:pt>
                      <c:pt idx="135">
                        <c:v>4189</c:v>
                      </c:pt>
                      <c:pt idx="136">
                        <c:v>4199</c:v>
                      </c:pt>
                      <c:pt idx="137">
                        <c:v>4209</c:v>
                      </c:pt>
                      <c:pt idx="138">
                        <c:v>4219</c:v>
                      </c:pt>
                      <c:pt idx="139">
                        <c:v>4229</c:v>
                      </c:pt>
                      <c:pt idx="140">
                        <c:v>4239</c:v>
                      </c:pt>
                      <c:pt idx="141">
                        <c:v>4249</c:v>
                      </c:pt>
                      <c:pt idx="142">
                        <c:v>4259</c:v>
                      </c:pt>
                      <c:pt idx="143">
                        <c:v>4269</c:v>
                      </c:pt>
                      <c:pt idx="144">
                        <c:v>4279</c:v>
                      </c:pt>
                      <c:pt idx="145">
                        <c:v>4289</c:v>
                      </c:pt>
                      <c:pt idx="146">
                        <c:v>4299</c:v>
                      </c:pt>
                      <c:pt idx="147">
                        <c:v>4309</c:v>
                      </c:pt>
                      <c:pt idx="148">
                        <c:v>4319</c:v>
                      </c:pt>
                      <c:pt idx="149">
                        <c:v>4329</c:v>
                      </c:pt>
                      <c:pt idx="150">
                        <c:v>4339</c:v>
                      </c:pt>
                      <c:pt idx="151">
                        <c:v>4349</c:v>
                      </c:pt>
                      <c:pt idx="152">
                        <c:v>4359</c:v>
                      </c:pt>
                      <c:pt idx="153">
                        <c:v>4369</c:v>
                      </c:pt>
                      <c:pt idx="154">
                        <c:v>4379</c:v>
                      </c:pt>
                      <c:pt idx="155">
                        <c:v>4389</c:v>
                      </c:pt>
                      <c:pt idx="156">
                        <c:v>4399</c:v>
                      </c:pt>
                      <c:pt idx="157">
                        <c:v>4409</c:v>
                      </c:pt>
                      <c:pt idx="158">
                        <c:v>4419</c:v>
                      </c:pt>
                      <c:pt idx="159">
                        <c:v>4429</c:v>
                      </c:pt>
                      <c:pt idx="160">
                        <c:v>4439</c:v>
                      </c:pt>
                      <c:pt idx="161">
                        <c:v>4449</c:v>
                      </c:pt>
                      <c:pt idx="162">
                        <c:v>4459</c:v>
                      </c:pt>
                      <c:pt idx="163">
                        <c:v>4469</c:v>
                      </c:pt>
                      <c:pt idx="164">
                        <c:v>4479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A4E-4AA8-89BF-DD8949D4DEE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4E-4AA8-89BF-DD8949D4DEE5}"/>
                  </c:ext>
                </c:extLst>
              </c15:ser>
            </c15:filteredLineSeries>
          </c:ext>
        </c:extLst>
      </c:lineChart>
      <c:catAx>
        <c:axId val="28129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84880"/>
        <c:crosses val="autoZero"/>
        <c:auto val="0"/>
        <c:lblAlgn val="ctr"/>
        <c:lblOffset val="100"/>
        <c:tickLblSkip val="1"/>
        <c:noMultiLvlLbl val="0"/>
      </c:catAx>
      <c:valAx>
        <c:axId val="281284880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99760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'0525'!$C$1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'0525'!$B$2:$B$264</c:f>
              <c:numCache>
                <c:formatCode>0</c:formatCode>
                <c:ptCount val="263"/>
                <c:pt idx="0">
                  <c:v>-0.29999999999999982</c:v>
                </c:pt>
                <c:pt idx="1">
                  <c:v>-0.13333333333333375</c:v>
                </c:pt>
                <c:pt idx="2">
                  <c:v>3.3333333333333215E-2</c:v>
                </c:pt>
                <c:pt idx="3">
                  <c:v>0.20000000000000018</c:v>
                </c:pt>
                <c:pt idx="4">
                  <c:v>0.36666666666666625</c:v>
                </c:pt>
                <c:pt idx="5">
                  <c:v>0.53333333333333321</c:v>
                </c:pt>
                <c:pt idx="6">
                  <c:v>0.70000000000000018</c:v>
                </c:pt>
                <c:pt idx="7">
                  <c:v>0.86666666666666625</c:v>
                </c:pt>
                <c:pt idx="8">
                  <c:v>1.0333333333333332</c:v>
                </c:pt>
                <c:pt idx="9">
                  <c:v>1.1999999999999993</c:v>
                </c:pt>
                <c:pt idx="10">
                  <c:v>1.3666666666666671</c:v>
                </c:pt>
                <c:pt idx="11">
                  <c:v>1.5333333333333332</c:v>
                </c:pt>
                <c:pt idx="12">
                  <c:v>1.6999999999999993</c:v>
                </c:pt>
                <c:pt idx="13">
                  <c:v>1.8833333333333329</c:v>
                </c:pt>
                <c:pt idx="14">
                  <c:v>2.0500000000000007</c:v>
                </c:pt>
                <c:pt idx="15">
                  <c:v>2.2166666666666668</c:v>
                </c:pt>
                <c:pt idx="16">
                  <c:v>2.3833333333333329</c:v>
                </c:pt>
                <c:pt idx="17">
                  <c:v>2.5666666666666664</c:v>
                </c:pt>
                <c:pt idx="18">
                  <c:v>2.7333333333333325</c:v>
                </c:pt>
                <c:pt idx="19">
                  <c:v>2.9000000000000004</c:v>
                </c:pt>
                <c:pt idx="20">
                  <c:v>3.0666666666666664</c:v>
                </c:pt>
                <c:pt idx="21">
                  <c:v>3.25</c:v>
                </c:pt>
                <c:pt idx="22">
                  <c:v>3.4166666666666661</c:v>
                </c:pt>
                <c:pt idx="23">
                  <c:v>3.5999999999999996</c:v>
                </c:pt>
                <c:pt idx="24">
                  <c:v>3.7666666666666675</c:v>
                </c:pt>
                <c:pt idx="25">
                  <c:v>3.9333333333333336</c:v>
                </c:pt>
                <c:pt idx="26">
                  <c:v>4.1166666666666671</c:v>
                </c:pt>
                <c:pt idx="27">
                  <c:v>4.2833333333333332</c:v>
                </c:pt>
                <c:pt idx="28">
                  <c:v>4.4499999999999993</c:v>
                </c:pt>
                <c:pt idx="29">
                  <c:v>4.6166666666666671</c:v>
                </c:pt>
                <c:pt idx="30">
                  <c:v>4.7833333333333332</c:v>
                </c:pt>
                <c:pt idx="31">
                  <c:v>4.9666666666666668</c:v>
                </c:pt>
                <c:pt idx="32">
                  <c:v>5.1333333333333329</c:v>
                </c:pt>
                <c:pt idx="33">
                  <c:v>5.3166666666666664</c:v>
                </c:pt>
                <c:pt idx="34">
                  <c:v>5.4833333333333325</c:v>
                </c:pt>
                <c:pt idx="35">
                  <c:v>5.65</c:v>
                </c:pt>
                <c:pt idx="36">
                  <c:v>5.8333333333333339</c:v>
                </c:pt>
                <c:pt idx="37">
                  <c:v>6</c:v>
                </c:pt>
                <c:pt idx="38">
                  <c:v>6.1666666666666661</c:v>
                </c:pt>
                <c:pt idx="39">
                  <c:v>6.3333333333333339</c:v>
                </c:pt>
                <c:pt idx="40">
                  <c:v>6.5</c:v>
                </c:pt>
                <c:pt idx="41">
                  <c:v>6.6666666666666661</c:v>
                </c:pt>
                <c:pt idx="42">
                  <c:v>6.8333333333333339</c:v>
                </c:pt>
                <c:pt idx="43">
                  <c:v>7</c:v>
                </c:pt>
                <c:pt idx="44">
                  <c:v>7.1833333333333336</c:v>
                </c:pt>
                <c:pt idx="45">
                  <c:v>7.35</c:v>
                </c:pt>
                <c:pt idx="46">
                  <c:v>7.5333333333333332</c:v>
                </c:pt>
                <c:pt idx="47">
                  <c:v>7.6999999999999993</c:v>
                </c:pt>
                <c:pt idx="48">
                  <c:v>7.8666666666666671</c:v>
                </c:pt>
                <c:pt idx="49">
                  <c:v>8.0500000000000007</c:v>
                </c:pt>
                <c:pt idx="50">
                  <c:v>8.2166666666666668</c:v>
                </c:pt>
                <c:pt idx="51">
                  <c:v>8.3833333333333329</c:v>
                </c:pt>
                <c:pt idx="52">
                  <c:v>8.5500000000000007</c:v>
                </c:pt>
                <c:pt idx="53">
                  <c:v>8.7333333333333325</c:v>
                </c:pt>
                <c:pt idx="54">
                  <c:v>8.9</c:v>
                </c:pt>
                <c:pt idx="55">
                  <c:v>9.0666666666666664</c:v>
                </c:pt>
                <c:pt idx="56">
                  <c:v>9.2333333333333343</c:v>
                </c:pt>
                <c:pt idx="57">
                  <c:v>9.3999999999999986</c:v>
                </c:pt>
                <c:pt idx="58">
                  <c:v>9.5666666666666664</c:v>
                </c:pt>
                <c:pt idx="59">
                  <c:v>9.7333333333333343</c:v>
                </c:pt>
                <c:pt idx="60">
                  <c:v>9.8999999999999986</c:v>
                </c:pt>
                <c:pt idx="61">
                  <c:v>10.066666666666666</c:v>
                </c:pt>
                <c:pt idx="62">
                  <c:v>10.233333333333334</c:v>
                </c:pt>
                <c:pt idx="63">
                  <c:v>10.416666666666668</c:v>
                </c:pt>
                <c:pt idx="64">
                  <c:v>10.583333333333332</c:v>
                </c:pt>
                <c:pt idx="65">
                  <c:v>10.75</c:v>
                </c:pt>
                <c:pt idx="66">
                  <c:v>10.916666666666668</c:v>
                </c:pt>
                <c:pt idx="67">
                  <c:v>11.100000000000001</c:v>
                </c:pt>
                <c:pt idx="68">
                  <c:v>11.266666666666666</c:v>
                </c:pt>
                <c:pt idx="69">
                  <c:v>11.433333333333334</c:v>
                </c:pt>
                <c:pt idx="70">
                  <c:v>11.600000000000001</c:v>
                </c:pt>
                <c:pt idx="71">
                  <c:v>11.766666666666666</c:v>
                </c:pt>
                <c:pt idx="72">
                  <c:v>11.95</c:v>
                </c:pt>
                <c:pt idx="73">
                  <c:v>12.116666666666667</c:v>
                </c:pt>
                <c:pt idx="74">
                  <c:v>12.283333333333335</c:v>
                </c:pt>
                <c:pt idx="75">
                  <c:v>12.45</c:v>
                </c:pt>
                <c:pt idx="76">
                  <c:v>12.633333333333333</c:v>
                </c:pt>
                <c:pt idx="77">
                  <c:v>12.8</c:v>
                </c:pt>
                <c:pt idx="78">
                  <c:v>12.966666666666665</c:v>
                </c:pt>
                <c:pt idx="79">
                  <c:v>13.133333333333333</c:v>
                </c:pt>
                <c:pt idx="80">
                  <c:v>13.3</c:v>
                </c:pt>
                <c:pt idx="81">
                  <c:v>13.466666666666665</c:v>
                </c:pt>
                <c:pt idx="82">
                  <c:v>13.633333333333333</c:v>
                </c:pt>
                <c:pt idx="83">
                  <c:v>13.816666666666666</c:v>
                </c:pt>
                <c:pt idx="84">
                  <c:v>13.983333333333334</c:v>
                </c:pt>
                <c:pt idx="85">
                  <c:v>14.149999999999999</c:v>
                </c:pt>
                <c:pt idx="86">
                  <c:v>14.316666666666666</c:v>
                </c:pt>
                <c:pt idx="87">
                  <c:v>14.483333333333334</c:v>
                </c:pt>
                <c:pt idx="88">
                  <c:v>14.649999999999999</c:v>
                </c:pt>
                <c:pt idx="89">
                  <c:v>14.816666666666666</c:v>
                </c:pt>
                <c:pt idx="90">
                  <c:v>15</c:v>
                </c:pt>
                <c:pt idx="91">
                  <c:v>15.166666666666668</c:v>
                </c:pt>
                <c:pt idx="92">
                  <c:v>15.333333333333332</c:v>
                </c:pt>
                <c:pt idx="93">
                  <c:v>15.5</c:v>
                </c:pt>
                <c:pt idx="94">
                  <c:v>15.666666666666668</c:v>
                </c:pt>
                <c:pt idx="95">
                  <c:v>15.850000000000001</c:v>
                </c:pt>
                <c:pt idx="96">
                  <c:v>16.016666666666666</c:v>
                </c:pt>
                <c:pt idx="97">
                  <c:v>16.183333333333334</c:v>
                </c:pt>
                <c:pt idx="98">
                  <c:v>16.350000000000001</c:v>
                </c:pt>
                <c:pt idx="99">
                  <c:v>16.516666666666666</c:v>
                </c:pt>
                <c:pt idx="100">
                  <c:v>16.7</c:v>
                </c:pt>
                <c:pt idx="101">
                  <c:v>16.866666666666667</c:v>
                </c:pt>
                <c:pt idx="102">
                  <c:v>17.033333333333335</c:v>
                </c:pt>
                <c:pt idx="103">
                  <c:v>17.2</c:v>
                </c:pt>
                <c:pt idx="104">
                  <c:v>17.366666666666667</c:v>
                </c:pt>
                <c:pt idx="105">
                  <c:v>17.533333333333335</c:v>
                </c:pt>
                <c:pt idx="106">
                  <c:v>17.716666666666665</c:v>
                </c:pt>
                <c:pt idx="107">
                  <c:v>17.883333333333333</c:v>
                </c:pt>
                <c:pt idx="108">
                  <c:v>18.05</c:v>
                </c:pt>
                <c:pt idx="109">
                  <c:v>18.216666666666665</c:v>
                </c:pt>
                <c:pt idx="110">
                  <c:v>18.399999999999999</c:v>
                </c:pt>
                <c:pt idx="111">
                  <c:v>18.566666666666666</c:v>
                </c:pt>
                <c:pt idx="112">
                  <c:v>18.733333333333334</c:v>
                </c:pt>
                <c:pt idx="113">
                  <c:v>18.899999999999999</c:v>
                </c:pt>
                <c:pt idx="114">
                  <c:v>19.066666666666666</c:v>
                </c:pt>
                <c:pt idx="115">
                  <c:v>19.25</c:v>
                </c:pt>
                <c:pt idx="116">
                  <c:v>19.433333333333334</c:v>
                </c:pt>
                <c:pt idx="117">
                  <c:v>19.600000000000001</c:v>
                </c:pt>
                <c:pt idx="118">
                  <c:v>19.766666666666666</c:v>
                </c:pt>
                <c:pt idx="119">
                  <c:v>19.933333333333334</c:v>
                </c:pt>
                <c:pt idx="120">
                  <c:v>20.100000000000001</c:v>
                </c:pt>
                <c:pt idx="121">
                  <c:v>20.283333333333335</c:v>
                </c:pt>
                <c:pt idx="122">
                  <c:v>20.45</c:v>
                </c:pt>
                <c:pt idx="123">
                  <c:v>20.616666666666667</c:v>
                </c:pt>
                <c:pt idx="124">
                  <c:v>20.816666666666666</c:v>
                </c:pt>
                <c:pt idx="125">
                  <c:v>20.983333333333334</c:v>
                </c:pt>
                <c:pt idx="126">
                  <c:v>21.15</c:v>
                </c:pt>
                <c:pt idx="127">
                  <c:v>21.316666666666666</c:v>
                </c:pt>
                <c:pt idx="128">
                  <c:v>21.5</c:v>
                </c:pt>
                <c:pt idx="129">
                  <c:v>21.666666666666668</c:v>
                </c:pt>
                <c:pt idx="130">
                  <c:v>21.833333333333332</c:v>
                </c:pt>
                <c:pt idx="131">
                  <c:v>22.016666666666666</c:v>
                </c:pt>
                <c:pt idx="132">
                  <c:v>22.183333333333334</c:v>
                </c:pt>
                <c:pt idx="133">
                  <c:v>22.35</c:v>
                </c:pt>
                <c:pt idx="134">
                  <c:v>22.516666666666666</c:v>
                </c:pt>
                <c:pt idx="135">
                  <c:v>22.683333333333334</c:v>
                </c:pt>
                <c:pt idx="136">
                  <c:v>22.866666666666667</c:v>
                </c:pt>
                <c:pt idx="137">
                  <c:v>23.033333333333335</c:v>
                </c:pt>
                <c:pt idx="138">
                  <c:v>23.216666666666665</c:v>
                </c:pt>
                <c:pt idx="139">
                  <c:v>23.383333333333333</c:v>
                </c:pt>
                <c:pt idx="140">
                  <c:v>23.55</c:v>
                </c:pt>
                <c:pt idx="141">
                  <c:v>23.716666666666665</c:v>
                </c:pt>
                <c:pt idx="142">
                  <c:v>23.883333333333333</c:v>
                </c:pt>
                <c:pt idx="143">
                  <c:v>24.066666666666666</c:v>
                </c:pt>
                <c:pt idx="144">
                  <c:v>24.233333333333334</c:v>
                </c:pt>
                <c:pt idx="145">
                  <c:v>24.4</c:v>
                </c:pt>
                <c:pt idx="146">
                  <c:v>24.583333333333332</c:v>
                </c:pt>
                <c:pt idx="147">
                  <c:v>24.75</c:v>
                </c:pt>
                <c:pt idx="148">
                  <c:v>24.916666666666668</c:v>
                </c:pt>
                <c:pt idx="149">
                  <c:v>25.083333333333336</c:v>
                </c:pt>
                <c:pt idx="150">
                  <c:v>25.266666666666666</c:v>
                </c:pt>
                <c:pt idx="151">
                  <c:v>25.450000000000003</c:v>
                </c:pt>
                <c:pt idx="152">
                  <c:v>25.633333333333333</c:v>
                </c:pt>
                <c:pt idx="153">
                  <c:v>25.799999999999997</c:v>
                </c:pt>
                <c:pt idx="154">
                  <c:v>25.983333333333334</c:v>
                </c:pt>
                <c:pt idx="155">
                  <c:v>26.15</c:v>
                </c:pt>
                <c:pt idx="156">
                  <c:v>26.31666666666667</c:v>
                </c:pt>
                <c:pt idx="157">
                  <c:v>26.5</c:v>
                </c:pt>
                <c:pt idx="158">
                  <c:v>26.666666666666664</c:v>
                </c:pt>
                <c:pt idx="159">
                  <c:v>26.85</c:v>
                </c:pt>
                <c:pt idx="160">
                  <c:v>27.016666666666666</c:v>
                </c:pt>
                <c:pt idx="161">
                  <c:v>27.200000000000003</c:v>
                </c:pt>
                <c:pt idx="162">
                  <c:v>27.366666666666667</c:v>
                </c:pt>
                <c:pt idx="163">
                  <c:v>27.549999999999997</c:v>
                </c:pt>
                <c:pt idx="164">
                  <c:v>27.716666666666669</c:v>
                </c:pt>
                <c:pt idx="165">
                  <c:v>27.883333333333333</c:v>
                </c:pt>
                <c:pt idx="166">
                  <c:v>28.06666666666667</c:v>
                </c:pt>
                <c:pt idx="167">
                  <c:v>28.25</c:v>
                </c:pt>
                <c:pt idx="168">
                  <c:v>28.416666666666664</c:v>
                </c:pt>
                <c:pt idx="169">
                  <c:v>28.583333333333336</c:v>
                </c:pt>
                <c:pt idx="170">
                  <c:v>28.75</c:v>
                </c:pt>
                <c:pt idx="171">
                  <c:v>28.93333333333333</c:v>
                </c:pt>
                <c:pt idx="172">
                  <c:v>29.1</c:v>
                </c:pt>
                <c:pt idx="173">
                  <c:v>29.266666666666666</c:v>
                </c:pt>
                <c:pt idx="174">
                  <c:v>29.43333333333333</c:v>
                </c:pt>
                <c:pt idx="175">
                  <c:v>29.6</c:v>
                </c:pt>
                <c:pt idx="176">
                  <c:v>29.783333333333331</c:v>
                </c:pt>
                <c:pt idx="177">
                  <c:v>29.950000000000003</c:v>
                </c:pt>
                <c:pt idx="178">
                  <c:v>30.116666666666667</c:v>
                </c:pt>
                <c:pt idx="179">
                  <c:v>30.283333333333331</c:v>
                </c:pt>
                <c:pt idx="180">
                  <c:v>30.450000000000003</c:v>
                </c:pt>
                <c:pt idx="181">
                  <c:v>30.633333333333333</c:v>
                </c:pt>
                <c:pt idx="182">
                  <c:v>30.799999999999997</c:v>
                </c:pt>
                <c:pt idx="183">
                  <c:v>30.966666666666669</c:v>
                </c:pt>
                <c:pt idx="184">
                  <c:v>31.15</c:v>
                </c:pt>
                <c:pt idx="185">
                  <c:v>31.31666666666667</c:v>
                </c:pt>
                <c:pt idx="186">
                  <c:v>31.483333333333334</c:v>
                </c:pt>
                <c:pt idx="187">
                  <c:v>31.666666666666664</c:v>
                </c:pt>
                <c:pt idx="188">
                  <c:v>31.833333333333336</c:v>
                </c:pt>
                <c:pt idx="189">
                  <c:v>32</c:v>
                </c:pt>
                <c:pt idx="190">
                  <c:v>32.18333333333333</c:v>
                </c:pt>
                <c:pt idx="191">
                  <c:v>32.35</c:v>
                </c:pt>
                <c:pt idx="192">
                  <c:v>32.516666666666666</c:v>
                </c:pt>
                <c:pt idx="193">
                  <c:v>32.68333333333333</c:v>
                </c:pt>
                <c:pt idx="194">
                  <c:v>32.866666666666667</c:v>
                </c:pt>
                <c:pt idx="195">
                  <c:v>33.033333333333331</c:v>
                </c:pt>
                <c:pt idx="196">
                  <c:v>33.200000000000003</c:v>
                </c:pt>
                <c:pt idx="197">
                  <c:v>33.366666666666667</c:v>
                </c:pt>
                <c:pt idx="198">
                  <c:v>33.549999999999997</c:v>
                </c:pt>
                <c:pt idx="199">
                  <c:v>33.716666666666669</c:v>
                </c:pt>
                <c:pt idx="200">
                  <c:v>33.883333333333333</c:v>
                </c:pt>
                <c:pt idx="201">
                  <c:v>34.06666666666667</c:v>
                </c:pt>
                <c:pt idx="202">
                  <c:v>34.233333333333334</c:v>
                </c:pt>
                <c:pt idx="203">
                  <c:v>34.4</c:v>
                </c:pt>
                <c:pt idx="204">
                  <c:v>34.56666666666667</c:v>
                </c:pt>
                <c:pt idx="205">
                  <c:v>34.733333333333334</c:v>
                </c:pt>
                <c:pt idx="206">
                  <c:v>34.916666666666664</c:v>
                </c:pt>
                <c:pt idx="207">
                  <c:v>35.083333333333336</c:v>
                </c:pt>
                <c:pt idx="208">
                  <c:v>35.25</c:v>
                </c:pt>
                <c:pt idx="209">
                  <c:v>35.416666666666664</c:v>
                </c:pt>
                <c:pt idx="210">
                  <c:v>35.583333333333336</c:v>
                </c:pt>
                <c:pt idx="211">
                  <c:v>35.75</c:v>
                </c:pt>
                <c:pt idx="212">
                  <c:v>35.93333333333333</c:v>
                </c:pt>
                <c:pt idx="213">
                  <c:v>36.1</c:v>
                </c:pt>
                <c:pt idx="214">
                  <c:v>36.266666666666666</c:v>
                </c:pt>
                <c:pt idx="215">
                  <c:v>36.43333333333333</c:v>
                </c:pt>
                <c:pt idx="216">
                  <c:v>36.6</c:v>
                </c:pt>
                <c:pt idx="217">
                  <c:v>36.766666666666666</c:v>
                </c:pt>
                <c:pt idx="218">
                  <c:v>36.950000000000003</c:v>
                </c:pt>
                <c:pt idx="219">
                  <c:v>37.116666666666667</c:v>
                </c:pt>
                <c:pt idx="220">
                  <c:v>37.299999999999997</c:v>
                </c:pt>
                <c:pt idx="221">
                  <c:v>37.466666666666669</c:v>
                </c:pt>
                <c:pt idx="222">
                  <c:v>37.633333333333333</c:v>
                </c:pt>
                <c:pt idx="223">
                  <c:v>37.799999999999997</c:v>
                </c:pt>
                <c:pt idx="224">
                  <c:v>37.966666666666669</c:v>
                </c:pt>
                <c:pt idx="225">
                  <c:v>38.15</c:v>
                </c:pt>
                <c:pt idx="226">
                  <c:v>38.31666666666667</c:v>
                </c:pt>
                <c:pt idx="227">
                  <c:v>38.483333333333334</c:v>
                </c:pt>
                <c:pt idx="228">
                  <c:v>38.65</c:v>
                </c:pt>
                <c:pt idx="229">
                  <c:v>38.81666666666667</c:v>
                </c:pt>
                <c:pt idx="230">
                  <c:v>39</c:v>
                </c:pt>
                <c:pt idx="231">
                  <c:v>39.166666666666664</c:v>
                </c:pt>
                <c:pt idx="232">
                  <c:v>39.333333333333336</c:v>
                </c:pt>
                <c:pt idx="233">
                  <c:v>39.5</c:v>
                </c:pt>
                <c:pt idx="234">
                  <c:v>39.68333333333333</c:v>
                </c:pt>
                <c:pt idx="235">
                  <c:v>39.85</c:v>
                </c:pt>
                <c:pt idx="236">
                  <c:v>40.016666666666666</c:v>
                </c:pt>
                <c:pt idx="237">
                  <c:v>40.18333333333333</c:v>
                </c:pt>
                <c:pt idx="238">
                  <c:v>40.366666666666667</c:v>
                </c:pt>
                <c:pt idx="239">
                  <c:v>40.533333333333331</c:v>
                </c:pt>
                <c:pt idx="240">
                  <c:v>40.700000000000003</c:v>
                </c:pt>
                <c:pt idx="241">
                  <c:v>40.883333333333333</c:v>
                </c:pt>
                <c:pt idx="242">
                  <c:v>41.05</c:v>
                </c:pt>
                <c:pt idx="243">
                  <c:v>41.233333333333334</c:v>
                </c:pt>
                <c:pt idx="244">
                  <c:v>41.4</c:v>
                </c:pt>
                <c:pt idx="245">
                  <c:v>41.56666666666667</c:v>
                </c:pt>
                <c:pt idx="246">
                  <c:v>41.733333333333334</c:v>
                </c:pt>
                <c:pt idx="247">
                  <c:v>41.9</c:v>
                </c:pt>
                <c:pt idx="248">
                  <c:v>42.06666666666667</c:v>
                </c:pt>
                <c:pt idx="249">
                  <c:v>42.25</c:v>
                </c:pt>
                <c:pt idx="250">
                  <c:v>42.416666666666664</c:v>
                </c:pt>
                <c:pt idx="251">
                  <c:v>42.583333333333336</c:v>
                </c:pt>
                <c:pt idx="252">
                  <c:v>42.766666666666666</c:v>
                </c:pt>
                <c:pt idx="253">
                  <c:v>42.93333333333333</c:v>
                </c:pt>
                <c:pt idx="254">
                  <c:v>43.1</c:v>
                </c:pt>
                <c:pt idx="255">
                  <c:v>43.266666666666666</c:v>
                </c:pt>
                <c:pt idx="256">
                  <c:v>43.43333333333333</c:v>
                </c:pt>
                <c:pt idx="257">
                  <c:v>43.6</c:v>
                </c:pt>
                <c:pt idx="258">
                  <c:v>43.766666666666666</c:v>
                </c:pt>
                <c:pt idx="259">
                  <c:v>43.93333333333333</c:v>
                </c:pt>
                <c:pt idx="260">
                  <c:v>44.116666666666667</c:v>
                </c:pt>
                <c:pt idx="261">
                  <c:v>44.283333333333331</c:v>
                </c:pt>
                <c:pt idx="262">
                  <c:v>44.45</c:v>
                </c:pt>
              </c:numCache>
            </c:numRef>
          </c:cat>
          <c:val>
            <c:numRef>
              <c:f>'0525'!$C$2:$C$264</c:f>
              <c:numCache>
                <c:formatCode>General</c:formatCode>
                <c:ptCount val="263"/>
                <c:pt idx="0">
                  <c:v>28.99</c:v>
                </c:pt>
                <c:pt idx="1">
                  <c:v>29.6</c:v>
                </c:pt>
                <c:pt idx="2">
                  <c:v>30.3</c:v>
                </c:pt>
                <c:pt idx="3">
                  <c:v>30.99</c:v>
                </c:pt>
                <c:pt idx="4">
                  <c:v>31.4</c:v>
                </c:pt>
                <c:pt idx="5">
                  <c:v>31.46</c:v>
                </c:pt>
                <c:pt idx="6">
                  <c:v>32.19</c:v>
                </c:pt>
                <c:pt idx="7">
                  <c:v>33.42</c:v>
                </c:pt>
                <c:pt idx="8">
                  <c:v>33.99</c:v>
                </c:pt>
                <c:pt idx="9">
                  <c:v>34.64</c:v>
                </c:pt>
                <c:pt idx="10">
                  <c:v>35.619999999999997</c:v>
                </c:pt>
                <c:pt idx="11">
                  <c:v>36.369999999999997</c:v>
                </c:pt>
                <c:pt idx="12">
                  <c:v>36.93</c:v>
                </c:pt>
                <c:pt idx="13">
                  <c:v>37.75</c:v>
                </c:pt>
                <c:pt idx="14">
                  <c:v>38.049999999999997</c:v>
                </c:pt>
                <c:pt idx="15">
                  <c:v>38.79</c:v>
                </c:pt>
                <c:pt idx="16">
                  <c:v>40.35</c:v>
                </c:pt>
                <c:pt idx="17">
                  <c:v>41.06</c:v>
                </c:pt>
                <c:pt idx="18">
                  <c:v>41.28</c:v>
                </c:pt>
                <c:pt idx="19">
                  <c:v>42.23</c:v>
                </c:pt>
                <c:pt idx="20">
                  <c:v>43.41</c:v>
                </c:pt>
                <c:pt idx="21">
                  <c:v>43.74</c:v>
                </c:pt>
                <c:pt idx="22">
                  <c:v>43.98</c:v>
                </c:pt>
                <c:pt idx="23">
                  <c:v>44.89</c:v>
                </c:pt>
                <c:pt idx="24">
                  <c:v>45.47</c:v>
                </c:pt>
                <c:pt idx="25">
                  <c:v>46.48</c:v>
                </c:pt>
                <c:pt idx="26">
                  <c:v>48.74</c:v>
                </c:pt>
                <c:pt idx="27">
                  <c:v>48.48</c:v>
                </c:pt>
                <c:pt idx="28">
                  <c:v>49.43</c:v>
                </c:pt>
                <c:pt idx="29">
                  <c:v>49.43</c:v>
                </c:pt>
                <c:pt idx="30">
                  <c:v>49.34</c:v>
                </c:pt>
                <c:pt idx="31">
                  <c:v>50.58</c:v>
                </c:pt>
                <c:pt idx="32">
                  <c:v>51.09</c:v>
                </c:pt>
                <c:pt idx="33">
                  <c:v>51.02</c:v>
                </c:pt>
                <c:pt idx="34">
                  <c:v>51.53</c:v>
                </c:pt>
                <c:pt idx="35">
                  <c:v>51.97</c:v>
                </c:pt>
                <c:pt idx="36">
                  <c:v>52.66</c:v>
                </c:pt>
                <c:pt idx="37">
                  <c:v>52.45</c:v>
                </c:pt>
                <c:pt idx="38">
                  <c:v>52.46</c:v>
                </c:pt>
                <c:pt idx="39">
                  <c:v>53.1</c:v>
                </c:pt>
                <c:pt idx="40">
                  <c:v>54.03</c:v>
                </c:pt>
                <c:pt idx="41">
                  <c:v>54.72</c:v>
                </c:pt>
                <c:pt idx="42">
                  <c:v>55.08</c:v>
                </c:pt>
                <c:pt idx="43">
                  <c:v>54.65</c:v>
                </c:pt>
                <c:pt idx="44">
                  <c:v>55.09</c:v>
                </c:pt>
                <c:pt idx="45">
                  <c:v>54.7</c:v>
                </c:pt>
                <c:pt idx="46">
                  <c:v>54.23</c:v>
                </c:pt>
                <c:pt idx="47">
                  <c:v>54.1</c:v>
                </c:pt>
                <c:pt idx="48">
                  <c:v>54.69</c:v>
                </c:pt>
                <c:pt idx="49">
                  <c:v>55.36</c:v>
                </c:pt>
                <c:pt idx="50">
                  <c:v>55.99</c:v>
                </c:pt>
                <c:pt idx="51">
                  <c:v>57.18</c:v>
                </c:pt>
                <c:pt idx="52">
                  <c:v>56.81</c:v>
                </c:pt>
                <c:pt idx="53">
                  <c:v>56.39</c:v>
                </c:pt>
                <c:pt idx="54">
                  <c:v>56.41</c:v>
                </c:pt>
                <c:pt idx="55">
                  <c:v>56.5</c:v>
                </c:pt>
                <c:pt idx="56">
                  <c:v>57.25</c:v>
                </c:pt>
                <c:pt idx="57">
                  <c:v>57.32</c:v>
                </c:pt>
                <c:pt idx="58">
                  <c:v>58.33</c:v>
                </c:pt>
                <c:pt idx="59">
                  <c:v>59.09</c:v>
                </c:pt>
                <c:pt idx="60">
                  <c:v>58.98</c:v>
                </c:pt>
                <c:pt idx="61">
                  <c:v>58.7</c:v>
                </c:pt>
                <c:pt idx="62">
                  <c:v>59.88</c:v>
                </c:pt>
                <c:pt idx="63">
                  <c:v>59.4</c:v>
                </c:pt>
                <c:pt idx="64">
                  <c:v>58.63</c:v>
                </c:pt>
                <c:pt idx="65">
                  <c:v>59.36</c:v>
                </c:pt>
                <c:pt idx="66">
                  <c:v>59.41</c:v>
                </c:pt>
                <c:pt idx="67">
                  <c:v>59.58</c:v>
                </c:pt>
                <c:pt idx="68">
                  <c:v>60.01</c:v>
                </c:pt>
                <c:pt idx="69">
                  <c:v>60.4</c:v>
                </c:pt>
                <c:pt idx="70">
                  <c:v>60.78</c:v>
                </c:pt>
                <c:pt idx="71">
                  <c:v>61.55</c:v>
                </c:pt>
                <c:pt idx="72">
                  <c:v>61.78</c:v>
                </c:pt>
                <c:pt idx="73">
                  <c:v>60.87</c:v>
                </c:pt>
                <c:pt idx="74">
                  <c:v>59.49</c:v>
                </c:pt>
                <c:pt idx="75">
                  <c:v>59.73</c:v>
                </c:pt>
                <c:pt idx="76">
                  <c:v>59.97</c:v>
                </c:pt>
                <c:pt idx="77">
                  <c:v>60.51</c:v>
                </c:pt>
                <c:pt idx="78">
                  <c:v>60.46</c:v>
                </c:pt>
                <c:pt idx="79">
                  <c:v>61.82</c:v>
                </c:pt>
                <c:pt idx="80">
                  <c:v>61.83</c:v>
                </c:pt>
                <c:pt idx="81">
                  <c:v>61.73</c:v>
                </c:pt>
                <c:pt idx="82">
                  <c:v>62.03</c:v>
                </c:pt>
                <c:pt idx="83">
                  <c:v>62.78</c:v>
                </c:pt>
                <c:pt idx="84">
                  <c:v>63.32</c:v>
                </c:pt>
                <c:pt idx="85">
                  <c:v>62.55</c:v>
                </c:pt>
                <c:pt idx="86">
                  <c:v>62.23</c:v>
                </c:pt>
                <c:pt idx="87">
                  <c:v>62.3</c:v>
                </c:pt>
                <c:pt idx="88">
                  <c:v>62.76</c:v>
                </c:pt>
                <c:pt idx="89">
                  <c:v>63.6</c:v>
                </c:pt>
                <c:pt idx="90">
                  <c:v>64.209999999999994</c:v>
                </c:pt>
                <c:pt idx="91">
                  <c:v>64.709999999999994</c:v>
                </c:pt>
                <c:pt idx="92">
                  <c:v>64.08</c:v>
                </c:pt>
                <c:pt idx="93">
                  <c:v>64.209999999999994</c:v>
                </c:pt>
                <c:pt idx="94">
                  <c:v>64.22</c:v>
                </c:pt>
                <c:pt idx="95">
                  <c:v>64.36</c:v>
                </c:pt>
                <c:pt idx="96">
                  <c:v>63.34</c:v>
                </c:pt>
                <c:pt idx="97">
                  <c:v>64.069999999999993</c:v>
                </c:pt>
                <c:pt idx="98">
                  <c:v>64.23</c:v>
                </c:pt>
                <c:pt idx="99">
                  <c:v>64.75</c:v>
                </c:pt>
                <c:pt idx="100">
                  <c:v>65.91</c:v>
                </c:pt>
                <c:pt idx="101">
                  <c:v>65.62</c:v>
                </c:pt>
                <c:pt idx="102">
                  <c:v>65.790000000000006</c:v>
                </c:pt>
                <c:pt idx="103">
                  <c:v>66.19</c:v>
                </c:pt>
                <c:pt idx="104">
                  <c:v>65.569999999999993</c:v>
                </c:pt>
                <c:pt idx="105">
                  <c:v>65.150000000000006</c:v>
                </c:pt>
                <c:pt idx="106">
                  <c:v>65.72</c:v>
                </c:pt>
                <c:pt idx="107">
                  <c:v>65.89</c:v>
                </c:pt>
                <c:pt idx="108">
                  <c:v>66.349999999999994</c:v>
                </c:pt>
                <c:pt idx="109">
                  <c:v>66.23</c:v>
                </c:pt>
                <c:pt idx="110">
                  <c:v>66.180000000000007</c:v>
                </c:pt>
                <c:pt idx="111">
                  <c:v>67.42</c:v>
                </c:pt>
                <c:pt idx="112">
                  <c:v>67.400000000000006</c:v>
                </c:pt>
                <c:pt idx="113">
                  <c:v>68.099999999999994</c:v>
                </c:pt>
                <c:pt idx="114">
                  <c:v>68.099999999999994</c:v>
                </c:pt>
                <c:pt idx="115">
                  <c:v>68.08</c:v>
                </c:pt>
                <c:pt idx="116">
                  <c:v>68.010000000000005</c:v>
                </c:pt>
                <c:pt idx="117">
                  <c:v>66.95</c:v>
                </c:pt>
                <c:pt idx="118">
                  <c:v>67.349999999999994</c:v>
                </c:pt>
                <c:pt idx="119">
                  <c:v>67.489999999999995</c:v>
                </c:pt>
                <c:pt idx="120">
                  <c:v>68.069999999999993</c:v>
                </c:pt>
                <c:pt idx="121">
                  <c:v>68.349999999999994</c:v>
                </c:pt>
                <c:pt idx="122">
                  <c:v>69.53</c:v>
                </c:pt>
                <c:pt idx="123">
                  <c:v>69.28</c:v>
                </c:pt>
                <c:pt idx="124">
                  <c:v>68.599999999999994</c:v>
                </c:pt>
                <c:pt idx="125">
                  <c:v>68.47</c:v>
                </c:pt>
                <c:pt idx="126">
                  <c:v>67.86</c:v>
                </c:pt>
                <c:pt idx="127">
                  <c:v>67.44</c:v>
                </c:pt>
                <c:pt idx="128">
                  <c:v>68.25</c:v>
                </c:pt>
                <c:pt idx="129">
                  <c:v>68.59</c:v>
                </c:pt>
                <c:pt idx="130">
                  <c:v>68.989999999999995</c:v>
                </c:pt>
                <c:pt idx="131">
                  <c:v>69.08</c:v>
                </c:pt>
                <c:pt idx="132">
                  <c:v>68.78</c:v>
                </c:pt>
                <c:pt idx="133">
                  <c:v>69.849999999999994</c:v>
                </c:pt>
                <c:pt idx="134">
                  <c:v>69.69</c:v>
                </c:pt>
                <c:pt idx="135">
                  <c:v>69.489999999999995</c:v>
                </c:pt>
                <c:pt idx="136">
                  <c:v>70.05</c:v>
                </c:pt>
                <c:pt idx="137">
                  <c:v>70.09</c:v>
                </c:pt>
                <c:pt idx="138">
                  <c:v>69.58</c:v>
                </c:pt>
                <c:pt idx="139">
                  <c:v>69.790000000000006</c:v>
                </c:pt>
                <c:pt idx="140">
                  <c:v>69.569999999999993</c:v>
                </c:pt>
                <c:pt idx="141">
                  <c:v>70.3</c:v>
                </c:pt>
                <c:pt idx="142">
                  <c:v>70.34</c:v>
                </c:pt>
                <c:pt idx="143">
                  <c:v>70.27</c:v>
                </c:pt>
                <c:pt idx="144">
                  <c:v>70.349999999999994</c:v>
                </c:pt>
                <c:pt idx="145">
                  <c:v>70.47</c:v>
                </c:pt>
                <c:pt idx="146">
                  <c:v>70.73</c:v>
                </c:pt>
                <c:pt idx="147">
                  <c:v>70.180000000000007</c:v>
                </c:pt>
                <c:pt idx="148">
                  <c:v>70.39</c:v>
                </c:pt>
                <c:pt idx="149">
                  <c:v>71.13</c:v>
                </c:pt>
                <c:pt idx="150">
                  <c:v>71</c:v>
                </c:pt>
                <c:pt idx="151">
                  <c:v>71.069999999999993</c:v>
                </c:pt>
                <c:pt idx="152">
                  <c:v>71.400000000000006</c:v>
                </c:pt>
                <c:pt idx="153">
                  <c:v>70.959999999999994</c:v>
                </c:pt>
                <c:pt idx="154">
                  <c:v>70.930000000000007</c:v>
                </c:pt>
                <c:pt idx="155">
                  <c:v>72.19</c:v>
                </c:pt>
                <c:pt idx="156">
                  <c:v>71.510000000000005</c:v>
                </c:pt>
                <c:pt idx="157">
                  <c:v>72.239999999999995</c:v>
                </c:pt>
                <c:pt idx="158">
                  <c:v>72.33</c:v>
                </c:pt>
                <c:pt idx="159">
                  <c:v>72.11</c:v>
                </c:pt>
                <c:pt idx="160">
                  <c:v>72.069999999999993</c:v>
                </c:pt>
                <c:pt idx="161">
                  <c:v>72.739999999999995</c:v>
                </c:pt>
                <c:pt idx="162">
                  <c:v>72.52</c:v>
                </c:pt>
                <c:pt idx="163">
                  <c:v>72.69</c:v>
                </c:pt>
                <c:pt idx="164">
                  <c:v>72.67</c:v>
                </c:pt>
                <c:pt idx="165">
                  <c:v>72.39</c:v>
                </c:pt>
                <c:pt idx="166">
                  <c:v>73.05</c:v>
                </c:pt>
                <c:pt idx="167">
                  <c:v>72.819999999999993</c:v>
                </c:pt>
                <c:pt idx="168">
                  <c:v>72.58</c:v>
                </c:pt>
                <c:pt idx="169">
                  <c:v>72.239999999999995</c:v>
                </c:pt>
                <c:pt idx="170">
                  <c:v>73.22</c:v>
                </c:pt>
                <c:pt idx="171">
                  <c:v>72.91</c:v>
                </c:pt>
                <c:pt idx="172">
                  <c:v>73.239999999999995</c:v>
                </c:pt>
                <c:pt idx="173">
                  <c:v>73.069999999999993</c:v>
                </c:pt>
                <c:pt idx="174">
                  <c:v>73.25</c:v>
                </c:pt>
                <c:pt idx="175">
                  <c:v>73.44</c:v>
                </c:pt>
                <c:pt idx="176">
                  <c:v>72.67</c:v>
                </c:pt>
                <c:pt idx="177">
                  <c:v>73.81</c:v>
                </c:pt>
                <c:pt idx="178">
                  <c:v>73.48</c:v>
                </c:pt>
                <c:pt idx="179">
                  <c:v>73.489999999999995</c:v>
                </c:pt>
                <c:pt idx="180">
                  <c:v>73.430000000000007</c:v>
                </c:pt>
                <c:pt idx="181">
                  <c:v>73.569999999999993</c:v>
                </c:pt>
                <c:pt idx="182">
                  <c:v>73.44</c:v>
                </c:pt>
                <c:pt idx="183">
                  <c:v>74.58</c:v>
                </c:pt>
                <c:pt idx="184">
                  <c:v>74.599999999999994</c:v>
                </c:pt>
                <c:pt idx="185">
                  <c:v>74.19</c:v>
                </c:pt>
                <c:pt idx="186">
                  <c:v>74.069999999999993</c:v>
                </c:pt>
                <c:pt idx="187">
                  <c:v>73.75</c:v>
                </c:pt>
                <c:pt idx="188">
                  <c:v>74.16</c:v>
                </c:pt>
                <c:pt idx="189">
                  <c:v>73.81</c:v>
                </c:pt>
                <c:pt idx="190">
                  <c:v>73.62</c:v>
                </c:pt>
                <c:pt idx="191">
                  <c:v>73.62</c:v>
                </c:pt>
                <c:pt idx="192">
                  <c:v>73.459999999999994</c:v>
                </c:pt>
                <c:pt idx="193">
                  <c:v>74.06</c:v>
                </c:pt>
                <c:pt idx="194">
                  <c:v>74.72</c:v>
                </c:pt>
                <c:pt idx="195">
                  <c:v>75.12</c:v>
                </c:pt>
                <c:pt idx="196">
                  <c:v>75.33</c:v>
                </c:pt>
                <c:pt idx="197">
                  <c:v>75.150000000000006</c:v>
                </c:pt>
                <c:pt idx="198">
                  <c:v>75.650000000000006</c:v>
                </c:pt>
                <c:pt idx="199">
                  <c:v>75.430000000000007</c:v>
                </c:pt>
                <c:pt idx="200">
                  <c:v>75.66</c:v>
                </c:pt>
                <c:pt idx="201">
                  <c:v>75.010000000000005</c:v>
                </c:pt>
                <c:pt idx="202">
                  <c:v>75.42</c:v>
                </c:pt>
                <c:pt idx="203">
                  <c:v>75.739999999999995</c:v>
                </c:pt>
                <c:pt idx="204">
                  <c:v>75.3</c:v>
                </c:pt>
                <c:pt idx="205">
                  <c:v>75.599999999999994</c:v>
                </c:pt>
                <c:pt idx="206">
                  <c:v>75.290000000000006</c:v>
                </c:pt>
                <c:pt idx="207">
                  <c:v>75.77</c:v>
                </c:pt>
                <c:pt idx="208">
                  <c:v>75.45</c:v>
                </c:pt>
                <c:pt idx="209">
                  <c:v>75.64</c:v>
                </c:pt>
                <c:pt idx="210">
                  <c:v>75.72</c:v>
                </c:pt>
                <c:pt idx="211">
                  <c:v>75.63</c:v>
                </c:pt>
                <c:pt idx="212">
                  <c:v>75.3</c:v>
                </c:pt>
                <c:pt idx="213">
                  <c:v>75.400000000000006</c:v>
                </c:pt>
                <c:pt idx="214">
                  <c:v>75.77</c:v>
                </c:pt>
                <c:pt idx="215">
                  <c:v>76.040000000000006</c:v>
                </c:pt>
                <c:pt idx="216">
                  <c:v>76.42</c:v>
                </c:pt>
                <c:pt idx="217">
                  <c:v>77.16</c:v>
                </c:pt>
                <c:pt idx="218">
                  <c:v>77.02</c:v>
                </c:pt>
                <c:pt idx="219">
                  <c:v>77.040000000000006</c:v>
                </c:pt>
                <c:pt idx="220">
                  <c:v>76.959999999999994</c:v>
                </c:pt>
                <c:pt idx="221">
                  <c:v>76.599999999999994</c:v>
                </c:pt>
                <c:pt idx="222">
                  <c:v>76.25</c:v>
                </c:pt>
                <c:pt idx="223">
                  <c:v>76.09</c:v>
                </c:pt>
                <c:pt idx="224">
                  <c:v>75.92</c:v>
                </c:pt>
                <c:pt idx="225">
                  <c:v>76.37</c:v>
                </c:pt>
                <c:pt idx="226">
                  <c:v>76.819999999999993</c:v>
                </c:pt>
                <c:pt idx="227">
                  <c:v>77.19</c:v>
                </c:pt>
                <c:pt idx="228">
                  <c:v>76.989999999999995</c:v>
                </c:pt>
                <c:pt idx="229">
                  <c:v>77.040000000000006</c:v>
                </c:pt>
                <c:pt idx="230">
                  <c:v>76.760000000000005</c:v>
                </c:pt>
                <c:pt idx="231">
                  <c:v>76.88</c:v>
                </c:pt>
                <c:pt idx="232">
                  <c:v>76.53</c:v>
                </c:pt>
                <c:pt idx="233">
                  <c:v>76.91</c:v>
                </c:pt>
                <c:pt idx="234">
                  <c:v>77.08</c:v>
                </c:pt>
                <c:pt idx="235">
                  <c:v>77.239999999999995</c:v>
                </c:pt>
                <c:pt idx="236">
                  <c:v>77.099999999999994</c:v>
                </c:pt>
                <c:pt idx="237">
                  <c:v>77.69</c:v>
                </c:pt>
                <c:pt idx="238">
                  <c:v>77.900000000000006</c:v>
                </c:pt>
                <c:pt idx="239">
                  <c:v>77.33</c:v>
                </c:pt>
                <c:pt idx="240">
                  <c:v>76.400000000000006</c:v>
                </c:pt>
                <c:pt idx="241">
                  <c:v>77.56</c:v>
                </c:pt>
                <c:pt idx="242">
                  <c:v>78.209999999999994</c:v>
                </c:pt>
                <c:pt idx="243">
                  <c:v>77.69</c:v>
                </c:pt>
                <c:pt idx="244">
                  <c:v>77.95</c:v>
                </c:pt>
                <c:pt idx="245">
                  <c:v>77.400000000000006</c:v>
                </c:pt>
                <c:pt idx="246">
                  <c:v>77.040000000000006</c:v>
                </c:pt>
                <c:pt idx="247">
                  <c:v>76.53</c:v>
                </c:pt>
                <c:pt idx="248">
                  <c:v>77.64</c:v>
                </c:pt>
                <c:pt idx="249">
                  <c:v>78.819999999999993</c:v>
                </c:pt>
                <c:pt idx="250">
                  <c:v>78.489999999999995</c:v>
                </c:pt>
                <c:pt idx="251">
                  <c:v>78.25</c:v>
                </c:pt>
                <c:pt idx="252">
                  <c:v>77.64</c:v>
                </c:pt>
                <c:pt idx="253">
                  <c:v>78.010000000000005</c:v>
                </c:pt>
                <c:pt idx="254">
                  <c:v>78.34</c:v>
                </c:pt>
                <c:pt idx="255">
                  <c:v>77.92</c:v>
                </c:pt>
                <c:pt idx="256">
                  <c:v>77.94</c:v>
                </c:pt>
                <c:pt idx="257">
                  <c:v>77.58</c:v>
                </c:pt>
                <c:pt idx="258">
                  <c:v>77.819999999999993</c:v>
                </c:pt>
                <c:pt idx="259">
                  <c:v>77.84</c:v>
                </c:pt>
                <c:pt idx="260">
                  <c:v>78.3</c:v>
                </c:pt>
                <c:pt idx="261">
                  <c:v>78.97</c:v>
                </c:pt>
                <c:pt idx="262">
                  <c:v>81.14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F1-4EC5-A42A-CC83BCBF6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979167"/>
        <c:axId val="1059815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'0525'!$A$1</c15:sqref>
                        </c15:formulaRef>
                      </c:ext>
                    </c:extLst>
                    <c:strCache>
                      <c:ptCount val="1"/>
                      <c:pt idx="0">
                        <c:v>Time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'0525'!$A$2:$A$264</c15:sqref>
                        </c15:formulaRef>
                      </c:ext>
                    </c:extLst>
                    <c:numCache>
                      <c:formatCode>General</c:formatCode>
                      <c:ptCount val="263"/>
                      <c:pt idx="0">
                        <c:v>402</c:v>
                      </c:pt>
                      <c:pt idx="1">
                        <c:v>412</c:v>
                      </c:pt>
                      <c:pt idx="2">
                        <c:v>422</c:v>
                      </c:pt>
                      <c:pt idx="3">
                        <c:v>432</c:v>
                      </c:pt>
                      <c:pt idx="4">
                        <c:v>442</c:v>
                      </c:pt>
                      <c:pt idx="5">
                        <c:v>452</c:v>
                      </c:pt>
                      <c:pt idx="6">
                        <c:v>462</c:v>
                      </c:pt>
                      <c:pt idx="7">
                        <c:v>472</c:v>
                      </c:pt>
                      <c:pt idx="8">
                        <c:v>482</c:v>
                      </c:pt>
                      <c:pt idx="9">
                        <c:v>492</c:v>
                      </c:pt>
                      <c:pt idx="10">
                        <c:v>502</c:v>
                      </c:pt>
                      <c:pt idx="11">
                        <c:v>512</c:v>
                      </c:pt>
                      <c:pt idx="12">
                        <c:v>522</c:v>
                      </c:pt>
                      <c:pt idx="13">
                        <c:v>533</c:v>
                      </c:pt>
                      <c:pt idx="14">
                        <c:v>543</c:v>
                      </c:pt>
                      <c:pt idx="15">
                        <c:v>553</c:v>
                      </c:pt>
                      <c:pt idx="16">
                        <c:v>563</c:v>
                      </c:pt>
                      <c:pt idx="17">
                        <c:v>574</c:v>
                      </c:pt>
                      <c:pt idx="18">
                        <c:v>584</c:v>
                      </c:pt>
                      <c:pt idx="19">
                        <c:v>594</c:v>
                      </c:pt>
                      <c:pt idx="20">
                        <c:v>604</c:v>
                      </c:pt>
                      <c:pt idx="21">
                        <c:v>615</c:v>
                      </c:pt>
                      <c:pt idx="22">
                        <c:v>625</c:v>
                      </c:pt>
                      <c:pt idx="23">
                        <c:v>636</c:v>
                      </c:pt>
                      <c:pt idx="24">
                        <c:v>646</c:v>
                      </c:pt>
                      <c:pt idx="25">
                        <c:v>656</c:v>
                      </c:pt>
                      <c:pt idx="26">
                        <c:v>667</c:v>
                      </c:pt>
                      <c:pt idx="27">
                        <c:v>677</c:v>
                      </c:pt>
                      <c:pt idx="28">
                        <c:v>687</c:v>
                      </c:pt>
                      <c:pt idx="29">
                        <c:v>697</c:v>
                      </c:pt>
                      <c:pt idx="30">
                        <c:v>707</c:v>
                      </c:pt>
                      <c:pt idx="31">
                        <c:v>718</c:v>
                      </c:pt>
                      <c:pt idx="32">
                        <c:v>728</c:v>
                      </c:pt>
                      <c:pt idx="33">
                        <c:v>739</c:v>
                      </c:pt>
                      <c:pt idx="34">
                        <c:v>749</c:v>
                      </c:pt>
                      <c:pt idx="35">
                        <c:v>759</c:v>
                      </c:pt>
                      <c:pt idx="36">
                        <c:v>770</c:v>
                      </c:pt>
                      <c:pt idx="37">
                        <c:v>780</c:v>
                      </c:pt>
                      <c:pt idx="38">
                        <c:v>790</c:v>
                      </c:pt>
                      <c:pt idx="39">
                        <c:v>800</c:v>
                      </c:pt>
                      <c:pt idx="40">
                        <c:v>810</c:v>
                      </c:pt>
                      <c:pt idx="41">
                        <c:v>820</c:v>
                      </c:pt>
                      <c:pt idx="42">
                        <c:v>830</c:v>
                      </c:pt>
                      <c:pt idx="43">
                        <c:v>840</c:v>
                      </c:pt>
                      <c:pt idx="44">
                        <c:v>851</c:v>
                      </c:pt>
                      <c:pt idx="45">
                        <c:v>861</c:v>
                      </c:pt>
                      <c:pt idx="46">
                        <c:v>872</c:v>
                      </c:pt>
                      <c:pt idx="47">
                        <c:v>882</c:v>
                      </c:pt>
                      <c:pt idx="48">
                        <c:v>892</c:v>
                      </c:pt>
                      <c:pt idx="49">
                        <c:v>903</c:v>
                      </c:pt>
                      <c:pt idx="50">
                        <c:v>913</c:v>
                      </c:pt>
                      <c:pt idx="51">
                        <c:v>923</c:v>
                      </c:pt>
                      <c:pt idx="52">
                        <c:v>933</c:v>
                      </c:pt>
                      <c:pt idx="53">
                        <c:v>944</c:v>
                      </c:pt>
                      <c:pt idx="54">
                        <c:v>954</c:v>
                      </c:pt>
                      <c:pt idx="55">
                        <c:v>964</c:v>
                      </c:pt>
                      <c:pt idx="56">
                        <c:v>974</c:v>
                      </c:pt>
                      <c:pt idx="57">
                        <c:v>984</c:v>
                      </c:pt>
                      <c:pt idx="58">
                        <c:v>994</c:v>
                      </c:pt>
                      <c:pt idx="59">
                        <c:v>1004</c:v>
                      </c:pt>
                      <c:pt idx="60">
                        <c:v>1014</c:v>
                      </c:pt>
                      <c:pt idx="61">
                        <c:v>1024</c:v>
                      </c:pt>
                      <c:pt idx="62">
                        <c:v>1034</c:v>
                      </c:pt>
                      <c:pt idx="63">
                        <c:v>1045</c:v>
                      </c:pt>
                      <c:pt idx="64">
                        <c:v>1055</c:v>
                      </c:pt>
                      <c:pt idx="65">
                        <c:v>1065</c:v>
                      </c:pt>
                      <c:pt idx="66">
                        <c:v>1075</c:v>
                      </c:pt>
                      <c:pt idx="67">
                        <c:v>1086</c:v>
                      </c:pt>
                      <c:pt idx="68">
                        <c:v>1096</c:v>
                      </c:pt>
                      <c:pt idx="69">
                        <c:v>1106</c:v>
                      </c:pt>
                      <c:pt idx="70">
                        <c:v>1116</c:v>
                      </c:pt>
                      <c:pt idx="71">
                        <c:v>1126</c:v>
                      </c:pt>
                      <c:pt idx="72">
                        <c:v>1137</c:v>
                      </c:pt>
                      <c:pt idx="73">
                        <c:v>1147</c:v>
                      </c:pt>
                      <c:pt idx="74">
                        <c:v>1157</c:v>
                      </c:pt>
                      <c:pt idx="75">
                        <c:v>1167</c:v>
                      </c:pt>
                      <c:pt idx="76">
                        <c:v>1178</c:v>
                      </c:pt>
                      <c:pt idx="77">
                        <c:v>1188</c:v>
                      </c:pt>
                      <c:pt idx="78">
                        <c:v>1198</c:v>
                      </c:pt>
                      <c:pt idx="79">
                        <c:v>1208</c:v>
                      </c:pt>
                      <c:pt idx="80">
                        <c:v>1218</c:v>
                      </c:pt>
                      <c:pt idx="81">
                        <c:v>1228</c:v>
                      </c:pt>
                      <c:pt idx="82">
                        <c:v>1238</c:v>
                      </c:pt>
                      <c:pt idx="83">
                        <c:v>1249</c:v>
                      </c:pt>
                      <c:pt idx="84">
                        <c:v>1259</c:v>
                      </c:pt>
                      <c:pt idx="85">
                        <c:v>1269</c:v>
                      </c:pt>
                      <c:pt idx="86">
                        <c:v>1279</c:v>
                      </c:pt>
                      <c:pt idx="87">
                        <c:v>1289</c:v>
                      </c:pt>
                      <c:pt idx="88">
                        <c:v>1299</c:v>
                      </c:pt>
                      <c:pt idx="89">
                        <c:v>1309</c:v>
                      </c:pt>
                      <c:pt idx="90">
                        <c:v>1320</c:v>
                      </c:pt>
                      <c:pt idx="91">
                        <c:v>1330</c:v>
                      </c:pt>
                      <c:pt idx="92">
                        <c:v>1340</c:v>
                      </c:pt>
                      <c:pt idx="93">
                        <c:v>1350</c:v>
                      </c:pt>
                      <c:pt idx="94">
                        <c:v>1360</c:v>
                      </c:pt>
                      <c:pt idx="95">
                        <c:v>1371</c:v>
                      </c:pt>
                      <c:pt idx="96">
                        <c:v>1381</c:v>
                      </c:pt>
                      <c:pt idx="97">
                        <c:v>1391</c:v>
                      </c:pt>
                      <c:pt idx="98">
                        <c:v>1401</c:v>
                      </c:pt>
                      <c:pt idx="99">
                        <c:v>1411</c:v>
                      </c:pt>
                      <c:pt idx="100">
                        <c:v>1422</c:v>
                      </c:pt>
                      <c:pt idx="101">
                        <c:v>1432</c:v>
                      </c:pt>
                      <c:pt idx="102">
                        <c:v>1442</c:v>
                      </c:pt>
                      <c:pt idx="103">
                        <c:v>1452</c:v>
                      </c:pt>
                      <c:pt idx="104">
                        <c:v>1462</c:v>
                      </c:pt>
                      <c:pt idx="105">
                        <c:v>1472</c:v>
                      </c:pt>
                      <c:pt idx="106">
                        <c:v>1483</c:v>
                      </c:pt>
                      <c:pt idx="107">
                        <c:v>1493</c:v>
                      </c:pt>
                      <c:pt idx="108">
                        <c:v>1503</c:v>
                      </c:pt>
                      <c:pt idx="109">
                        <c:v>1513</c:v>
                      </c:pt>
                      <c:pt idx="110">
                        <c:v>1524</c:v>
                      </c:pt>
                      <c:pt idx="111">
                        <c:v>1534</c:v>
                      </c:pt>
                      <c:pt idx="112">
                        <c:v>1544</c:v>
                      </c:pt>
                      <c:pt idx="113">
                        <c:v>1554</c:v>
                      </c:pt>
                      <c:pt idx="114">
                        <c:v>1564</c:v>
                      </c:pt>
                      <c:pt idx="115">
                        <c:v>1575</c:v>
                      </c:pt>
                      <c:pt idx="116">
                        <c:v>1586</c:v>
                      </c:pt>
                      <c:pt idx="117">
                        <c:v>1596</c:v>
                      </c:pt>
                      <c:pt idx="118">
                        <c:v>1606</c:v>
                      </c:pt>
                      <c:pt idx="119">
                        <c:v>1616</c:v>
                      </c:pt>
                      <c:pt idx="120">
                        <c:v>1626</c:v>
                      </c:pt>
                      <c:pt idx="121">
                        <c:v>1637</c:v>
                      </c:pt>
                      <c:pt idx="122">
                        <c:v>1647</c:v>
                      </c:pt>
                      <c:pt idx="123">
                        <c:v>1657</c:v>
                      </c:pt>
                      <c:pt idx="124">
                        <c:v>1669</c:v>
                      </c:pt>
                      <c:pt idx="125">
                        <c:v>1679</c:v>
                      </c:pt>
                      <c:pt idx="126">
                        <c:v>1689</c:v>
                      </c:pt>
                      <c:pt idx="127">
                        <c:v>1699</c:v>
                      </c:pt>
                      <c:pt idx="128">
                        <c:v>1710</c:v>
                      </c:pt>
                      <c:pt idx="129">
                        <c:v>1720</c:v>
                      </c:pt>
                      <c:pt idx="130">
                        <c:v>1730</c:v>
                      </c:pt>
                      <c:pt idx="131">
                        <c:v>1741</c:v>
                      </c:pt>
                      <c:pt idx="132">
                        <c:v>1751</c:v>
                      </c:pt>
                      <c:pt idx="133">
                        <c:v>1761</c:v>
                      </c:pt>
                      <c:pt idx="134">
                        <c:v>1771</c:v>
                      </c:pt>
                      <c:pt idx="135">
                        <c:v>1781</c:v>
                      </c:pt>
                      <c:pt idx="136">
                        <c:v>1792</c:v>
                      </c:pt>
                      <c:pt idx="137">
                        <c:v>1802</c:v>
                      </c:pt>
                      <c:pt idx="138">
                        <c:v>1813</c:v>
                      </c:pt>
                      <c:pt idx="139">
                        <c:v>1823</c:v>
                      </c:pt>
                      <c:pt idx="140">
                        <c:v>1833</c:v>
                      </c:pt>
                      <c:pt idx="141">
                        <c:v>1843</c:v>
                      </c:pt>
                      <c:pt idx="142">
                        <c:v>1853</c:v>
                      </c:pt>
                      <c:pt idx="143">
                        <c:v>1864</c:v>
                      </c:pt>
                      <c:pt idx="144">
                        <c:v>1874</c:v>
                      </c:pt>
                      <c:pt idx="145">
                        <c:v>1884</c:v>
                      </c:pt>
                      <c:pt idx="146">
                        <c:v>1895</c:v>
                      </c:pt>
                      <c:pt idx="147">
                        <c:v>1905</c:v>
                      </c:pt>
                      <c:pt idx="148">
                        <c:v>1915</c:v>
                      </c:pt>
                      <c:pt idx="149">
                        <c:v>1925</c:v>
                      </c:pt>
                      <c:pt idx="150">
                        <c:v>1936</c:v>
                      </c:pt>
                      <c:pt idx="151">
                        <c:v>1947</c:v>
                      </c:pt>
                      <c:pt idx="152">
                        <c:v>1958</c:v>
                      </c:pt>
                      <c:pt idx="153">
                        <c:v>1968</c:v>
                      </c:pt>
                      <c:pt idx="154">
                        <c:v>1979</c:v>
                      </c:pt>
                      <c:pt idx="155">
                        <c:v>1989</c:v>
                      </c:pt>
                      <c:pt idx="156">
                        <c:v>1999</c:v>
                      </c:pt>
                      <c:pt idx="157">
                        <c:v>2010</c:v>
                      </c:pt>
                      <c:pt idx="158">
                        <c:v>2020</c:v>
                      </c:pt>
                      <c:pt idx="159">
                        <c:v>2031</c:v>
                      </c:pt>
                      <c:pt idx="160">
                        <c:v>2041</c:v>
                      </c:pt>
                      <c:pt idx="161">
                        <c:v>2052</c:v>
                      </c:pt>
                      <c:pt idx="162">
                        <c:v>2062</c:v>
                      </c:pt>
                      <c:pt idx="163">
                        <c:v>2073</c:v>
                      </c:pt>
                      <c:pt idx="164">
                        <c:v>2083</c:v>
                      </c:pt>
                      <c:pt idx="165">
                        <c:v>2093</c:v>
                      </c:pt>
                      <c:pt idx="166">
                        <c:v>2104</c:v>
                      </c:pt>
                      <c:pt idx="167">
                        <c:v>2115</c:v>
                      </c:pt>
                      <c:pt idx="168">
                        <c:v>2125</c:v>
                      </c:pt>
                      <c:pt idx="169">
                        <c:v>2135</c:v>
                      </c:pt>
                      <c:pt idx="170">
                        <c:v>2145</c:v>
                      </c:pt>
                      <c:pt idx="171">
                        <c:v>2156</c:v>
                      </c:pt>
                      <c:pt idx="172">
                        <c:v>2166</c:v>
                      </c:pt>
                      <c:pt idx="173">
                        <c:v>2176</c:v>
                      </c:pt>
                      <c:pt idx="174">
                        <c:v>2186</c:v>
                      </c:pt>
                      <c:pt idx="175">
                        <c:v>2196</c:v>
                      </c:pt>
                      <c:pt idx="176">
                        <c:v>2207</c:v>
                      </c:pt>
                      <c:pt idx="177">
                        <c:v>2217</c:v>
                      </c:pt>
                      <c:pt idx="178">
                        <c:v>2227</c:v>
                      </c:pt>
                      <c:pt idx="179">
                        <c:v>2237</c:v>
                      </c:pt>
                      <c:pt idx="180">
                        <c:v>2247</c:v>
                      </c:pt>
                      <c:pt idx="181">
                        <c:v>2258</c:v>
                      </c:pt>
                      <c:pt idx="182">
                        <c:v>2268</c:v>
                      </c:pt>
                      <c:pt idx="183">
                        <c:v>2278</c:v>
                      </c:pt>
                      <c:pt idx="184">
                        <c:v>2289</c:v>
                      </c:pt>
                      <c:pt idx="185">
                        <c:v>2299</c:v>
                      </c:pt>
                      <c:pt idx="186">
                        <c:v>2309</c:v>
                      </c:pt>
                      <c:pt idx="187">
                        <c:v>2320</c:v>
                      </c:pt>
                      <c:pt idx="188">
                        <c:v>2330</c:v>
                      </c:pt>
                      <c:pt idx="189">
                        <c:v>2340</c:v>
                      </c:pt>
                      <c:pt idx="190">
                        <c:v>2351</c:v>
                      </c:pt>
                      <c:pt idx="191">
                        <c:v>2361</c:v>
                      </c:pt>
                      <c:pt idx="192">
                        <c:v>2371</c:v>
                      </c:pt>
                      <c:pt idx="193">
                        <c:v>2381</c:v>
                      </c:pt>
                      <c:pt idx="194">
                        <c:v>2392</c:v>
                      </c:pt>
                      <c:pt idx="195">
                        <c:v>2402</c:v>
                      </c:pt>
                      <c:pt idx="196">
                        <c:v>2412</c:v>
                      </c:pt>
                      <c:pt idx="197">
                        <c:v>2422</c:v>
                      </c:pt>
                      <c:pt idx="198">
                        <c:v>2433</c:v>
                      </c:pt>
                      <c:pt idx="199">
                        <c:v>2443</c:v>
                      </c:pt>
                      <c:pt idx="200">
                        <c:v>2453</c:v>
                      </c:pt>
                      <c:pt idx="201">
                        <c:v>2464</c:v>
                      </c:pt>
                      <c:pt idx="202">
                        <c:v>2474</c:v>
                      </c:pt>
                      <c:pt idx="203">
                        <c:v>2484</c:v>
                      </c:pt>
                      <c:pt idx="204">
                        <c:v>2494</c:v>
                      </c:pt>
                      <c:pt idx="205">
                        <c:v>2504</c:v>
                      </c:pt>
                      <c:pt idx="206">
                        <c:v>2515</c:v>
                      </c:pt>
                      <c:pt idx="207">
                        <c:v>2525</c:v>
                      </c:pt>
                      <c:pt idx="208">
                        <c:v>2535</c:v>
                      </c:pt>
                      <c:pt idx="209">
                        <c:v>2545</c:v>
                      </c:pt>
                      <c:pt idx="210">
                        <c:v>2555</c:v>
                      </c:pt>
                      <c:pt idx="211">
                        <c:v>2565</c:v>
                      </c:pt>
                      <c:pt idx="212">
                        <c:v>2576</c:v>
                      </c:pt>
                      <c:pt idx="213">
                        <c:v>2586</c:v>
                      </c:pt>
                      <c:pt idx="214">
                        <c:v>2596</c:v>
                      </c:pt>
                      <c:pt idx="215">
                        <c:v>2606</c:v>
                      </c:pt>
                      <c:pt idx="216">
                        <c:v>2616</c:v>
                      </c:pt>
                      <c:pt idx="217">
                        <c:v>2626</c:v>
                      </c:pt>
                      <c:pt idx="218">
                        <c:v>2637</c:v>
                      </c:pt>
                      <c:pt idx="219">
                        <c:v>2647</c:v>
                      </c:pt>
                      <c:pt idx="220">
                        <c:v>2658</c:v>
                      </c:pt>
                      <c:pt idx="221">
                        <c:v>2668</c:v>
                      </c:pt>
                      <c:pt idx="222">
                        <c:v>2678</c:v>
                      </c:pt>
                      <c:pt idx="223">
                        <c:v>2688</c:v>
                      </c:pt>
                      <c:pt idx="224">
                        <c:v>2698</c:v>
                      </c:pt>
                      <c:pt idx="225">
                        <c:v>2709</c:v>
                      </c:pt>
                      <c:pt idx="226">
                        <c:v>2719</c:v>
                      </c:pt>
                      <c:pt idx="227">
                        <c:v>2729</c:v>
                      </c:pt>
                      <c:pt idx="228">
                        <c:v>2739</c:v>
                      </c:pt>
                      <c:pt idx="229">
                        <c:v>2749</c:v>
                      </c:pt>
                      <c:pt idx="230">
                        <c:v>2760</c:v>
                      </c:pt>
                      <c:pt idx="231">
                        <c:v>2770</c:v>
                      </c:pt>
                      <c:pt idx="232">
                        <c:v>2780</c:v>
                      </c:pt>
                      <c:pt idx="233">
                        <c:v>2790</c:v>
                      </c:pt>
                      <c:pt idx="234">
                        <c:v>2801</c:v>
                      </c:pt>
                      <c:pt idx="235">
                        <c:v>2811</c:v>
                      </c:pt>
                      <c:pt idx="236">
                        <c:v>2821</c:v>
                      </c:pt>
                      <c:pt idx="237">
                        <c:v>2831</c:v>
                      </c:pt>
                      <c:pt idx="238">
                        <c:v>2842</c:v>
                      </c:pt>
                      <c:pt idx="239">
                        <c:v>2852</c:v>
                      </c:pt>
                      <c:pt idx="240">
                        <c:v>2862</c:v>
                      </c:pt>
                      <c:pt idx="241">
                        <c:v>2873</c:v>
                      </c:pt>
                      <c:pt idx="242">
                        <c:v>2883</c:v>
                      </c:pt>
                      <c:pt idx="243">
                        <c:v>2894</c:v>
                      </c:pt>
                      <c:pt idx="244">
                        <c:v>2904</c:v>
                      </c:pt>
                      <c:pt idx="245">
                        <c:v>2914</c:v>
                      </c:pt>
                      <c:pt idx="246">
                        <c:v>2924</c:v>
                      </c:pt>
                      <c:pt idx="247">
                        <c:v>2934</c:v>
                      </c:pt>
                      <c:pt idx="248">
                        <c:v>2944</c:v>
                      </c:pt>
                      <c:pt idx="249">
                        <c:v>2955</c:v>
                      </c:pt>
                      <c:pt idx="250">
                        <c:v>2965</c:v>
                      </c:pt>
                      <c:pt idx="251">
                        <c:v>2975</c:v>
                      </c:pt>
                      <c:pt idx="252">
                        <c:v>2986</c:v>
                      </c:pt>
                      <c:pt idx="253">
                        <c:v>2996</c:v>
                      </c:pt>
                      <c:pt idx="254">
                        <c:v>3006</c:v>
                      </c:pt>
                      <c:pt idx="255">
                        <c:v>3016</c:v>
                      </c:pt>
                      <c:pt idx="256">
                        <c:v>3026</c:v>
                      </c:pt>
                      <c:pt idx="257">
                        <c:v>3036</c:v>
                      </c:pt>
                      <c:pt idx="258">
                        <c:v>3046</c:v>
                      </c:pt>
                      <c:pt idx="259">
                        <c:v>3056</c:v>
                      </c:pt>
                      <c:pt idx="260">
                        <c:v>3067</c:v>
                      </c:pt>
                      <c:pt idx="261">
                        <c:v>3077</c:v>
                      </c:pt>
                      <c:pt idx="262">
                        <c:v>3087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1F1-4EC5-A42A-CC83BCBF68E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F1-4EC5-A42A-CC83BCBF68E2}"/>
                  </c:ext>
                </c:extLst>
              </c15:ser>
            </c15:filteredLineSeries>
          </c:ext>
        </c:extLst>
      </c:lineChart>
      <c:catAx>
        <c:axId val="10597916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wordArtVert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81567"/>
        <c:crosses val="autoZero"/>
        <c:auto val="0"/>
        <c:lblAlgn val="ctr"/>
        <c:lblOffset val="100"/>
        <c:noMultiLvlLbl val="0"/>
      </c:catAx>
      <c:valAx>
        <c:axId val="105981567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79167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'---'!$B$2:$B$157</c:f>
              <c:numCache>
                <c:formatCode>0</c:formatCode>
                <c:ptCount val="156"/>
                <c:pt idx="0">
                  <c:v>-0.31666666666666998</c:v>
                </c:pt>
                <c:pt idx="1">
                  <c:v>-0.14999999999999858</c:v>
                </c:pt>
                <c:pt idx="2">
                  <c:v>1.6666666666665719E-2</c:v>
                </c:pt>
                <c:pt idx="3">
                  <c:v>0.18333333333333002</c:v>
                </c:pt>
                <c:pt idx="4">
                  <c:v>0.35000000000000142</c:v>
                </c:pt>
                <c:pt idx="5">
                  <c:v>0.51666666666666572</c:v>
                </c:pt>
                <c:pt idx="6">
                  <c:v>0.68333333333333002</c:v>
                </c:pt>
                <c:pt idx="7">
                  <c:v>0.86666666666666714</c:v>
                </c:pt>
                <c:pt idx="8">
                  <c:v>1.0333333333333314</c:v>
                </c:pt>
                <c:pt idx="9">
                  <c:v>1.2000000000000028</c:v>
                </c:pt>
                <c:pt idx="10">
                  <c:v>1.3666666666666671</c:v>
                </c:pt>
                <c:pt idx="11">
                  <c:v>1.5333333333333314</c:v>
                </c:pt>
                <c:pt idx="12">
                  <c:v>1.7000000000000028</c:v>
                </c:pt>
                <c:pt idx="13">
                  <c:v>1.8666666666666671</c:v>
                </c:pt>
                <c:pt idx="14">
                  <c:v>2.0333333333333314</c:v>
                </c:pt>
                <c:pt idx="15">
                  <c:v>2.2000000000000028</c:v>
                </c:pt>
                <c:pt idx="16">
                  <c:v>2.3666666666666671</c:v>
                </c:pt>
                <c:pt idx="17">
                  <c:v>2.5333333333333314</c:v>
                </c:pt>
                <c:pt idx="18">
                  <c:v>2.7000000000000028</c:v>
                </c:pt>
                <c:pt idx="19">
                  <c:v>2.8666666666666671</c:v>
                </c:pt>
                <c:pt idx="20">
                  <c:v>3.0333333333333314</c:v>
                </c:pt>
                <c:pt idx="21">
                  <c:v>3.2000000000000028</c:v>
                </c:pt>
                <c:pt idx="22">
                  <c:v>3.3666666666666671</c:v>
                </c:pt>
                <c:pt idx="23">
                  <c:v>3.5333333333333314</c:v>
                </c:pt>
                <c:pt idx="24">
                  <c:v>3.7000000000000028</c:v>
                </c:pt>
                <c:pt idx="25">
                  <c:v>3.8666666666666671</c:v>
                </c:pt>
                <c:pt idx="26">
                  <c:v>4.0333333333333314</c:v>
                </c:pt>
                <c:pt idx="27">
                  <c:v>4.2000000000000028</c:v>
                </c:pt>
                <c:pt idx="28">
                  <c:v>4.3666666666666671</c:v>
                </c:pt>
                <c:pt idx="29">
                  <c:v>4.5333333333333314</c:v>
                </c:pt>
                <c:pt idx="30">
                  <c:v>4.7000000000000028</c:v>
                </c:pt>
                <c:pt idx="31">
                  <c:v>4.8666666666666671</c:v>
                </c:pt>
                <c:pt idx="32">
                  <c:v>5.0333333333333314</c:v>
                </c:pt>
                <c:pt idx="33">
                  <c:v>5.2000000000000028</c:v>
                </c:pt>
                <c:pt idx="34">
                  <c:v>5.3666666666666671</c:v>
                </c:pt>
                <c:pt idx="35">
                  <c:v>5.5333333333333314</c:v>
                </c:pt>
                <c:pt idx="36">
                  <c:v>5.7000000000000028</c:v>
                </c:pt>
                <c:pt idx="37">
                  <c:v>5.8666666666666671</c:v>
                </c:pt>
                <c:pt idx="38">
                  <c:v>6.0333333333333314</c:v>
                </c:pt>
                <c:pt idx="39">
                  <c:v>6.2000000000000028</c:v>
                </c:pt>
                <c:pt idx="40">
                  <c:v>6.3666666666666671</c:v>
                </c:pt>
                <c:pt idx="41">
                  <c:v>6.5333333333333314</c:v>
                </c:pt>
                <c:pt idx="42">
                  <c:v>6.7000000000000028</c:v>
                </c:pt>
                <c:pt idx="43">
                  <c:v>6.8666666666666671</c:v>
                </c:pt>
                <c:pt idx="44">
                  <c:v>7.0333333333333314</c:v>
                </c:pt>
                <c:pt idx="45">
                  <c:v>7.2000000000000028</c:v>
                </c:pt>
                <c:pt idx="46">
                  <c:v>7.3666666666666671</c:v>
                </c:pt>
                <c:pt idx="47">
                  <c:v>7.5333333333333314</c:v>
                </c:pt>
                <c:pt idx="48">
                  <c:v>7.7000000000000028</c:v>
                </c:pt>
                <c:pt idx="49">
                  <c:v>7.8666666666666671</c:v>
                </c:pt>
                <c:pt idx="50">
                  <c:v>8.0333333333333314</c:v>
                </c:pt>
                <c:pt idx="51">
                  <c:v>8.2000000000000028</c:v>
                </c:pt>
                <c:pt idx="52">
                  <c:v>8.3666666666666671</c:v>
                </c:pt>
                <c:pt idx="53">
                  <c:v>8.5499999999999972</c:v>
                </c:pt>
                <c:pt idx="54">
                  <c:v>8.7166666666666686</c:v>
                </c:pt>
                <c:pt idx="55">
                  <c:v>8.8833333333333329</c:v>
                </c:pt>
                <c:pt idx="56">
                  <c:v>9.0499999999999972</c:v>
                </c:pt>
                <c:pt idx="57">
                  <c:v>9.2166666666666686</c:v>
                </c:pt>
                <c:pt idx="58">
                  <c:v>9.3833333333333329</c:v>
                </c:pt>
                <c:pt idx="59">
                  <c:v>9.5499999999999972</c:v>
                </c:pt>
                <c:pt idx="60">
                  <c:v>9.7166666666666686</c:v>
                </c:pt>
                <c:pt idx="61">
                  <c:v>9.8833333333333329</c:v>
                </c:pt>
                <c:pt idx="62">
                  <c:v>10.049999999999997</c:v>
                </c:pt>
                <c:pt idx="63">
                  <c:v>10.216666666666669</c:v>
                </c:pt>
                <c:pt idx="64">
                  <c:v>10.383333333333333</c:v>
                </c:pt>
                <c:pt idx="65">
                  <c:v>10.549999999999997</c:v>
                </c:pt>
                <c:pt idx="66">
                  <c:v>10.716666666666669</c:v>
                </c:pt>
                <c:pt idx="67">
                  <c:v>10.883333333333333</c:v>
                </c:pt>
                <c:pt idx="68">
                  <c:v>11.049999999999997</c:v>
                </c:pt>
                <c:pt idx="69">
                  <c:v>11.216666666666669</c:v>
                </c:pt>
                <c:pt idx="70">
                  <c:v>11.383333333333333</c:v>
                </c:pt>
                <c:pt idx="71">
                  <c:v>11.549999999999997</c:v>
                </c:pt>
                <c:pt idx="72">
                  <c:v>11.716666666666669</c:v>
                </c:pt>
                <c:pt idx="73">
                  <c:v>11.883333333333333</c:v>
                </c:pt>
                <c:pt idx="74">
                  <c:v>12.049999999999997</c:v>
                </c:pt>
                <c:pt idx="75">
                  <c:v>12.216666666666669</c:v>
                </c:pt>
                <c:pt idx="76">
                  <c:v>12.383333333333333</c:v>
                </c:pt>
                <c:pt idx="77">
                  <c:v>12.549999999999997</c:v>
                </c:pt>
                <c:pt idx="78">
                  <c:v>12.716666666666669</c:v>
                </c:pt>
                <c:pt idx="79">
                  <c:v>12.883333333333333</c:v>
                </c:pt>
                <c:pt idx="80">
                  <c:v>13.049999999999997</c:v>
                </c:pt>
                <c:pt idx="81">
                  <c:v>13.216666666666669</c:v>
                </c:pt>
                <c:pt idx="82">
                  <c:v>13.383333333333333</c:v>
                </c:pt>
                <c:pt idx="83">
                  <c:v>13.549999999999997</c:v>
                </c:pt>
                <c:pt idx="84">
                  <c:v>13.716666666666669</c:v>
                </c:pt>
                <c:pt idx="85">
                  <c:v>13.883333333333333</c:v>
                </c:pt>
                <c:pt idx="86">
                  <c:v>14.049999999999997</c:v>
                </c:pt>
                <c:pt idx="87">
                  <c:v>14.216666666666669</c:v>
                </c:pt>
                <c:pt idx="88">
                  <c:v>14.383333333333333</c:v>
                </c:pt>
                <c:pt idx="89">
                  <c:v>14.549999999999997</c:v>
                </c:pt>
                <c:pt idx="90">
                  <c:v>14.716666666666669</c:v>
                </c:pt>
                <c:pt idx="91">
                  <c:v>14.883333333333333</c:v>
                </c:pt>
                <c:pt idx="92">
                  <c:v>15.049999999999997</c:v>
                </c:pt>
                <c:pt idx="93">
                  <c:v>15.216666666666669</c:v>
                </c:pt>
                <c:pt idx="94">
                  <c:v>15.383333333333333</c:v>
                </c:pt>
                <c:pt idx="95">
                  <c:v>15.549999999999997</c:v>
                </c:pt>
                <c:pt idx="96">
                  <c:v>15.716666666666669</c:v>
                </c:pt>
                <c:pt idx="97">
                  <c:v>15.883333333333333</c:v>
                </c:pt>
                <c:pt idx="98">
                  <c:v>16.049999999999997</c:v>
                </c:pt>
                <c:pt idx="99">
                  <c:v>16.216666666666669</c:v>
                </c:pt>
                <c:pt idx="100">
                  <c:v>16.383333333333333</c:v>
                </c:pt>
                <c:pt idx="101">
                  <c:v>16.56666666666667</c:v>
                </c:pt>
                <c:pt idx="102">
                  <c:v>16.733333333333334</c:v>
                </c:pt>
                <c:pt idx="103">
                  <c:v>16.899999999999999</c:v>
                </c:pt>
                <c:pt idx="104">
                  <c:v>17.06666666666667</c:v>
                </c:pt>
                <c:pt idx="105">
                  <c:v>17.233333333333334</c:v>
                </c:pt>
                <c:pt idx="106">
                  <c:v>17.399999999999999</c:v>
                </c:pt>
                <c:pt idx="107">
                  <c:v>17.56666666666667</c:v>
                </c:pt>
                <c:pt idx="108">
                  <c:v>17.733333333333334</c:v>
                </c:pt>
                <c:pt idx="109">
                  <c:v>17.899999999999999</c:v>
                </c:pt>
                <c:pt idx="110">
                  <c:v>18.06666666666667</c:v>
                </c:pt>
                <c:pt idx="111">
                  <c:v>18.233333333333334</c:v>
                </c:pt>
                <c:pt idx="112">
                  <c:v>18.399999999999999</c:v>
                </c:pt>
                <c:pt idx="113">
                  <c:v>18.56666666666667</c:v>
                </c:pt>
                <c:pt idx="114">
                  <c:v>18.733333333333334</c:v>
                </c:pt>
                <c:pt idx="115">
                  <c:v>18.899999999999999</c:v>
                </c:pt>
                <c:pt idx="116">
                  <c:v>19.06666666666667</c:v>
                </c:pt>
                <c:pt idx="117">
                  <c:v>19.233333333333334</c:v>
                </c:pt>
                <c:pt idx="118">
                  <c:v>19.399999999999999</c:v>
                </c:pt>
                <c:pt idx="119">
                  <c:v>19.56666666666667</c:v>
                </c:pt>
                <c:pt idx="120">
                  <c:v>19.733333333333334</c:v>
                </c:pt>
                <c:pt idx="121">
                  <c:v>19.899999999999999</c:v>
                </c:pt>
                <c:pt idx="122">
                  <c:v>20.06666666666667</c:v>
                </c:pt>
                <c:pt idx="123">
                  <c:v>20.233333333333334</c:v>
                </c:pt>
                <c:pt idx="124">
                  <c:v>20.399999999999999</c:v>
                </c:pt>
                <c:pt idx="125">
                  <c:v>20.56666666666667</c:v>
                </c:pt>
                <c:pt idx="126">
                  <c:v>20.733333333333334</c:v>
                </c:pt>
                <c:pt idx="127">
                  <c:v>20.9</c:v>
                </c:pt>
                <c:pt idx="128">
                  <c:v>21.066666666666663</c:v>
                </c:pt>
                <c:pt idx="129">
                  <c:v>21.233333333333334</c:v>
                </c:pt>
                <c:pt idx="130">
                  <c:v>21.400000000000006</c:v>
                </c:pt>
                <c:pt idx="131">
                  <c:v>21.566666666666663</c:v>
                </c:pt>
                <c:pt idx="132">
                  <c:v>21.733333333333334</c:v>
                </c:pt>
                <c:pt idx="133">
                  <c:v>21.900000000000006</c:v>
                </c:pt>
                <c:pt idx="134">
                  <c:v>22.066666666666663</c:v>
                </c:pt>
                <c:pt idx="135">
                  <c:v>22.233333333333334</c:v>
                </c:pt>
                <c:pt idx="136">
                  <c:v>22.416666666666671</c:v>
                </c:pt>
                <c:pt idx="137">
                  <c:v>22.583333333333329</c:v>
                </c:pt>
                <c:pt idx="138">
                  <c:v>22.75</c:v>
                </c:pt>
                <c:pt idx="139">
                  <c:v>22.916666666666671</c:v>
                </c:pt>
                <c:pt idx="140">
                  <c:v>23.083333333333329</c:v>
                </c:pt>
                <c:pt idx="141">
                  <c:v>23.25</c:v>
                </c:pt>
                <c:pt idx="142">
                  <c:v>23.416666666666671</c:v>
                </c:pt>
                <c:pt idx="143">
                  <c:v>23.583333333333329</c:v>
                </c:pt>
                <c:pt idx="144">
                  <c:v>23.75</c:v>
                </c:pt>
                <c:pt idx="145">
                  <c:v>23.916666666666671</c:v>
                </c:pt>
                <c:pt idx="146">
                  <c:v>24.083333333333329</c:v>
                </c:pt>
                <c:pt idx="147">
                  <c:v>24.25</c:v>
                </c:pt>
                <c:pt idx="148">
                  <c:v>24.416666666666671</c:v>
                </c:pt>
                <c:pt idx="149">
                  <c:v>24.583333333333329</c:v>
                </c:pt>
                <c:pt idx="150">
                  <c:v>24.75</c:v>
                </c:pt>
                <c:pt idx="151">
                  <c:v>24.916666666666671</c:v>
                </c:pt>
                <c:pt idx="152">
                  <c:v>25.083333333333329</c:v>
                </c:pt>
                <c:pt idx="153">
                  <c:v>25.25</c:v>
                </c:pt>
                <c:pt idx="154">
                  <c:v>25.416666666666671</c:v>
                </c:pt>
                <c:pt idx="155">
                  <c:v>25.583333333333329</c:v>
                </c:pt>
              </c:numCache>
            </c:numRef>
          </c:cat>
          <c:val>
            <c:numRef>
              <c:f>'---'!$C$2:$C$157</c:f>
              <c:numCache>
                <c:formatCode>General</c:formatCode>
                <c:ptCount val="156"/>
                <c:pt idx="0">
                  <c:v>24.1</c:v>
                </c:pt>
                <c:pt idx="1">
                  <c:v>24.88</c:v>
                </c:pt>
                <c:pt idx="2">
                  <c:v>27.2</c:v>
                </c:pt>
                <c:pt idx="3">
                  <c:v>28.73</c:v>
                </c:pt>
                <c:pt idx="4">
                  <c:v>30.44</c:v>
                </c:pt>
                <c:pt idx="5">
                  <c:v>31.65</c:v>
                </c:pt>
                <c:pt idx="6">
                  <c:v>33.44</c:v>
                </c:pt>
                <c:pt idx="7">
                  <c:v>34.18</c:v>
                </c:pt>
                <c:pt idx="8">
                  <c:v>34.82</c:v>
                </c:pt>
                <c:pt idx="9">
                  <c:v>34.11</c:v>
                </c:pt>
                <c:pt idx="10">
                  <c:v>33.32</c:v>
                </c:pt>
                <c:pt idx="11">
                  <c:v>33.53</c:v>
                </c:pt>
                <c:pt idx="12">
                  <c:v>34.25</c:v>
                </c:pt>
                <c:pt idx="13">
                  <c:v>34.28</c:v>
                </c:pt>
                <c:pt idx="14">
                  <c:v>35.14</c:v>
                </c:pt>
                <c:pt idx="15">
                  <c:v>35.549999999999997</c:v>
                </c:pt>
                <c:pt idx="16">
                  <c:v>36.9</c:v>
                </c:pt>
                <c:pt idx="17">
                  <c:v>38.130000000000003</c:v>
                </c:pt>
                <c:pt idx="18">
                  <c:v>37.72</c:v>
                </c:pt>
                <c:pt idx="19">
                  <c:v>37.83</c:v>
                </c:pt>
                <c:pt idx="20">
                  <c:v>37.090000000000003</c:v>
                </c:pt>
                <c:pt idx="21">
                  <c:v>37.979999999999997</c:v>
                </c:pt>
                <c:pt idx="22">
                  <c:v>38.229999999999997</c:v>
                </c:pt>
                <c:pt idx="23">
                  <c:v>40.090000000000003</c:v>
                </c:pt>
                <c:pt idx="24">
                  <c:v>40.19</c:v>
                </c:pt>
                <c:pt idx="25">
                  <c:v>40.24</c:v>
                </c:pt>
                <c:pt idx="26">
                  <c:v>42.65</c:v>
                </c:pt>
                <c:pt idx="27">
                  <c:v>43.54</c:v>
                </c:pt>
                <c:pt idx="28">
                  <c:v>42.8</c:v>
                </c:pt>
                <c:pt idx="29">
                  <c:v>42.88</c:v>
                </c:pt>
                <c:pt idx="30">
                  <c:v>43.81</c:v>
                </c:pt>
                <c:pt idx="31">
                  <c:v>43.52</c:v>
                </c:pt>
                <c:pt idx="32">
                  <c:v>43.7</c:v>
                </c:pt>
                <c:pt idx="33">
                  <c:v>43.21</c:v>
                </c:pt>
                <c:pt idx="34">
                  <c:v>41.56</c:v>
                </c:pt>
                <c:pt idx="35">
                  <c:v>40.15</c:v>
                </c:pt>
                <c:pt idx="36">
                  <c:v>40.65</c:v>
                </c:pt>
                <c:pt idx="37">
                  <c:v>41.81</c:v>
                </c:pt>
                <c:pt idx="38">
                  <c:v>42.1</c:v>
                </c:pt>
                <c:pt idx="39">
                  <c:v>42.44</c:v>
                </c:pt>
                <c:pt idx="40">
                  <c:v>43.65</c:v>
                </c:pt>
                <c:pt idx="41">
                  <c:v>43.75</c:v>
                </c:pt>
                <c:pt idx="42">
                  <c:v>45.61</c:v>
                </c:pt>
                <c:pt idx="43">
                  <c:v>44.45</c:v>
                </c:pt>
                <c:pt idx="44">
                  <c:v>45.35</c:v>
                </c:pt>
                <c:pt idx="45">
                  <c:v>46.34</c:v>
                </c:pt>
                <c:pt idx="46">
                  <c:v>46.93</c:v>
                </c:pt>
                <c:pt idx="47">
                  <c:v>47.7</c:v>
                </c:pt>
                <c:pt idx="48">
                  <c:v>47.4</c:v>
                </c:pt>
                <c:pt idx="49">
                  <c:v>46.9</c:v>
                </c:pt>
                <c:pt idx="50">
                  <c:v>46.63</c:v>
                </c:pt>
                <c:pt idx="51">
                  <c:v>46.95</c:v>
                </c:pt>
                <c:pt idx="52">
                  <c:v>47.37</c:v>
                </c:pt>
                <c:pt idx="53">
                  <c:v>47.06</c:v>
                </c:pt>
                <c:pt idx="54">
                  <c:v>47.31</c:v>
                </c:pt>
                <c:pt idx="55">
                  <c:v>48.11</c:v>
                </c:pt>
                <c:pt idx="56">
                  <c:v>47.25</c:v>
                </c:pt>
                <c:pt idx="57">
                  <c:v>47.39</c:v>
                </c:pt>
                <c:pt idx="58">
                  <c:v>48.61</c:v>
                </c:pt>
                <c:pt idx="59">
                  <c:v>50.73</c:v>
                </c:pt>
                <c:pt idx="60">
                  <c:v>50.87</c:v>
                </c:pt>
                <c:pt idx="61">
                  <c:v>49.26</c:v>
                </c:pt>
                <c:pt idx="62">
                  <c:v>47.2</c:v>
                </c:pt>
                <c:pt idx="63">
                  <c:v>48.25</c:v>
                </c:pt>
                <c:pt idx="64">
                  <c:v>49.36</c:v>
                </c:pt>
                <c:pt idx="65">
                  <c:v>48.79</c:v>
                </c:pt>
                <c:pt idx="66">
                  <c:v>51</c:v>
                </c:pt>
                <c:pt idx="67">
                  <c:v>49.74</c:v>
                </c:pt>
                <c:pt idx="68">
                  <c:v>51.77</c:v>
                </c:pt>
                <c:pt idx="69">
                  <c:v>51.16</c:v>
                </c:pt>
                <c:pt idx="70">
                  <c:v>51.31</c:v>
                </c:pt>
                <c:pt idx="71">
                  <c:v>52.18</c:v>
                </c:pt>
                <c:pt idx="72">
                  <c:v>51.07</c:v>
                </c:pt>
                <c:pt idx="73">
                  <c:v>50.11</c:v>
                </c:pt>
                <c:pt idx="74">
                  <c:v>48.89</c:v>
                </c:pt>
                <c:pt idx="75">
                  <c:v>50.03</c:v>
                </c:pt>
                <c:pt idx="76">
                  <c:v>49.85</c:v>
                </c:pt>
                <c:pt idx="77">
                  <c:v>50.6</c:v>
                </c:pt>
                <c:pt idx="78">
                  <c:v>51.49</c:v>
                </c:pt>
                <c:pt idx="79">
                  <c:v>53.07</c:v>
                </c:pt>
                <c:pt idx="80">
                  <c:v>53.44</c:v>
                </c:pt>
                <c:pt idx="81">
                  <c:v>52.23</c:v>
                </c:pt>
                <c:pt idx="82">
                  <c:v>51.93</c:v>
                </c:pt>
                <c:pt idx="83">
                  <c:v>52.53</c:v>
                </c:pt>
                <c:pt idx="84">
                  <c:v>53.55</c:v>
                </c:pt>
                <c:pt idx="85">
                  <c:v>52.91</c:v>
                </c:pt>
                <c:pt idx="86">
                  <c:v>54.95</c:v>
                </c:pt>
                <c:pt idx="87">
                  <c:v>53.3</c:v>
                </c:pt>
                <c:pt idx="88">
                  <c:v>53.32</c:v>
                </c:pt>
                <c:pt idx="89">
                  <c:v>54.14</c:v>
                </c:pt>
                <c:pt idx="90">
                  <c:v>53.85</c:v>
                </c:pt>
                <c:pt idx="91">
                  <c:v>52.38</c:v>
                </c:pt>
                <c:pt idx="92">
                  <c:v>53.88</c:v>
                </c:pt>
                <c:pt idx="93">
                  <c:v>54.97</c:v>
                </c:pt>
                <c:pt idx="94">
                  <c:v>54.65</c:v>
                </c:pt>
                <c:pt idx="95">
                  <c:v>55.41</c:v>
                </c:pt>
                <c:pt idx="96">
                  <c:v>54.91</c:v>
                </c:pt>
                <c:pt idx="97">
                  <c:v>54.44</c:v>
                </c:pt>
                <c:pt idx="98">
                  <c:v>55.54</c:v>
                </c:pt>
                <c:pt idx="99">
                  <c:v>56.78</c:v>
                </c:pt>
                <c:pt idx="100">
                  <c:v>56.23</c:v>
                </c:pt>
                <c:pt idx="101">
                  <c:v>55.01</c:v>
                </c:pt>
                <c:pt idx="102">
                  <c:v>54.84</c:v>
                </c:pt>
                <c:pt idx="103">
                  <c:v>55.1</c:v>
                </c:pt>
                <c:pt idx="104">
                  <c:v>56.44</c:v>
                </c:pt>
                <c:pt idx="105">
                  <c:v>57.82</c:v>
                </c:pt>
                <c:pt idx="106">
                  <c:v>57.5</c:v>
                </c:pt>
                <c:pt idx="107">
                  <c:v>57.28</c:v>
                </c:pt>
                <c:pt idx="108">
                  <c:v>55.85</c:v>
                </c:pt>
                <c:pt idx="109">
                  <c:v>57.42</c:v>
                </c:pt>
                <c:pt idx="110">
                  <c:v>56.34</c:v>
                </c:pt>
                <c:pt idx="111">
                  <c:v>56.17</c:v>
                </c:pt>
                <c:pt idx="112">
                  <c:v>57.96</c:v>
                </c:pt>
                <c:pt idx="113">
                  <c:v>57.58</c:v>
                </c:pt>
                <c:pt idx="114">
                  <c:v>58.01</c:v>
                </c:pt>
                <c:pt idx="115">
                  <c:v>57.06</c:v>
                </c:pt>
                <c:pt idx="116">
                  <c:v>58.1</c:v>
                </c:pt>
                <c:pt idx="117">
                  <c:v>57.58</c:v>
                </c:pt>
                <c:pt idx="118">
                  <c:v>57.54</c:v>
                </c:pt>
                <c:pt idx="119">
                  <c:v>57.98</c:v>
                </c:pt>
                <c:pt idx="120">
                  <c:v>57.73</c:v>
                </c:pt>
                <c:pt idx="121">
                  <c:v>57.15</c:v>
                </c:pt>
                <c:pt idx="122">
                  <c:v>57.38</c:v>
                </c:pt>
                <c:pt idx="123">
                  <c:v>57.96</c:v>
                </c:pt>
                <c:pt idx="124">
                  <c:v>58.51</c:v>
                </c:pt>
                <c:pt idx="125">
                  <c:v>58.67</c:v>
                </c:pt>
                <c:pt idx="126">
                  <c:v>57.92</c:v>
                </c:pt>
                <c:pt idx="127">
                  <c:v>58.06</c:v>
                </c:pt>
                <c:pt idx="128">
                  <c:v>59.34</c:v>
                </c:pt>
                <c:pt idx="129">
                  <c:v>58.74</c:v>
                </c:pt>
                <c:pt idx="130">
                  <c:v>59.68</c:v>
                </c:pt>
                <c:pt idx="131">
                  <c:v>59.05</c:v>
                </c:pt>
                <c:pt idx="132">
                  <c:v>58.79</c:v>
                </c:pt>
                <c:pt idx="133">
                  <c:v>59.73</c:v>
                </c:pt>
                <c:pt idx="134">
                  <c:v>59.77</c:v>
                </c:pt>
                <c:pt idx="135">
                  <c:v>60.32</c:v>
                </c:pt>
                <c:pt idx="136">
                  <c:v>60.01</c:v>
                </c:pt>
                <c:pt idx="137">
                  <c:v>60.51</c:v>
                </c:pt>
                <c:pt idx="138">
                  <c:v>60.21</c:v>
                </c:pt>
                <c:pt idx="139">
                  <c:v>60.25</c:v>
                </c:pt>
                <c:pt idx="140">
                  <c:v>61.34</c:v>
                </c:pt>
                <c:pt idx="141">
                  <c:v>61.4</c:v>
                </c:pt>
                <c:pt idx="142">
                  <c:v>61.73</c:v>
                </c:pt>
                <c:pt idx="143">
                  <c:v>60.84</c:v>
                </c:pt>
                <c:pt idx="144">
                  <c:v>60.29</c:v>
                </c:pt>
                <c:pt idx="145">
                  <c:v>60.08</c:v>
                </c:pt>
                <c:pt idx="146">
                  <c:v>58.98</c:v>
                </c:pt>
                <c:pt idx="147">
                  <c:v>58.26</c:v>
                </c:pt>
                <c:pt idx="148">
                  <c:v>58.07</c:v>
                </c:pt>
                <c:pt idx="149">
                  <c:v>58.56</c:v>
                </c:pt>
                <c:pt idx="150">
                  <c:v>58.95</c:v>
                </c:pt>
                <c:pt idx="151">
                  <c:v>58.35</c:v>
                </c:pt>
                <c:pt idx="152">
                  <c:v>58.85</c:v>
                </c:pt>
                <c:pt idx="153">
                  <c:v>60.8</c:v>
                </c:pt>
                <c:pt idx="154">
                  <c:v>60.58</c:v>
                </c:pt>
                <c:pt idx="155">
                  <c:v>60.22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E8-4BBB-849B-0CD7693833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5586671"/>
        <c:axId val="1875582831"/>
      </c:lineChart>
      <c:catAx>
        <c:axId val="1875586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2831"/>
        <c:crosses val="autoZero"/>
        <c:auto val="1"/>
        <c:lblAlgn val="ctr"/>
        <c:lblOffset val="100"/>
        <c:tickMarkSkip val="5"/>
        <c:noMultiLvlLbl val="0"/>
      </c:catAx>
      <c:valAx>
        <c:axId val="18755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'0606'!$C$1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'0606'!$B$2:$B$43</c:f>
              <c:numCache>
                <c:formatCode>0</c:formatCode>
                <c:ptCount val="42"/>
                <c:pt idx="0">
                  <c:v>-0.10000000000002274</c:v>
                </c:pt>
                <c:pt idx="1">
                  <c:v>6.6666666666719721E-2</c:v>
                </c:pt>
                <c:pt idx="2">
                  <c:v>0.23333333333334849</c:v>
                </c:pt>
                <c:pt idx="3">
                  <c:v>0.39999999999997726</c:v>
                </c:pt>
                <c:pt idx="4">
                  <c:v>0.56666666666671972</c:v>
                </c:pt>
                <c:pt idx="5">
                  <c:v>0.73333333333334849</c:v>
                </c:pt>
                <c:pt idx="6">
                  <c:v>0.89999999999997726</c:v>
                </c:pt>
                <c:pt idx="7">
                  <c:v>1.0666666666667197</c:v>
                </c:pt>
                <c:pt idx="8">
                  <c:v>1.2333333333333485</c:v>
                </c:pt>
                <c:pt idx="9">
                  <c:v>1.3999999999999773</c:v>
                </c:pt>
                <c:pt idx="10">
                  <c:v>1.5666666666667197</c:v>
                </c:pt>
                <c:pt idx="11">
                  <c:v>1.7333333333333485</c:v>
                </c:pt>
                <c:pt idx="12">
                  <c:v>1.8999999999999773</c:v>
                </c:pt>
                <c:pt idx="13">
                  <c:v>2.0833333333333712</c:v>
                </c:pt>
                <c:pt idx="14">
                  <c:v>2.25</c:v>
                </c:pt>
                <c:pt idx="15">
                  <c:v>2.4166666666666288</c:v>
                </c:pt>
                <c:pt idx="16">
                  <c:v>2.5833333333333712</c:v>
                </c:pt>
                <c:pt idx="17">
                  <c:v>2.75</c:v>
                </c:pt>
                <c:pt idx="18">
                  <c:v>2.9166666666666288</c:v>
                </c:pt>
                <c:pt idx="19">
                  <c:v>3.0833333333333712</c:v>
                </c:pt>
                <c:pt idx="20">
                  <c:v>3.25</c:v>
                </c:pt>
                <c:pt idx="21">
                  <c:v>3.4166666666666288</c:v>
                </c:pt>
                <c:pt idx="22">
                  <c:v>3.5833333333333712</c:v>
                </c:pt>
                <c:pt idx="23">
                  <c:v>3.75</c:v>
                </c:pt>
                <c:pt idx="24">
                  <c:v>3.9166666666666288</c:v>
                </c:pt>
                <c:pt idx="25">
                  <c:v>4.0833333333333712</c:v>
                </c:pt>
                <c:pt idx="26">
                  <c:v>4.25</c:v>
                </c:pt>
                <c:pt idx="27">
                  <c:v>4.4166666666666288</c:v>
                </c:pt>
                <c:pt idx="28">
                  <c:v>4.5833333333333712</c:v>
                </c:pt>
                <c:pt idx="29">
                  <c:v>4.75</c:v>
                </c:pt>
                <c:pt idx="30">
                  <c:v>4.9166666666666288</c:v>
                </c:pt>
                <c:pt idx="31">
                  <c:v>5.0833333333333712</c:v>
                </c:pt>
                <c:pt idx="32">
                  <c:v>5.25</c:v>
                </c:pt>
                <c:pt idx="33">
                  <c:v>5.4166666666666288</c:v>
                </c:pt>
                <c:pt idx="34">
                  <c:v>5.5833333333333712</c:v>
                </c:pt>
                <c:pt idx="35">
                  <c:v>5.75</c:v>
                </c:pt>
                <c:pt idx="36">
                  <c:v>5.9166666666666288</c:v>
                </c:pt>
                <c:pt idx="37">
                  <c:v>6.0833333333333712</c:v>
                </c:pt>
                <c:pt idx="38">
                  <c:v>6.25</c:v>
                </c:pt>
                <c:pt idx="39">
                  <c:v>6.4166666666666288</c:v>
                </c:pt>
                <c:pt idx="40">
                  <c:v>6.5833333333333712</c:v>
                </c:pt>
                <c:pt idx="41">
                  <c:v>6.75</c:v>
                </c:pt>
              </c:numCache>
            </c:numRef>
          </c:cat>
          <c:val>
            <c:numRef>
              <c:f>'0606'!$C$2:$C$44</c:f>
              <c:numCache>
                <c:formatCode>General</c:formatCode>
                <c:ptCount val="43"/>
                <c:pt idx="0">
                  <c:v>25.65</c:v>
                </c:pt>
                <c:pt idx="1">
                  <c:v>25.96</c:v>
                </c:pt>
                <c:pt idx="2">
                  <c:v>26.02</c:v>
                </c:pt>
                <c:pt idx="3">
                  <c:v>26.95</c:v>
                </c:pt>
                <c:pt idx="4">
                  <c:v>28.55</c:v>
                </c:pt>
                <c:pt idx="5">
                  <c:v>30.28</c:v>
                </c:pt>
                <c:pt idx="6">
                  <c:v>32.68</c:v>
                </c:pt>
                <c:pt idx="7">
                  <c:v>35.18</c:v>
                </c:pt>
                <c:pt idx="8">
                  <c:v>36.43</c:v>
                </c:pt>
                <c:pt idx="9">
                  <c:v>37.43</c:v>
                </c:pt>
                <c:pt idx="10">
                  <c:v>39.14</c:v>
                </c:pt>
                <c:pt idx="11">
                  <c:v>40.450000000000003</c:v>
                </c:pt>
                <c:pt idx="12">
                  <c:v>41.52</c:v>
                </c:pt>
                <c:pt idx="13">
                  <c:v>42.18</c:v>
                </c:pt>
                <c:pt idx="14">
                  <c:v>42.62</c:v>
                </c:pt>
                <c:pt idx="15">
                  <c:v>43.77</c:v>
                </c:pt>
                <c:pt idx="16">
                  <c:v>44.7</c:v>
                </c:pt>
                <c:pt idx="17">
                  <c:v>45.53</c:v>
                </c:pt>
                <c:pt idx="18">
                  <c:v>46.32</c:v>
                </c:pt>
                <c:pt idx="19">
                  <c:v>46.86</c:v>
                </c:pt>
                <c:pt idx="20">
                  <c:v>47.28</c:v>
                </c:pt>
                <c:pt idx="21">
                  <c:v>48.14</c:v>
                </c:pt>
                <c:pt idx="22">
                  <c:v>48.53</c:v>
                </c:pt>
                <c:pt idx="23">
                  <c:v>48.96</c:v>
                </c:pt>
                <c:pt idx="24">
                  <c:v>48.84</c:v>
                </c:pt>
                <c:pt idx="25">
                  <c:v>50.44</c:v>
                </c:pt>
                <c:pt idx="26">
                  <c:v>50.52</c:v>
                </c:pt>
                <c:pt idx="27">
                  <c:v>51.05</c:v>
                </c:pt>
                <c:pt idx="28">
                  <c:v>51.27</c:v>
                </c:pt>
                <c:pt idx="29">
                  <c:v>52.24</c:v>
                </c:pt>
                <c:pt idx="30">
                  <c:v>51.94</c:v>
                </c:pt>
                <c:pt idx="31">
                  <c:v>52.64</c:v>
                </c:pt>
                <c:pt idx="32">
                  <c:v>52.85</c:v>
                </c:pt>
                <c:pt idx="33">
                  <c:v>53.51</c:v>
                </c:pt>
                <c:pt idx="34">
                  <c:v>53.9</c:v>
                </c:pt>
                <c:pt idx="35">
                  <c:v>54.62</c:v>
                </c:pt>
                <c:pt idx="36">
                  <c:v>56</c:v>
                </c:pt>
                <c:pt idx="37">
                  <c:v>55.37</c:v>
                </c:pt>
                <c:pt idx="38">
                  <c:v>55.43</c:v>
                </c:pt>
                <c:pt idx="39">
                  <c:v>55.94</c:v>
                </c:pt>
                <c:pt idx="40">
                  <c:v>56.7</c:v>
                </c:pt>
                <c:pt idx="41">
                  <c:v>58.26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C6-4E7B-A597-E2D4E1D9E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6301455"/>
        <c:axId val="1326303375"/>
      </c:lineChart>
      <c:catAx>
        <c:axId val="132630145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3375"/>
        <c:crosses val="autoZero"/>
        <c:auto val="1"/>
        <c:lblAlgn val="ctr"/>
        <c:lblOffset val="100"/>
        <c:noMultiLvlLbl val="0"/>
      </c:catAx>
      <c:valAx>
        <c:axId val="132630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out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1455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247649</xdr:colOff>
      <xdr:row>117</xdr:row>
      <xdr:rowOff>171450</xdr:rowOff>
    </xdr:from>
    <xdr:to>
      <xdr:col>22</xdr:col>
      <xdr:colOff>85724</xdr:colOff>
      <xdr:row>156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BD6447-4EBF-C451-3AED-1BD8559EC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133350</xdr:colOff>
      <xdr:row>1</xdr:row>
      <xdr:rowOff>114300</xdr:rowOff>
    </xdr:from>
    <xdr:to>
      <xdr:col>16</xdr:col>
      <xdr:colOff>161925</xdr:colOff>
      <xdr:row>27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03AF25-F462-4AC9-A602-1A9810151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142874</xdr:colOff>
      <xdr:row>0</xdr:row>
      <xdr:rowOff>0</xdr:rowOff>
    </xdr:from>
    <xdr:to>
      <xdr:col>20</xdr:col>
      <xdr:colOff>342900</xdr:colOff>
      <xdr:row>37</xdr:row>
      <xdr:rowOff>180976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2D785B-FD2A-D944-24C9-F1E4E1619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0</xdr:row>
      <xdr:rowOff>0</xdr:rowOff>
    </xdr:from>
    <xdr:to>
      <xdr:col>19</xdr:col>
      <xdr:colOff>571500</xdr:colOff>
      <xdr:row>36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C41937-6765-C2D0-F21F-E0141D615E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76EBD8E-980C-4B4C-AE32-5026613D715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5A7B345-3E29-4C64-BAD4-42B6175DB99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190FDC3-5A66-4F5E-9116-AE3E29E1E74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D069AAE-2C65-4BFC-A5C6-B4DD874B9A5F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135C25-FBFE-4D99-AB5C-10FFABB22EB9}" name="logtemperature__2" displayName="logtemperature__2" ref="A1:C166" tableType="queryTable" totalsRowShown="0">
  <autoFilter ref="A1:C166" xr:uid="{DE135C25-FBFE-4D99-AB5C-10FFABB22EB9}"/>
  <tableColumns count="3">
    <tableColumn id="1" xr3:uid="{C31DFFC2-2891-4C4D-9C21-2A597412C554}" uniqueName="1" name="Seconds" queryTableFieldId="1"/>
    <tableColumn id="3" xr3:uid="{85E8088D-1E95-4D2F-BD51-E2FD11C30C5E}" uniqueName="3" name="Minutes" queryTableFieldId="3" dataDxfId="2">
      <calculatedColumnFormula>logtemperature__2[[#This Row],[Seconds]]/60-46</calculatedColumnFormula>
    </tableColumn>
    <tableColumn id="2" xr3:uid="{F46547DF-39FE-4D1D-9349-590151C9492B}" uniqueName="2" name="Temperatur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E1D831-170F-4EA4-B3A9-B2B939B156CE}" name="logtemperature" displayName="logtemperature" ref="A1:C264" tableType="queryTable" totalsRowShown="0">
  <autoFilter ref="A1:C264" xr:uid="{C0E1D831-170F-4EA4-B3A9-B2B939B156CE}"/>
  <tableColumns count="3">
    <tableColumn id="1" xr3:uid="{7B85BDD4-194C-44BE-9BD2-A25C5676AADF}" uniqueName="1" name="Time" queryTableFieldId="1"/>
    <tableColumn id="3" xr3:uid="{2DB71D2C-A72D-4C09-A1B8-398F1A52013D}" uniqueName="3" name="Minutes" queryTableFieldId="3" dataDxfId="1">
      <calculatedColumnFormula>logtemperature[[#This Row],[Time]]/60-7</calculatedColumnFormula>
    </tableColumn>
    <tableColumn id="2" xr3:uid="{0068F583-25DA-4DB9-90D4-D0183DB11A34}" uniqueName="2" name="Temperatur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B84DD0-C188-4FA2-95D5-39107FD6B72E}" name="logtemperature__4" displayName="logtemperature__4" ref="A1:C157" tableType="queryTable" totalsRowShown="0">
  <autoFilter ref="A1:C157" xr:uid="{45B84DD0-C188-4FA2-95D5-39107FD6B72E}"/>
  <tableColumns count="3">
    <tableColumn id="1" xr3:uid="{9FD3F7F5-F267-4E7B-8AD8-F40DB764EE6F}" uniqueName="1" name="time" queryTableFieldId="1"/>
    <tableColumn id="3" xr3:uid="{0A872E5E-8D4D-4C65-8A79-5977C88E7F09}" uniqueName="3" name="Column1" queryTableFieldId="3" dataDxfId="3">
      <calculatedColumnFormula>logtemperature__4[[#This Row],[time]]/60-43</calculatedColumnFormula>
    </tableColumn>
    <tableColumn id="2" xr3:uid="{81D89BFF-2D8F-414F-B2FA-35D1E1E0D180}" uniqueName="2" name="temp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CBAEBF-C768-493F-B997-B4123C5253A9}" name="logtemperature__5" displayName="logtemperature__5" ref="A1:C43" tableType="queryTable" totalsRowShown="0">
  <autoFilter ref="A1:C43" xr:uid="{75CBAEBF-C768-493F-B997-B4123C5253A9}"/>
  <tableColumns count="3">
    <tableColumn id="1" xr3:uid="{62A1149A-DC18-4CA0-8A27-E9D2E6239D25}" uniqueName="1" name="seconds" queryTableFieldId="1"/>
    <tableColumn id="3" xr3:uid="{DF7DC475-572B-4C90-B66B-4A116581B9AA}" uniqueName="3" name="minutes" queryTableFieldId="3" dataDxfId="0">
      <calculatedColumnFormula>logtemperature__5[[#This Row],[seconds]]/60-665</calculatedColumnFormula>
    </tableColumn>
    <tableColumn id="2" xr3:uid="{187F9144-EAAD-4B05-B241-67490C5FDC21}" uniqueName="2" name="temp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491A-F20D-484F-9452-2ABD006CE5CF}">
  <dimension ref="A1:C166"/>
  <sheetViews>
    <sheetView topLeftCell="A118" workbookViewId="0">
      <selection activeCell="W128" sqref="W128"/>
    </sheetView>
  </sheetViews>
  <sheetFormatPr defaultRowHeight="15" x14ac:dyDescent="0.25"/>
  <cols>
    <col min="1" max="1" width="11" bestFit="1" customWidth="1"/>
    <col min="2" max="2" width="11" customWidth="1"/>
    <col min="3" max="3" width="14.85546875" bestFit="1" customWidth="1"/>
  </cols>
  <sheetData>
    <row r="1" spans="1:3" x14ac:dyDescent="0.25">
      <c r="A1" t="s">
        <v>0</v>
      </c>
      <c r="B1" t="s">
        <v>2</v>
      </c>
      <c r="C1" t="s">
        <v>1</v>
      </c>
    </row>
    <row r="2" spans="1:3" x14ac:dyDescent="0.25">
      <c r="A2">
        <v>2786</v>
      </c>
      <c r="B2" s="1">
        <f>logtemperature__2[[#This Row],[Seconds]]/60-46</f>
        <v>0.43333333333333002</v>
      </c>
      <c r="C2">
        <v>27.37</v>
      </c>
    </row>
    <row r="3" spans="1:3" x14ac:dyDescent="0.25">
      <c r="A3">
        <v>2846</v>
      </c>
      <c r="B3" s="1">
        <f>logtemperature__2[[#This Row],[Seconds]]/60-46</f>
        <v>1.43333333333333</v>
      </c>
      <c r="C3">
        <v>27.78</v>
      </c>
    </row>
    <row r="4" spans="1:3" x14ac:dyDescent="0.25">
      <c r="A4">
        <v>2856</v>
      </c>
      <c r="B4" s="1">
        <f>logtemperature__2[[#This Row],[Seconds]]/60-46</f>
        <v>1.6000000000000014</v>
      </c>
      <c r="C4">
        <v>28.62</v>
      </c>
    </row>
    <row r="5" spans="1:3" x14ac:dyDescent="0.25">
      <c r="A5">
        <v>2866</v>
      </c>
      <c r="B5" s="1">
        <f>logtemperature__2[[#This Row],[Seconds]]/60-46</f>
        <v>1.7666666666666657</v>
      </c>
      <c r="C5">
        <v>30.26</v>
      </c>
    </row>
    <row r="6" spans="1:3" x14ac:dyDescent="0.25">
      <c r="A6">
        <v>2876</v>
      </c>
      <c r="B6" s="1">
        <f>logtemperature__2[[#This Row],[Seconds]]/60-46</f>
        <v>1.93333333333333</v>
      </c>
      <c r="C6">
        <v>33.909999999999997</v>
      </c>
    </row>
    <row r="7" spans="1:3" x14ac:dyDescent="0.25">
      <c r="A7">
        <v>2886</v>
      </c>
      <c r="B7" s="1">
        <f>logtemperature__2[[#This Row],[Seconds]]/60-46</f>
        <v>2.1000000000000014</v>
      </c>
      <c r="C7">
        <v>37.54</v>
      </c>
    </row>
    <row r="8" spans="1:3" x14ac:dyDescent="0.25">
      <c r="A8">
        <v>2896</v>
      </c>
      <c r="B8" s="1">
        <f>logtemperature__2[[#This Row],[Seconds]]/60-46</f>
        <v>2.2666666666666657</v>
      </c>
      <c r="C8">
        <v>40.53</v>
      </c>
    </row>
    <row r="9" spans="1:3" x14ac:dyDescent="0.25">
      <c r="A9">
        <v>2906</v>
      </c>
      <c r="B9" s="1">
        <f>logtemperature__2[[#This Row],[Seconds]]/60-46</f>
        <v>2.43333333333333</v>
      </c>
      <c r="C9">
        <v>42.03</v>
      </c>
    </row>
    <row r="10" spans="1:3" x14ac:dyDescent="0.25">
      <c r="A10">
        <v>2916</v>
      </c>
      <c r="B10" s="1">
        <f>logtemperature__2[[#This Row],[Seconds]]/60-46</f>
        <v>2.6000000000000014</v>
      </c>
      <c r="C10">
        <v>46.31</v>
      </c>
    </row>
    <row r="11" spans="1:3" x14ac:dyDescent="0.25">
      <c r="A11">
        <v>2926</v>
      </c>
      <c r="B11" s="1">
        <f>logtemperature__2[[#This Row],[Seconds]]/60-46</f>
        <v>2.7666666666666657</v>
      </c>
      <c r="C11">
        <v>47.13</v>
      </c>
    </row>
    <row r="12" spans="1:3" x14ac:dyDescent="0.25">
      <c r="A12">
        <v>2936</v>
      </c>
      <c r="B12" s="1">
        <f>logtemperature__2[[#This Row],[Seconds]]/60-46</f>
        <v>2.93333333333333</v>
      </c>
      <c r="C12">
        <v>48.37</v>
      </c>
    </row>
    <row r="13" spans="1:3" x14ac:dyDescent="0.25">
      <c r="A13">
        <v>2946</v>
      </c>
      <c r="B13" s="1">
        <f>logtemperature__2[[#This Row],[Seconds]]/60-46</f>
        <v>3.1000000000000014</v>
      </c>
      <c r="C13">
        <v>49.55</v>
      </c>
    </row>
    <row r="14" spans="1:3" x14ac:dyDescent="0.25">
      <c r="A14">
        <v>2956</v>
      </c>
      <c r="B14" s="1">
        <f>logtemperature__2[[#This Row],[Seconds]]/60-46</f>
        <v>3.2666666666666657</v>
      </c>
      <c r="C14">
        <v>50.08</v>
      </c>
    </row>
    <row r="15" spans="1:3" x14ac:dyDescent="0.25">
      <c r="A15">
        <v>2966</v>
      </c>
      <c r="B15" s="1">
        <f>logtemperature__2[[#This Row],[Seconds]]/60-46</f>
        <v>3.43333333333333</v>
      </c>
      <c r="C15">
        <v>51.32</v>
      </c>
    </row>
    <row r="16" spans="1:3" x14ac:dyDescent="0.25">
      <c r="A16">
        <v>2976</v>
      </c>
      <c r="B16" s="1">
        <f>logtemperature__2[[#This Row],[Seconds]]/60-46</f>
        <v>3.6000000000000014</v>
      </c>
      <c r="C16">
        <v>54.1</v>
      </c>
    </row>
    <row r="17" spans="1:3" x14ac:dyDescent="0.25">
      <c r="A17">
        <v>2986</v>
      </c>
      <c r="B17" s="1">
        <f>logtemperature__2[[#This Row],[Seconds]]/60-46</f>
        <v>3.7666666666666657</v>
      </c>
      <c r="C17">
        <v>54.11</v>
      </c>
    </row>
    <row r="18" spans="1:3" x14ac:dyDescent="0.25">
      <c r="A18">
        <v>2996</v>
      </c>
      <c r="B18" s="1">
        <f>logtemperature__2[[#This Row],[Seconds]]/60-46</f>
        <v>3.93333333333333</v>
      </c>
      <c r="C18">
        <v>56.02</v>
      </c>
    </row>
    <row r="19" spans="1:3" x14ac:dyDescent="0.25">
      <c r="A19">
        <v>3006</v>
      </c>
      <c r="B19" s="1">
        <f>logtemperature__2[[#This Row],[Seconds]]/60-46</f>
        <v>4.1000000000000014</v>
      </c>
      <c r="C19">
        <v>56.42</v>
      </c>
    </row>
    <row r="20" spans="1:3" x14ac:dyDescent="0.25">
      <c r="A20">
        <v>3016</v>
      </c>
      <c r="B20" s="1">
        <f>logtemperature__2[[#This Row],[Seconds]]/60-46</f>
        <v>4.2666666666666657</v>
      </c>
      <c r="C20">
        <v>55.23</v>
      </c>
    </row>
    <row r="21" spans="1:3" x14ac:dyDescent="0.25">
      <c r="A21">
        <v>3026</v>
      </c>
      <c r="B21" s="1">
        <f>logtemperature__2[[#This Row],[Seconds]]/60-46</f>
        <v>4.43333333333333</v>
      </c>
      <c r="C21">
        <v>56.19</v>
      </c>
    </row>
    <row r="22" spans="1:3" x14ac:dyDescent="0.25">
      <c r="A22">
        <v>3036</v>
      </c>
      <c r="B22" s="1">
        <f>logtemperature__2[[#This Row],[Seconds]]/60-46</f>
        <v>4.6000000000000014</v>
      </c>
      <c r="C22">
        <v>57.45</v>
      </c>
    </row>
    <row r="23" spans="1:3" x14ac:dyDescent="0.25">
      <c r="A23">
        <v>3046</v>
      </c>
      <c r="B23" s="1">
        <f>logtemperature__2[[#This Row],[Seconds]]/60-46</f>
        <v>4.7666666666666657</v>
      </c>
      <c r="C23">
        <v>57.88</v>
      </c>
    </row>
    <row r="24" spans="1:3" x14ac:dyDescent="0.25">
      <c r="A24">
        <v>3056</v>
      </c>
      <c r="B24" s="1">
        <f>logtemperature__2[[#This Row],[Seconds]]/60-46</f>
        <v>4.93333333333333</v>
      </c>
      <c r="C24">
        <v>55.95</v>
      </c>
    </row>
    <row r="25" spans="1:3" x14ac:dyDescent="0.25">
      <c r="A25">
        <v>3066</v>
      </c>
      <c r="B25" s="1">
        <f>logtemperature__2[[#This Row],[Seconds]]/60-46</f>
        <v>5.1000000000000014</v>
      </c>
      <c r="C25">
        <v>58.55</v>
      </c>
    </row>
    <row r="26" spans="1:3" x14ac:dyDescent="0.25">
      <c r="A26">
        <v>3076</v>
      </c>
      <c r="B26" s="1">
        <f>logtemperature__2[[#This Row],[Seconds]]/60-46</f>
        <v>5.2666666666666657</v>
      </c>
      <c r="C26">
        <v>60.32</v>
      </c>
    </row>
    <row r="27" spans="1:3" x14ac:dyDescent="0.25">
      <c r="A27">
        <v>3086</v>
      </c>
      <c r="B27" s="1">
        <f>logtemperature__2[[#This Row],[Seconds]]/60-46</f>
        <v>5.43333333333333</v>
      </c>
      <c r="C27">
        <v>60.92</v>
      </c>
    </row>
    <row r="28" spans="1:3" x14ac:dyDescent="0.25">
      <c r="A28">
        <v>3096</v>
      </c>
      <c r="B28" s="1">
        <f>logtemperature__2[[#This Row],[Seconds]]/60-46</f>
        <v>5.6000000000000014</v>
      </c>
      <c r="C28">
        <v>59.23</v>
      </c>
    </row>
    <row r="29" spans="1:3" x14ac:dyDescent="0.25">
      <c r="A29">
        <v>3106</v>
      </c>
      <c r="B29" s="1">
        <f>logtemperature__2[[#This Row],[Seconds]]/60-46</f>
        <v>5.7666666666666657</v>
      </c>
      <c r="C29">
        <v>60.29</v>
      </c>
    </row>
    <row r="30" spans="1:3" x14ac:dyDescent="0.25">
      <c r="A30">
        <v>3116</v>
      </c>
      <c r="B30" s="1">
        <f>logtemperature__2[[#This Row],[Seconds]]/60-46</f>
        <v>5.93333333333333</v>
      </c>
      <c r="C30">
        <v>60.88</v>
      </c>
    </row>
    <row r="31" spans="1:3" x14ac:dyDescent="0.25">
      <c r="A31">
        <v>3126</v>
      </c>
      <c r="B31" s="1">
        <f>logtemperature__2[[#This Row],[Seconds]]/60-46</f>
        <v>6.1000000000000014</v>
      </c>
      <c r="C31">
        <v>60.44</v>
      </c>
    </row>
    <row r="32" spans="1:3" x14ac:dyDescent="0.25">
      <c r="A32">
        <v>3136</v>
      </c>
      <c r="B32" s="1">
        <f>logtemperature__2[[#This Row],[Seconds]]/60-46</f>
        <v>6.2666666666666657</v>
      </c>
      <c r="C32">
        <v>62.38</v>
      </c>
    </row>
    <row r="33" spans="1:3" x14ac:dyDescent="0.25">
      <c r="A33">
        <v>3146</v>
      </c>
      <c r="B33" s="1">
        <f>logtemperature__2[[#This Row],[Seconds]]/60-46</f>
        <v>6.43333333333333</v>
      </c>
      <c r="C33">
        <v>64.45</v>
      </c>
    </row>
    <row r="34" spans="1:3" x14ac:dyDescent="0.25">
      <c r="A34">
        <v>3156</v>
      </c>
      <c r="B34" s="1">
        <f>logtemperature__2[[#This Row],[Seconds]]/60-46</f>
        <v>6.6000000000000014</v>
      </c>
      <c r="C34">
        <v>63.84</v>
      </c>
    </row>
    <row r="35" spans="1:3" x14ac:dyDescent="0.25">
      <c r="A35">
        <v>3166</v>
      </c>
      <c r="B35" s="1">
        <f>logtemperature__2[[#This Row],[Seconds]]/60-46</f>
        <v>6.7666666666666657</v>
      </c>
      <c r="C35">
        <v>65.28</v>
      </c>
    </row>
    <row r="36" spans="1:3" x14ac:dyDescent="0.25">
      <c r="A36">
        <v>3177</v>
      </c>
      <c r="B36" s="1">
        <f>logtemperature__2[[#This Row],[Seconds]]/60-46</f>
        <v>6.9500000000000028</v>
      </c>
      <c r="C36">
        <v>64.94</v>
      </c>
    </row>
    <row r="37" spans="1:3" x14ac:dyDescent="0.25">
      <c r="A37">
        <v>3187</v>
      </c>
      <c r="B37" s="1">
        <f>logtemperature__2[[#This Row],[Seconds]]/60-46</f>
        <v>7.1166666666666671</v>
      </c>
      <c r="C37">
        <v>66.47</v>
      </c>
    </row>
    <row r="38" spans="1:3" x14ac:dyDescent="0.25">
      <c r="A38">
        <v>3197</v>
      </c>
      <c r="B38" s="1">
        <f>logtemperature__2[[#This Row],[Seconds]]/60-46</f>
        <v>7.2833333333333314</v>
      </c>
      <c r="C38">
        <v>66.959999999999994</v>
      </c>
    </row>
    <row r="39" spans="1:3" x14ac:dyDescent="0.25">
      <c r="A39">
        <v>3207</v>
      </c>
      <c r="B39" s="1">
        <f>logtemperature__2[[#This Row],[Seconds]]/60-46</f>
        <v>7.4500000000000028</v>
      </c>
      <c r="C39">
        <v>67.319999999999993</v>
      </c>
    </row>
    <row r="40" spans="1:3" x14ac:dyDescent="0.25">
      <c r="A40">
        <v>3217</v>
      </c>
      <c r="B40" s="1">
        <f>logtemperature__2[[#This Row],[Seconds]]/60-46</f>
        <v>7.6166666666666671</v>
      </c>
      <c r="C40">
        <v>65.069999999999993</v>
      </c>
    </row>
    <row r="41" spans="1:3" x14ac:dyDescent="0.25">
      <c r="A41">
        <v>3227</v>
      </c>
      <c r="B41" s="1">
        <f>logtemperature__2[[#This Row],[Seconds]]/60-46</f>
        <v>7.7833333333333314</v>
      </c>
      <c r="C41">
        <v>65.2</v>
      </c>
    </row>
    <row r="42" spans="1:3" x14ac:dyDescent="0.25">
      <c r="A42">
        <v>3237</v>
      </c>
      <c r="B42" s="1">
        <f>logtemperature__2[[#This Row],[Seconds]]/60-46</f>
        <v>7.9500000000000028</v>
      </c>
      <c r="C42">
        <v>66.2</v>
      </c>
    </row>
    <row r="43" spans="1:3" x14ac:dyDescent="0.25">
      <c r="A43">
        <v>3247</v>
      </c>
      <c r="B43" s="1">
        <f>logtemperature__2[[#This Row],[Seconds]]/60-46</f>
        <v>8.1166666666666671</v>
      </c>
      <c r="C43">
        <v>65.37</v>
      </c>
    </row>
    <row r="44" spans="1:3" x14ac:dyDescent="0.25">
      <c r="A44">
        <v>3257</v>
      </c>
      <c r="B44" s="1">
        <f>logtemperature__2[[#This Row],[Seconds]]/60-46</f>
        <v>8.2833333333333314</v>
      </c>
      <c r="C44">
        <v>67.36</v>
      </c>
    </row>
    <row r="45" spans="1:3" x14ac:dyDescent="0.25">
      <c r="A45">
        <v>3267</v>
      </c>
      <c r="B45" s="1">
        <f>logtemperature__2[[#This Row],[Seconds]]/60-46</f>
        <v>8.4500000000000028</v>
      </c>
      <c r="C45">
        <v>68</v>
      </c>
    </row>
    <row r="46" spans="1:3" x14ac:dyDescent="0.25">
      <c r="A46">
        <v>3277</v>
      </c>
      <c r="B46" s="1">
        <f>logtemperature__2[[#This Row],[Seconds]]/60-46</f>
        <v>8.6166666666666671</v>
      </c>
      <c r="C46">
        <v>67.489999999999995</v>
      </c>
    </row>
    <row r="47" spans="1:3" x14ac:dyDescent="0.25">
      <c r="A47">
        <v>3287</v>
      </c>
      <c r="B47" s="1">
        <f>logtemperature__2[[#This Row],[Seconds]]/60-46</f>
        <v>8.7833333333333314</v>
      </c>
      <c r="C47">
        <v>69.400000000000006</v>
      </c>
    </row>
    <row r="48" spans="1:3" x14ac:dyDescent="0.25">
      <c r="A48">
        <v>3297</v>
      </c>
      <c r="B48" s="1">
        <f>logtemperature__2[[#This Row],[Seconds]]/60-46</f>
        <v>8.9500000000000028</v>
      </c>
      <c r="C48">
        <v>71.45</v>
      </c>
    </row>
    <row r="49" spans="1:3" x14ac:dyDescent="0.25">
      <c r="A49">
        <v>3307</v>
      </c>
      <c r="B49" s="1">
        <f>logtemperature__2[[#This Row],[Seconds]]/60-46</f>
        <v>9.1166666666666671</v>
      </c>
      <c r="C49">
        <v>70.88</v>
      </c>
    </row>
    <row r="50" spans="1:3" x14ac:dyDescent="0.25">
      <c r="A50">
        <v>3317</v>
      </c>
      <c r="B50" s="1">
        <f>logtemperature__2[[#This Row],[Seconds]]/60-46</f>
        <v>9.2833333333333314</v>
      </c>
      <c r="C50">
        <v>71.83</v>
      </c>
    </row>
    <row r="51" spans="1:3" x14ac:dyDescent="0.25">
      <c r="A51">
        <v>3327</v>
      </c>
      <c r="B51" s="1">
        <f>logtemperature__2[[#This Row],[Seconds]]/60-46</f>
        <v>9.4500000000000028</v>
      </c>
      <c r="C51">
        <v>71.150000000000006</v>
      </c>
    </row>
    <row r="52" spans="1:3" x14ac:dyDescent="0.25">
      <c r="A52">
        <v>3337</v>
      </c>
      <c r="B52" s="1">
        <f>logtemperature__2[[#This Row],[Seconds]]/60-46</f>
        <v>9.6166666666666671</v>
      </c>
      <c r="C52">
        <v>69.709999999999994</v>
      </c>
    </row>
    <row r="53" spans="1:3" x14ac:dyDescent="0.25">
      <c r="A53">
        <v>3347</v>
      </c>
      <c r="B53" s="1">
        <f>logtemperature__2[[#This Row],[Seconds]]/60-46</f>
        <v>9.7833333333333314</v>
      </c>
      <c r="C53">
        <v>69.98</v>
      </c>
    </row>
    <row r="54" spans="1:3" x14ac:dyDescent="0.25">
      <c r="A54">
        <v>3357</v>
      </c>
      <c r="B54" s="1">
        <f>logtemperature__2[[#This Row],[Seconds]]/60-46</f>
        <v>9.9500000000000028</v>
      </c>
      <c r="C54">
        <v>70.59</v>
      </c>
    </row>
    <row r="55" spans="1:3" x14ac:dyDescent="0.25">
      <c r="A55">
        <v>3367</v>
      </c>
      <c r="B55" s="1">
        <f>logtemperature__2[[#This Row],[Seconds]]/60-46</f>
        <v>10.116666666666667</v>
      </c>
      <c r="C55">
        <v>71.39</v>
      </c>
    </row>
    <row r="56" spans="1:3" x14ac:dyDescent="0.25">
      <c r="A56">
        <v>3377</v>
      </c>
      <c r="B56" s="1">
        <f>logtemperature__2[[#This Row],[Seconds]]/60-46</f>
        <v>10.283333333333331</v>
      </c>
      <c r="C56">
        <v>71.760000000000005</v>
      </c>
    </row>
    <row r="57" spans="1:3" x14ac:dyDescent="0.25">
      <c r="A57">
        <v>3387</v>
      </c>
      <c r="B57" s="1">
        <f>logtemperature__2[[#This Row],[Seconds]]/60-46</f>
        <v>10.450000000000003</v>
      </c>
      <c r="C57">
        <v>72.27</v>
      </c>
    </row>
    <row r="58" spans="1:3" x14ac:dyDescent="0.25">
      <c r="A58">
        <v>3397</v>
      </c>
      <c r="B58" s="1">
        <f>logtemperature__2[[#This Row],[Seconds]]/60-46</f>
        <v>10.616666666666667</v>
      </c>
      <c r="C58">
        <v>71.5</v>
      </c>
    </row>
    <row r="59" spans="1:3" x14ac:dyDescent="0.25">
      <c r="A59">
        <v>3407</v>
      </c>
      <c r="B59" s="1">
        <f>logtemperature__2[[#This Row],[Seconds]]/60-46</f>
        <v>10.783333333333331</v>
      </c>
      <c r="C59">
        <v>69.94</v>
      </c>
    </row>
    <row r="60" spans="1:3" x14ac:dyDescent="0.25">
      <c r="A60">
        <v>3417</v>
      </c>
      <c r="B60" s="1">
        <f>logtemperature__2[[#This Row],[Seconds]]/60-46</f>
        <v>10.950000000000003</v>
      </c>
      <c r="C60">
        <v>70.38</v>
      </c>
    </row>
    <row r="61" spans="1:3" x14ac:dyDescent="0.25">
      <c r="A61">
        <v>3427</v>
      </c>
      <c r="B61" s="1">
        <f>logtemperature__2[[#This Row],[Seconds]]/60-46</f>
        <v>11.116666666666667</v>
      </c>
      <c r="C61">
        <v>71.59</v>
      </c>
    </row>
    <row r="62" spans="1:3" x14ac:dyDescent="0.25">
      <c r="A62">
        <v>3437</v>
      </c>
      <c r="B62" s="1">
        <f>logtemperature__2[[#This Row],[Seconds]]/60-46</f>
        <v>11.283333333333331</v>
      </c>
      <c r="C62">
        <v>70.22</v>
      </c>
    </row>
    <row r="63" spans="1:3" x14ac:dyDescent="0.25">
      <c r="A63">
        <v>3447</v>
      </c>
      <c r="B63" s="1">
        <f>logtemperature__2[[#This Row],[Seconds]]/60-46</f>
        <v>11.450000000000003</v>
      </c>
      <c r="C63">
        <v>72.510000000000005</v>
      </c>
    </row>
    <row r="64" spans="1:3" x14ac:dyDescent="0.25">
      <c r="A64">
        <v>3457</v>
      </c>
      <c r="B64" s="1">
        <f>logtemperature__2[[#This Row],[Seconds]]/60-46</f>
        <v>11.616666666666667</v>
      </c>
      <c r="C64">
        <v>74.33</v>
      </c>
    </row>
    <row r="65" spans="1:3" x14ac:dyDescent="0.25">
      <c r="A65">
        <v>3467</v>
      </c>
      <c r="B65" s="1">
        <f>logtemperature__2[[#This Row],[Seconds]]/60-46</f>
        <v>11.783333333333331</v>
      </c>
      <c r="C65">
        <v>74.73</v>
      </c>
    </row>
    <row r="66" spans="1:3" x14ac:dyDescent="0.25">
      <c r="A66">
        <v>3477</v>
      </c>
      <c r="B66" s="1">
        <f>logtemperature__2[[#This Row],[Seconds]]/60-46</f>
        <v>11.950000000000003</v>
      </c>
      <c r="C66">
        <v>74.23</v>
      </c>
    </row>
    <row r="67" spans="1:3" x14ac:dyDescent="0.25">
      <c r="A67">
        <v>3487</v>
      </c>
      <c r="B67" s="1">
        <f>logtemperature__2[[#This Row],[Seconds]]/60-46</f>
        <v>12.116666666666667</v>
      </c>
      <c r="C67">
        <v>74.56</v>
      </c>
    </row>
    <row r="68" spans="1:3" x14ac:dyDescent="0.25">
      <c r="A68">
        <v>3497</v>
      </c>
      <c r="B68" s="1">
        <f>logtemperature__2[[#This Row],[Seconds]]/60-46</f>
        <v>12.283333333333331</v>
      </c>
      <c r="C68">
        <v>73.489999999999995</v>
      </c>
    </row>
    <row r="69" spans="1:3" x14ac:dyDescent="0.25">
      <c r="A69">
        <v>3507</v>
      </c>
      <c r="B69" s="1">
        <f>logtemperature__2[[#This Row],[Seconds]]/60-46</f>
        <v>12.450000000000003</v>
      </c>
      <c r="C69">
        <v>75.38</v>
      </c>
    </row>
    <row r="70" spans="1:3" x14ac:dyDescent="0.25">
      <c r="A70">
        <v>3517</v>
      </c>
      <c r="B70" s="1">
        <f>logtemperature__2[[#This Row],[Seconds]]/60-46</f>
        <v>12.616666666666667</v>
      </c>
      <c r="C70">
        <v>77.5</v>
      </c>
    </row>
    <row r="71" spans="1:3" x14ac:dyDescent="0.25">
      <c r="A71">
        <v>3527</v>
      </c>
      <c r="B71" s="1">
        <f>logtemperature__2[[#This Row],[Seconds]]/60-46</f>
        <v>12.783333333333331</v>
      </c>
      <c r="C71">
        <v>77.28</v>
      </c>
    </row>
    <row r="72" spans="1:3" x14ac:dyDescent="0.25">
      <c r="A72">
        <v>3537</v>
      </c>
      <c r="B72" s="1">
        <f>logtemperature__2[[#This Row],[Seconds]]/60-46</f>
        <v>12.950000000000003</v>
      </c>
      <c r="C72">
        <v>77.430000000000007</v>
      </c>
    </row>
    <row r="73" spans="1:3" x14ac:dyDescent="0.25">
      <c r="A73">
        <v>3547</v>
      </c>
      <c r="B73" s="1">
        <f>logtemperature__2[[#This Row],[Seconds]]/60-46</f>
        <v>13.116666666666667</v>
      </c>
      <c r="C73">
        <v>76.62</v>
      </c>
    </row>
    <row r="74" spans="1:3" x14ac:dyDescent="0.25">
      <c r="A74">
        <v>3557</v>
      </c>
      <c r="B74" s="1">
        <f>logtemperature__2[[#This Row],[Seconds]]/60-46</f>
        <v>13.283333333333331</v>
      </c>
      <c r="C74">
        <v>77.63</v>
      </c>
    </row>
    <row r="75" spans="1:3" x14ac:dyDescent="0.25">
      <c r="A75">
        <v>3567</v>
      </c>
      <c r="B75" s="1">
        <f>logtemperature__2[[#This Row],[Seconds]]/60-46</f>
        <v>13.450000000000003</v>
      </c>
      <c r="C75">
        <v>76.81</v>
      </c>
    </row>
    <row r="76" spans="1:3" x14ac:dyDescent="0.25">
      <c r="A76">
        <v>3577</v>
      </c>
      <c r="B76" s="1">
        <f>logtemperature__2[[#This Row],[Seconds]]/60-46</f>
        <v>13.616666666666667</v>
      </c>
      <c r="C76">
        <v>77.66</v>
      </c>
    </row>
    <row r="77" spans="1:3" x14ac:dyDescent="0.25">
      <c r="A77">
        <v>3587</v>
      </c>
      <c r="B77" s="1">
        <f>logtemperature__2[[#This Row],[Seconds]]/60-46</f>
        <v>13.783333333333331</v>
      </c>
      <c r="C77">
        <v>78.099999999999994</v>
      </c>
    </row>
    <row r="78" spans="1:3" x14ac:dyDescent="0.25">
      <c r="A78">
        <v>3597</v>
      </c>
      <c r="B78" s="1">
        <f>logtemperature__2[[#This Row],[Seconds]]/60-46</f>
        <v>13.950000000000003</v>
      </c>
      <c r="C78">
        <v>77.319999999999993</v>
      </c>
    </row>
    <row r="79" spans="1:3" x14ac:dyDescent="0.25">
      <c r="A79">
        <v>3607</v>
      </c>
      <c r="B79" s="1">
        <f>logtemperature__2[[#This Row],[Seconds]]/60-46</f>
        <v>14.116666666666667</v>
      </c>
      <c r="C79">
        <v>77.45</v>
      </c>
    </row>
    <row r="80" spans="1:3" x14ac:dyDescent="0.25">
      <c r="A80">
        <v>3617</v>
      </c>
      <c r="B80" s="1">
        <f>logtemperature__2[[#This Row],[Seconds]]/60-46</f>
        <v>14.283333333333331</v>
      </c>
      <c r="C80">
        <v>78.06</v>
      </c>
    </row>
    <row r="81" spans="1:3" x14ac:dyDescent="0.25">
      <c r="A81">
        <v>3627</v>
      </c>
      <c r="B81" s="1">
        <f>logtemperature__2[[#This Row],[Seconds]]/60-46</f>
        <v>14.450000000000003</v>
      </c>
      <c r="C81">
        <v>77.069999999999993</v>
      </c>
    </row>
    <row r="82" spans="1:3" x14ac:dyDescent="0.25">
      <c r="A82">
        <v>3637</v>
      </c>
      <c r="B82" s="1">
        <f>logtemperature__2[[#This Row],[Seconds]]/60-46</f>
        <v>14.616666666666667</v>
      </c>
      <c r="C82">
        <v>78.459999999999994</v>
      </c>
    </row>
    <row r="83" spans="1:3" x14ac:dyDescent="0.25">
      <c r="A83">
        <v>3647</v>
      </c>
      <c r="B83" s="1">
        <f>logtemperature__2[[#This Row],[Seconds]]/60-46</f>
        <v>14.783333333333331</v>
      </c>
      <c r="C83">
        <v>76.63</v>
      </c>
    </row>
    <row r="84" spans="1:3" x14ac:dyDescent="0.25">
      <c r="A84">
        <v>3657</v>
      </c>
      <c r="B84" s="1">
        <f>logtemperature__2[[#This Row],[Seconds]]/60-46</f>
        <v>14.950000000000003</v>
      </c>
      <c r="C84">
        <v>75.33</v>
      </c>
    </row>
    <row r="85" spans="1:3" x14ac:dyDescent="0.25">
      <c r="A85">
        <v>3668</v>
      </c>
      <c r="B85" s="1">
        <f>logtemperature__2[[#This Row],[Seconds]]/60-46</f>
        <v>15.133333333333333</v>
      </c>
      <c r="C85">
        <v>77.349999999999994</v>
      </c>
    </row>
    <row r="86" spans="1:3" x14ac:dyDescent="0.25">
      <c r="A86">
        <v>3678</v>
      </c>
      <c r="B86" s="1">
        <f>logtemperature__2[[#This Row],[Seconds]]/60-46</f>
        <v>15.299999999999997</v>
      </c>
      <c r="C86">
        <v>78.14</v>
      </c>
    </row>
    <row r="87" spans="1:3" x14ac:dyDescent="0.25">
      <c r="A87">
        <v>3688</v>
      </c>
      <c r="B87" s="1">
        <f>logtemperature__2[[#This Row],[Seconds]]/60-46</f>
        <v>15.466666666666669</v>
      </c>
      <c r="C87">
        <v>77.569999999999993</v>
      </c>
    </row>
    <row r="88" spans="1:3" x14ac:dyDescent="0.25">
      <c r="A88">
        <v>3698</v>
      </c>
      <c r="B88" s="1">
        <f>logtemperature__2[[#This Row],[Seconds]]/60-46</f>
        <v>15.633333333333333</v>
      </c>
      <c r="C88">
        <v>77.92</v>
      </c>
    </row>
    <row r="89" spans="1:3" x14ac:dyDescent="0.25">
      <c r="A89">
        <v>3708</v>
      </c>
      <c r="B89" s="1">
        <f>logtemperature__2[[#This Row],[Seconds]]/60-46</f>
        <v>15.799999999999997</v>
      </c>
      <c r="C89">
        <v>79.069999999999993</v>
      </c>
    </row>
    <row r="90" spans="1:3" x14ac:dyDescent="0.25">
      <c r="A90">
        <v>3718</v>
      </c>
      <c r="B90" s="1">
        <f>logtemperature__2[[#This Row],[Seconds]]/60-46</f>
        <v>15.966666666666669</v>
      </c>
      <c r="C90">
        <v>80.8</v>
      </c>
    </row>
    <row r="91" spans="1:3" x14ac:dyDescent="0.25">
      <c r="A91">
        <v>3728</v>
      </c>
      <c r="B91" s="1">
        <f>logtemperature__2[[#This Row],[Seconds]]/60-46</f>
        <v>16.133333333333333</v>
      </c>
      <c r="C91">
        <v>81.08</v>
      </c>
    </row>
    <row r="92" spans="1:3" x14ac:dyDescent="0.25">
      <c r="A92">
        <v>3738</v>
      </c>
      <c r="B92" s="1">
        <f>logtemperature__2[[#This Row],[Seconds]]/60-46</f>
        <v>16.299999999999997</v>
      </c>
      <c r="C92">
        <v>78.62</v>
      </c>
    </row>
    <row r="93" spans="1:3" x14ac:dyDescent="0.25">
      <c r="A93">
        <v>3748</v>
      </c>
      <c r="B93" s="1">
        <f>logtemperature__2[[#This Row],[Seconds]]/60-46</f>
        <v>16.466666666666669</v>
      </c>
      <c r="C93">
        <v>80.86</v>
      </c>
    </row>
    <row r="94" spans="1:3" x14ac:dyDescent="0.25">
      <c r="A94">
        <v>3758</v>
      </c>
      <c r="B94" s="1">
        <f>logtemperature__2[[#This Row],[Seconds]]/60-46</f>
        <v>16.633333333333333</v>
      </c>
      <c r="C94">
        <v>80.98</v>
      </c>
    </row>
    <row r="95" spans="1:3" x14ac:dyDescent="0.25">
      <c r="A95">
        <v>3768</v>
      </c>
      <c r="B95" s="1">
        <f>logtemperature__2[[#This Row],[Seconds]]/60-46</f>
        <v>16.799999999999997</v>
      </c>
      <c r="C95">
        <v>81.13</v>
      </c>
    </row>
    <row r="96" spans="1:3" x14ac:dyDescent="0.25">
      <c r="A96">
        <v>3778</v>
      </c>
      <c r="B96" s="1">
        <f>logtemperature__2[[#This Row],[Seconds]]/60-46</f>
        <v>16.966666666666669</v>
      </c>
      <c r="C96">
        <v>81.349999999999994</v>
      </c>
    </row>
    <row r="97" spans="1:3" x14ac:dyDescent="0.25">
      <c r="A97">
        <v>3788</v>
      </c>
      <c r="B97" s="1">
        <f>logtemperature__2[[#This Row],[Seconds]]/60-46</f>
        <v>17.133333333333333</v>
      </c>
      <c r="C97">
        <v>80.58</v>
      </c>
    </row>
    <row r="98" spans="1:3" x14ac:dyDescent="0.25">
      <c r="A98">
        <v>3798</v>
      </c>
      <c r="B98" s="1">
        <f>logtemperature__2[[#This Row],[Seconds]]/60-46</f>
        <v>17.299999999999997</v>
      </c>
      <c r="C98">
        <v>80.5</v>
      </c>
    </row>
    <row r="99" spans="1:3" x14ac:dyDescent="0.25">
      <c r="A99">
        <v>3808</v>
      </c>
      <c r="B99" s="1">
        <f>logtemperature__2[[#This Row],[Seconds]]/60-46</f>
        <v>17.466666666666669</v>
      </c>
      <c r="C99">
        <v>80.099999999999994</v>
      </c>
    </row>
    <row r="100" spans="1:3" x14ac:dyDescent="0.25">
      <c r="A100">
        <v>3818</v>
      </c>
      <c r="B100" s="1">
        <f>logtemperature__2[[#This Row],[Seconds]]/60-46</f>
        <v>17.633333333333333</v>
      </c>
      <c r="C100">
        <v>81.19</v>
      </c>
    </row>
    <row r="101" spans="1:3" x14ac:dyDescent="0.25">
      <c r="A101">
        <v>3828</v>
      </c>
      <c r="B101" s="1">
        <f>logtemperature__2[[#This Row],[Seconds]]/60-46</f>
        <v>17.799999999999997</v>
      </c>
      <c r="C101">
        <v>80.06</v>
      </c>
    </row>
    <row r="102" spans="1:3" x14ac:dyDescent="0.25">
      <c r="A102">
        <v>3838</v>
      </c>
      <c r="B102" s="1">
        <f>logtemperature__2[[#This Row],[Seconds]]/60-46</f>
        <v>17.966666666666669</v>
      </c>
      <c r="C102">
        <v>81.42</v>
      </c>
    </row>
    <row r="103" spans="1:3" x14ac:dyDescent="0.25">
      <c r="A103">
        <v>3848</v>
      </c>
      <c r="B103" s="1">
        <f>logtemperature__2[[#This Row],[Seconds]]/60-46</f>
        <v>18.13333333333334</v>
      </c>
      <c r="C103">
        <v>81.489999999999995</v>
      </c>
    </row>
    <row r="104" spans="1:3" x14ac:dyDescent="0.25">
      <c r="A104">
        <v>3858</v>
      </c>
      <c r="B104" s="1">
        <f>logtemperature__2[[#This Row],[Seconds]]/60-46</f>
        <v>18.299999999999997</v>
      </c>
      <c r="C104">
        <v>80.73</v>
      </c>
    </row>
    <row r="105" spans="1:3" x14ac:dyDescent="0.25">
      <c r="A105">
        <v>3868</v>
      </c>
      <c r="B105" s="1">
        <f>logtemperature__2[[#This Row],[Seconds]]/60-46</f>
        <v>18.466666666666669</v>
      </c>
      <c r="C105">
        <v>81.27</v>
      </c>
    </row>
    <row r="106" spans="1:3" x14ac:dyDescent="0.25">
      <c r="A106">
        <v>3878</v>
      </c>
      <c r="B106" s="1">
        <f>logtemperature__2[[#This Row],[Seconds]]/60-46</f>
        <v>18.63333333333334</v>
      </c>
      <c r="C106">
        <v>82.98</v>
      </c>
    </row>
    <row r="107" spans="1:3" x14ac:dyDescent="0.25">
      <c r="A107">
        <v>3888</v>
      </c>
      <c r="B107" s="1">
        <f>logtemperature__2[[#This Row],[Seconds]]/60-46</f>
        <v>18.799999999999997</v>
      </c>
      <c r="C107">
        <v>83.12</v>
      </c>
    </row>
    <row r="108" spans="1:3" x14ac:dyDescent="0.25">
      <c r="A108">
        <v>3898</v>
      </c>
      <c r="B108" s="1">
        <f>logtemperature__2[[#This Row],[Seconds]]/60-46</f>
        <v>18.966666666666669</v>
      </c>
      <c r="C108">
        <v>84.55</v>
      </c>
    </row>
    <row r="109" spans="1:3" x14ac:dyDescent="0.25">
      <c r="A109">
        <v>3908</v>
      </c>
      <c r="B109" s="1">
        <f>logtemperature__2[[#This Row],[Seconds]]/60-46</f>
        <v>19.13333333333334</v>
      </c>
      <c r="C109">
        <v>81.400000000000006</v>
      </c>
    </row>
    <row r="110" spans="1:3" x14ac:dyDescent="0.25">
      <c r="A110">
        <v>3918</v>
      </c>
      <c r="B110" s="1">
        <f>logtemperature__2[[#This Row],[Seconds]]/60-46</f>
        <v>19.299999999999997</v>
      </c>
      <c r="C110">
        <v>82.3</v>
      </c>
    </row>
    <row r="111" spans="1:3" x14ac:dyDescent="0.25">
      <c r="A111">
        <v>3928</v>
      </c>
      <c r="B111" s="1">
        <f>logtemperature__2[[#This Row],[Seconds]]/60-46</f>
        <v>19.466666666666669</v>
      </c>
      <c r="C111">
        <v>82.9</v>
      </c>
    </row>
    <row r="112" spans="1:3" x14ac:dyDescent="0.25">
      <c r="A112">
        <v>3938</v>
      </c>
      <c r="B112" s="1">
        <f>logtemperature__2[[#This Row],[Seconds]]/60-46</f>
        <v>19.63333333333334</v>
      </c>
      <c r="C112">
        <v>84.65</v>
      </c>
    </row>
    <row r="113" spans="1:3" x14ac:dyDescent="0.25">
      <c r="A113">
        <v>3948</v>
      </c>
      <c r="B113" s="1">
        <f>logtemperature__2[[#This Row],[Seconds]]/60-46</f>
        <v>19.799999999999997</v>
      </c>
      <c r="C113">
        <v>84.54</v>
      </c>
    </row>
    <row r="114" spans="1:3" x14ac:dyDescent="0.25">
      <c r="A114">
        <v>3958</v>
      </c>
      <c r="B114" s="1">
        <f>logtemperature__2[[#This Row],[Seconds]]/60-46</f>
        <v>19.966666666666669</v>
      </c>
      <c r="C114">
        <v>84.61</v>
      </c>
    </row>
    <row r="115" spans="1:3" x14ac:dyDescent="0.25">
      <c r="A115">
        <v>3968</v>
      </c>
      <c r="B115" s="1">
        <f>logtemperature__2[[#This Row],[Seconds]]/60-46</f>
        <v>20.13333333333334</v>
      </c>
      <c r="C115">
        <v>81.790000000000006</v>
      </c>
    </row>
    <row r="116" spans="1:3" x14ac:dyDescent="0.25">
      <c r="A116">
        <v>3978</v>
      </c>
      <c r="B116" s="1">
        <f>logtemperature__2[[#This Row],[Seconds]]/60-46</f>
        <v>20.299999999999997</v>
      </c>
      <c r="C116">
        <v>85.53</v>
      </c>
    </row>
    <row r="117" spans="1:3" x14ac:dyDescent="0.25">
      <c r="A117">
        <v>3988</v>
      </c>
      <c r="B117" s="1">
        <f>logtemperature__2[[#This Row],[Seconds]]/60-46</f>
        <v>20.466666666666669</v>
      </c>
      <c r="C117">
        <v>85.48</v>
      </c>
    </row>
    <row r="118" spans="1:3" x14ac:dyDescent="0.25">
      <c r="A118">
        <v>3998</v>
      </c>
      <c r="B118" s="1">
        <f>logtemperature__2[[#This Row],[Seconds]]/60-46</f>
        <v>20.63333333333334</v>
      </c>
      <c r="C118">
        <v>85.53</v>
      </c>
    </row>
    <row r="119" spans="1:3" x14ac:dyDescent="0.25">
      <c r="A119">
        <v>4008</v>
      </c>
      <c r="B119" s="1">
        <f>logtemperature__2[[#This Row],[Seconds]]/60-46</f>
        <v>20.799999999999997</v>
      </c>
      <c r="C119">
        <v>84.91</v>
      </c>
    </row>
    <row r="120" spans="1:3" x14ac:dyDescent="0.25">
      <c r="A120">
        <v>4018</v>
      </c>
      <c r="B120" s="1">
        <f>logtemperature__2[[#This Row],[Seconds]]/60-46</f>
        <v>20.966666666666669</v>
      </c>
      <c r="C120">
        <v>85.81</v>
      </c>
    </row>
    <row r="121" spans="1:3" x14ac:dyDescent="0.25">
      <c r="A121">
        <v>4028</v>
      </c>
      <c r="B121" s="1">
        <f>logtemperature__2[[#This Row],[Seconds]]/60-46</f>
        <v>21.13333333333334</v>
      </c>
      <c r="C121">
        <v>86.12</v>
      </c>
    </row>
    <row r="122" spans="1:3" x14ac:dyDescent="0.25">
      <c r="A122">
        <v>4038</v>
      </c>
      <c r="B122" s="1">
        <f>logtemperature__2[[#This Row],[Seconds]]/60-46</f>
        <v>21.299999999999997</v>
      </c>
      <c r="C122">
        <v>85.1</v>
      </c>
    </row>
    <row r="123" spans="1:3" x14ac:dyDescent="0.25">
      <c r="A123">
        <v>4048</v>
      </c>
      <c r="B123" s="1">
        <f>logtemperature__2[[#This Row],[Seconds]]/60-46</f>
        <v>21.466666666666669</v>
      </c>
      <c r="C123">
        <v>86.05</v>
      </c>
    </row>
    <row r="124" spans="1:3" x14ac:dyDescent="0.25">
      <c r="A124">
        <v>4058</v>
      </c>
      <c r="B124" s="1">
        <f>logtemperature__2[[#This Row],[Seconds]]/60-46</f>
        <v>21.63333333333334</v>
      </c>
      <c r="C124">
        <v>85.91</v>
      </c>
    </row>
    <row r="125" spans="1:3" x14ac:dyDescent="0.25">
      <c r="A125">
        <v>4068</v>
      </c>
      <c r="B125" s="1">
        <f>logtemperature__2[[#This Row],[Seconds]]/60-46</f>
        <v>21.799999999999997</v>
      </c>
      <c r="C125">
        <v>86.67</v>
      </c>
    </row>
    <row r="126" spans="1:3" x14ac:dyDescent="0.25">
      <c r="A126">
        <v>4078</v>
      </c>
      <c r="B126" s="1">
        <f>logtemperature__2[[#This Row],[Seconds]]/60-46</f>
        <v>21.966666666666669</v>
      </c>
      <c r="C126">
        <v>85.66</v>
      </c>
    </row>
    <row r="127" spans="1:3" x14ac:dyDescent="0.25">
      <c r="A127">
        <v>4088</v>
      </c>
      <c r="B127" s="1">
        <f>logtemperature__2[[#This Row],[Seconds]]/60-46</f>
        <v>22.13333333333334</v>
      </c>
      <c r="C127">
        <v>86.03</v>
      </c>
    </row>
    <row r="128" spans="1:3" x14ac:dyDescent="0.25">
      <c r="A128">
        <v>4098</v>
      </c>
      <c r="B128" s="1">
        <f>logtemperature__2[[#This Row],[Seconds]]/60-46</f>
        <v>22.299999999999997</v>
      </c>
      <c r="C128">
        <v>83.89</v>
      </c>
    </row>
    <row r="129" spans="1:3" x14ac:dyDescent="0.25">
      <c r="A129">
        <v>4108</v>
      </c>
      <c r="B129" s="1">
        <f>logtemperature__2[[#This Row],[Seconds]]/60-46</f>
        <v>22.466666666666669</v>
      </c>
      <c r="C129">
        <v>84.29</v>
      </c>
    </row>
    <row r="130" spans="1:3" x14ac:dyDescent="0.25">
      <c r="A130">
        <v>4118</v>
      </c>
      <c r="B130" s="1">
        <f>logtemperature__2[[#This Row],[Seconds]]/60-46</f>
        <v>22.63333333333334</v>
      </c>
      <c r="C130">
        <v>83.9</v>
      </c>
    </row>
    <row r="131" spans="1:3" x14ac:dyDescent="0.25">
      <c r="A131">
        <v>4128</v>
      </c>
      <c r="B131" s="1">
        <f>logtemperature__2[[#This Row],[Seconds]]/60-46</f>
        <v>22.799999999999997</v>
      </c>
      <c r="C131">
        <v>84.33</v>
      </c>
    </row>
    <row r="132" spans="1:3" x14ac:dyDescent="0.25">
      <c r="A132">
        <v>4138</v>
      </c>
      <c r="B132" s="1">
        <f>logtemperature__2[[#This Row],[Seconds]]/60-46</f>
        <v>22.966666666666669</v>
      </c>
      <c r="C132">
        <v>85.83</v>
      </c>
    </row>
    <row r="133" spans="1:3" x14ac:dyDescent="0.25">
      <c r="A133">
        <v>4148</v>
      </c>
      <c r="B133" s="1">
        <f>logtemperature__2[[#This Row],[Seconds]]/60-46</f>
        <v>23.13333333333334</v>
      </c>
      <c r="C133">
        <v>86.42</v>
      </c>
    </row>
    <row r="134" spans="1:3" x14ac:dyDescent="0.25">
      <c r="A134">
        <v>4158</v>
      </c>
      <c r="B134" s="1">
        <f>logtemperature__2[[#This Row],[Seconds]]/60-46</f>
        <v>23.299999999999997</v>
      </c>
      <c r="C134">
        <v>84.64</v>
      </c>
    </row>
    <row r="135" spans="1:3" x14ac:dyDescent="0.25">
      <c r="A135">
        <v>4169</v>
      </c>
      <c r="B135" s="1">
        <f>logtemperature__2[[#This Row],[Seconds]]/60-46</f>
        <v>23.483333333333334</v>
      </c>
      <c r="C135">
        <v>87.19</v>
      </c>
    </row>
    <row r="136" spans="1:3" x14ac:dyDescent="0.25">
      <c r="A136">
        <v>4179</v>
      </c>
      <c r="B136" s="1">
        <f>logtemperature__2[[#This Row],[Seconds]]/60-46</f>
        <v>23.650000000000006</v>
      </c>
      <c r="C136">
        <v>86.91</v>
      </c>
    </row>
    <row r="137" spans="1:3" x14ac:dyDescent="0.25">
      <c r="A137">
        <v>4189</v>
      </c>
      <c r="B137" s="1">
        <f>logtemperature__2[[#This Row],[Seconds]]/60-46</f>
        <v>23.816666666666663</v>
      </c>
      <c r="C137">
        <v>86.67</v>
      </c>
    </row>
    <row r="138" spans="1:3" x14ac:dyDescent="0.25">
      <c r="A138">
        <v>4199</v>
      </c>
      <c r="B138" s="1">
        <f>logtemperature__2[[#This Row],[Seconds]]/60-46</f>
        <v>23.983333333333334</v>
      </c>
      <c r="C138">
        <v>86.5</v>
      </c>
    </row>
    <row r="139" spans="1:3" x14ac:dyDescent="0.25">
      <c r="A139">
        <v>4209</v>
      </c>
      <c r="B139" s="1">
        <f>logtemperature__2[[#This Row],[Seconds]]/60-46</f>
        <v>24.150000000000006</v>
      </c>
      <c r="C139">
        <v>87.08</v>
      </c>
    </row>
    <row r="140" spans="1:3" x14ac:dyDescent="0.25">
      <c r="A140">
        <v>4219</v>
      </c>
      <c r="B140" s="1">
        <f>logtemperature__2[[#This Row],[Seconds]]/60-46</f>
        <v>24.316666666666663</v>
      </c>
      <c r="C140">
        <v>88.76</v>
      </c>
    </row>
    <row r="141" spans="1:3" x14ac:dyDescent="0.25">
      <c r="A141">
        <v>4229</v>
      </c>
      <c r="B141" s="1">
        <f>logtemperature__2[[#This Row],[Seconds]]/60-46</f>
        <v>24.483333333333334</v>
      </c>
      <c r="C141">
        <v>87.37</v>
      </c>
    </row>
    <row r="142" spans="1:3" x14ac:dyDescent="0.25">
      <c r="A142">
        <v>4239</v>
      </c>
      <c r="B142" s="1">
        <f>logtemperature__2[[#This Row],[Seconds]]/60-46</f>
        <v>24.650000000000006</v>
      </c>
      <c r="C142">
        <v>86.56</v>
      </c>
    </row>
    <row r="143" spans="1:3" x14ac:dyDescent="0.25">
      <c r="A143">
        <v>4249</v>
      </c>
      <c r="B143" s="1">
        <f>logtemperature__2[[#This Row],[Seconds]]/60-46</f>
        <v>24.816666666666663</v>
      </c>
      <c r="C143">
        <v>86.87</v>
      </c>
    </row>
    <row r="144" spans="1:3" x14ac:dyDescent="0.25">
      <c r="A144">
        <v>4259</v>
      </c>
      <c r="B144" s="1">
        <f>logtemperature__2[[#This Row],[Seconds]]/60-46</f>
        <v>24.983333333333334</v>
      </c>
      <c r="C144">
        <v>85.43</v>
      </c>
    </row>
    <row r="145" spans="1:3" x14ac:dyDescent="0.25">
      <c r="A145">
        <v>4269</v>
      </c>
      <c r="B145" s="1">
        <f>logtemperature__2[[#This Row],[Seconds]]/60-46</f>
        <v>25.150000000000006</v>
      </c>
      <c r="C145">
        <v>85.02</v>
      </c>
    </row>
    <row r="146" spans="1:3" x14ac:dyDescent="0.25">
      <c r="A146">
        <v>4279</v>
      </c>
      <c r="B146" s="1">
        <f>logtemperature__2[[#This Row],[Seconds]]/60-46</f>
        <v>25.316666666666663</v>
      </c>
      <c r="C146">
        <v>86.06</v>
      </c>
    </row>
    <row r="147" spans="1:3" x14ac:dyDescent="0.25">
      <c r="A147">
        <v>4289</v>
      </c>
      <c r="B147" s="1">
        <f>logtemperature__2[[#This Row],[Seconds]]/60-46</f>
        <v>25.483333333333334</v>
      </c>
      <c r="C147">
        <v>85.43</v>
      </c>
    </row>
    <row r="148" spans="1:3" x14ac:dyDescent="0.25">
      <c r="A148">
        <v>4299</v>
      </c>
      <c r="B148" s="1">
        <f>logtemperature__2[[#This Row],[Seconds]]/60-46</f>
        <v>25.650000000000006</v>
      </c>
      <c r="C148">
        <v>86.25</v>
      </c>
    </row>
    <row r="149" spans="1:3" x14ac:dyDescent="0.25">
      <c r="A149">
        <v>4309</v>
      </c>
      <c r="B149" s="1">
        <f>logtemperature__2[[#This Row],[Seconds]]/60-46</f>
        <v>25.816666666666663</v>
      </c>
      <c r="C149">
        <v>86.83</v>
      </c>
    </row>
    <row r="150" spans="1:3" x14ac:dyDescent="0.25">
      <c r="A150">
        <v>4319</v>
      </c>
      <c r="B150" s="1">
        <f>logtemperature__2[[#This Row],[Seconds]]/60-46</f>
        <v>25.983333333333334</v>
      </c>
      <c r="C150">
        <v>87.33</v>
      </c>
    </row>
    <row r="151" spans="1:3" x14ac:dyDescent="0.25">
      <c r="A151">
        <v>4329</v>
      </c>
      <c r="B151" s="1">
        <f>logtemperature__2[[#This Row],[Seconds]]/60-46</f>
        <v>26.150000000000006</v>
      </c>
      <c r="C151">
        <v>88.8</v>
      </c>
    </row>
    <row r="152" spans="1:3" x14ac:dyDescent="0.25">
      <c r="A152">
        <v>4339</v>
      </c>
      <c r="B152" s="1">
        <f>logtemperature__2[[#This Row],[Seconds]]/60-46</f>
        <v>26.316666666666663</v>
      </c>
      <c r="C152">
        <v>87.6</v>
      </c>
    </row>
    <row r="153" spans="1:3" x14ac:dyDescent="0.25">
      <c r="A153">
        <v>4349</v>
      </c>
      <c r="B153" s="1">
        <f>logtemperature__2[[#This Row],[Seconds]]/60-46</f>
        <v>26.483333333333334</v>
      </c>
      <c r="C153">
        <v>86.99</v>
      </c>
    </row>
    <row r="154" spans="1:3" x14ac:dyDescent="0.25">
      <c r="A154">
        <v>4359</v>
      </c>
      <c r="B154" s="1">
        <f>logtemperature__2[[#This Row],[Seconds]]/60-46</f>
        <v>26.650000000000006</v>
      </c>
      <c r="C154">
        <v>89.18</v>
      </c>
    </row>
    <row r="155" spans="1:3" x14ac:dyDescent="0.25">
      <c r="A155">
        <v>4369</v>
      </c>
      <c r="B155" s="1">
        <f>logtemperature__2[[#This Row],[Seconds]]/60-46</f>
        <v>26.816666666666663</v>
      </c>
      <c r="C155">
        <v>87.93</v>
      </c>
    </row>
    <row r="156" spans="1:3" x14ac:dyDescent="0.25">
      <c r="A156">
        <v>4379</v>
      </c>
      <c r="B156" s="1">
        <f>logtemperature__2[[#This Row],[Seconds]]/60-46</f>
        <v>26.983333333333334</v>
      </c>
      <c r="C156">
        <v>88.87</v>
      </c>
    </row>
    <row r="157" spans="1:3" x14ac:dyDescent="0.25">
      <c r="A157">
        <v>4389</v>
      </c>
      <c r="B157" s="1">
        <f>logtemperature__2[[#This Row],[Seconds]]/60-46</f>
        <v>27.150000000000006</v>
      </c>
      <c r="C157">
        <v>84.39</v>
      </c>
    </row>
    <row r="158" spans="1:3" x14ac:dyDescent="0.25">
      <c r="A158">
        <v>4399</v>
      </c>
      <c r="B158" s="1">
        <f>logtemperature__2[[#This Row],[Seconds]]/60-46</f>
        <v>27.316666666666663</v>
      </c>
      <c r="C158">
        <v>85.59</v>
      </c>
    </row>
    <row r="159" spans="1:3" x14ac:dyDescent="0.25">
      <c r="A159">
        <v>4409</v>
      </c>
      <c r="B159" s="1">
        <f>logtemperature__2[[#This Row],[Seconds]]/60-46</f>
        <v>27.483333333333334</v>
      </c>
      <c r="C159">
        <v>86.43</v>
      </c>
    </row>
    <row r="160" spans="1:3" x14ac:dyDescent="0.25">
      <c r="A160">
        <v>4419</v>
      </c>
      <c r="B160" s="1">
        <f>logtemperature__2[[#This Row],[Seconds]]/60-46</f>
        <v>27.650000000000006</v>
      </c>
      <c r="C160">
        <v>89.26</v>
      </c>
    </row>
    <row r="161" spans="1:3" x14ac:dyDescent="0.25">
      <c r="A161">
        <v>4429</v>
      </c>
      <c r="B161" s="1">
        <f>logtemperature__2[[#This Row],[Seconds]]/60-46</f>
        <v>27.816666666666663</v>
      </c>
      <c r="C161">
        <v>87.67</v>
      </c>
    </row>
    <row r="162" spans="1:3" x14ac:dyDescent="0.25">
      <c r="A162">
        <v>4439</v>
      </c>
      <c r="B162" s="1">
        <f>logtemperature__2[[#This Row],[Seconds]]/60-46</f>
        <v>27.983333333333334</v>
      </c>
      <c r="C162">
        <v>88.61</v>
      </c>
    </row>
    <row r="163" spans="1:3" x14ac:dyDescent="0.25">
      <c r="A163">
        <v>4449</v>
      </c>
      <c r="B163" s="1">
        <f>logtemperature__2[[#This Row],[Seconds]]/60-46</f>
        <v>28.150000000000006</v>
      </c>
      <c r="C163">
        <v>89.71</v>
      </c>
    </row>
    <row r="164" spans="1:3" x14ac:dyDescent="0.25">
      <c r="A164">
        <v>4459</v>
      </c>
      <c r="B164" s="1">
        <f>logtemperature__2[[#This Row],[Seconds]]/60-46</f>
        <v>28.316666666666663</v>
      </c>
      <c r="C164">
        <v>88.11</v>
      </c>
    </row>
    <row r="165" spans="1:3" x14ac:dyDescent="0.25">
      <c r="A165">
        <v>4469</v>
      </c>
      <c r="B165" s="1">
        <f>logtemperature__2[[#This Row],[Seconds]]/60-46</f>
        <v>28.483333333333334</v>
      </c>
      <c r="C165">
        <v>89.53</v>
      </c>
    </row>
    <row r="166" spans="1:3" x14ac:dyDescent="0.25">
      <c r="A166">
        <v>4479</v>
      </c>
      <c r="B166" s="1">
        <f>logtemperature__2[[#This Row],[Seconds]]/60-46</f>
        <v>28.650000000000006</v>
      </c>
      <c r="C166">
        <v>90.48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F5129-98B9-4201-8EE7-E73B890F55FF}">
  <dimension ref="A1:C264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3</v>
      </c>
      <c r="B1" t="s">
        <v>2</v>
      </c>
      <c r="C1" t="s">
        <v>1</v>
      </c>
    </row>
    <row r="2" spans="1:3" x14ac:dyDescent="0.25">
      <c r="A2">
        <v>402</v>
      </c>
      <c r="B2" s="1">
        <f>logtemperature[[#This Row],[Time]]/60-7</f>
        <v>-0.29999999999999982</v>
      </c>
      <c r="C2">
        <v>28.99</v>
      </c>
    </row>
    <row r="3" spans="1:3" x14ac:dyDescent="0.25">
      <c r="A3">
        <v>412</v>
      </c>
      <c r="B3" s="1">
        <f>logtemperature[[#This Row],[Time]]/60-7</f>
        <v>-0.13333333333333375</v>
      </c>
      <c r="C3">
        <v>29.6</v>
      </c>
    </row>
    <row r="4" spans="1:3" x14ac:dyDescent="0.25">
      <c r="A4">
        <v>422</v>
      </c>
      <c r="B4" s="1">
        <f>logtemperature[[#This Row],[Time]]/60-7</f>
        <v>3.3333333333333215E-2</v>
      </c>
      <c r="C4">
        <v>30.3</v>
      </c>
    </row>
    <row r="5" spans="1:3" x14ac:dyDescent="0.25">
      <c r="A5">
        <v>432</v>
      </c>
      <c r="B5" s="1">
        <f>logtemperature[[#This Row],[Time]]/60-7</f>
        <v>0.20000000000000018</v>
      </c>
      <c r="C5">
        <v>30.99</v>
      </c>
    </row>
    <row r="6" spans="1:3" x14ac:dyDescent="0.25">
      <c r="A6">
        <v>442</v>
      </c>
      <c r="B6" s="1">
        <f>logtemperature[[#This Row],[Time]]/60-7</f>
        <v>0.36666666666666625</v>
      </c>
      <c r="C6">
        <v>31.4</v>
      </c>
    </row>
    <row r="7" spans="1:3" x14ac:dyDescent="0.25">
      <c r="A7">
        <v>452</v>
      </c>
      <c r="B7" s="1">
        <f>logtemperature[[#This Row],[Time]]/60-7</f>
        <v>0.53333333333333321</v>
      </c>
      <c r="C7">
        <v>31.46</v>
      </c>
    </row>
    <row r="8" spans="1:3" x14ac:dyDescent="0.25">
      <c r="A8">
        <v>462</v>
      </c>
      <c r="B8" s="1">
        <f>logtemperature[[#This Row],[Time]]/60-7</f>
        <v>0.70000000000000018</v>
      </c>
      <c r="C8">
        <v>32.19</v>
      </c>
    </row>
    <row r="9" spans="1:3" x14ac:dyDescent="0.25">
      <c r="A9">
        <v>472</v>
      </c>
      <c r="B9" s="1">
        <f>logtemperature[[#This Row],[Time]]/60-7</f>
        <v>0.86666666666666625</v>
      </c>
      <c r="C9">
        <v>33.42</v>
      </c>
    </row>
    <row r="10" spans="1:3" x14ac:dyDescent="0.25">
      <c r="A10">
        <v>482</v>
      </c>
      <c r="B10" s="1">
        <f>logtemperature[[#This Row],[Time]]/60-7</f>
        <v>1.0333333333333332</v>
      </c>
      <c r="C10">
        <v>33.99</v>
      </c>
    </row>
    <row r="11" spans="1:3" x14ac:dyDescent="0.25">
      <c r="A11">
        <v>492</v>
      </c>
      <c r="B11" s="1">
        <f>logtemperature[[#This Row],[Time]]/60-7</f>
        <v>1.1999999999999993</v>
      </c>
      <c r="C11">
        <v>34.64</v>
      </c>
    </row>
    <row r="12" spans="1:3" x14ac:dyDescent="0.25">
      <c r="A12">
        <v>502</v>
      </c>
      <c r="B12" s="1">
        <f>logtemperature[[#This Row],[Time]]/60-7</f>
        <v>1.3666666666666671</v>
      </c>
      <c r="C12">
        <v>35.619999999999997</v>
      </c>
    </row>
    <row r="13" spans="1:3" x14ac:dyDescent="0.25">
      <c r="A13">
        <v>512</v>
      </c>
      <c r="B13" s="1">
        <f>logtemperature[[#This Row],[Time]]/60-7</f>
        <v>1.5333333333333332</v>
      </c>
      <c r="C13">
        <v>36.369999999999997</v>
      </c>
    </row>
    <row r="14" spans="1:3" x14ac:dyDescent="0.25">
      <c r="A14">
        <v>522</v>
      </c>
      <c r="B14" s="1">
        <f>logtemperature[[#This Row],[Time]]/60-7</f>
        <v>1.6999999999999993</v>
      </c>
      <c r="C14">
        <v>36.93</v>
      </c>
    </row>
    <row r="15" spans="1:3" x14ac:dyDescent="0.25">
      <c r="A15">
        <v>533</v>
      </c>
      <c r="B15" s="1">
        <f>logtemperature[[#This Row],[Time]]/60-7</f>
        <v>1.8833333333333329</v>
      </c>
      <c r="C15">
        <v>37.75</v>
      </c>
    </row>
    <row r="16" spans="1:3" x14ac:dyDescent="0.25">
      <c r="A16">
        <v>543</v>
      </c>
      <c r="B16" s="1">
        <f>logtemperature[[#This Row],[Time]]/60-7</f>
        <v>2.0500000000000007</v>
      </c>
      <c r="C16">
        <v>38.049999999999997</v>
      </c>
    </row>
    <row r="17" spans="1:3" x14ac:dyDescent="0.25">
      <c r="A17">
        <v>553</v>
      </c>
      <c r="B17" s="1">
        <f>logtemperature[[#This Row],[Time]]/60-7</f>
        <v>2.2166666666666668</v>
      </c>
      <c r="C17">
        <v>38.79</v>
      </c>
    </row>
    <row r="18" spans="1:3" x14ac:dyDescent="0.25">
      <c r="A18">
        <v>563</v>
      </c>
      <c r="B18" s="1">
        <f>logtemperature[[#This Row],[Time]]/60-7</f>
        <v>2.3833333333333329</v>
      </c>
      <c r="C18">
        <v>40.35</v>
      </c>
    </row>
    <row r="19" spans="1:3" x14ac:dyDescent="0.25">
      <c r="A19">
        <v>574</v>
      </c>
      <c r="B19" s="1">
        <f>logtemperature[[#This Row],[Time]]/60-7</f>
        <v>2.5666666666666664</v>
      </c>
      <c r="C19">
        <v>41.06</v>
      </c>
    </row>
    <row r="20" spans="1:3" x14ac:dyDescent="0.25">
      <c r="A20">
        <v>584</v>
      </c>
      <c r="B20" s="1">
        <f>logtemperature[[#This Row],[Time]]/60-7</f>
        <v>2.7333333333333325</v>
      </c>
      <c r="C20">
        <v>41.28</v>
      </c>
    </row>
    <row r="21" spans="1:3" x14ac:dyDescent="0.25">
      <c r="A21">
        <v>594</v>
      </c>
      <c r="B21" s="1">
        <f>logtemperature[[#This Row],[Time]]/60-7</f>
        <v>2.9000000000000004</v>
      </c>
      <c r="C21">
        <v>42.23</v>
      </c>
    </row>
    <row r="22" spans="1:3" x14ac:dyDescent="0.25">
      <c r="A22">
        <v>604</v>
      </c>
      <c r="B22" s="1">
        <f>logtemperature[[#This Row],[Time]]/60-7</f>
        <v>3.0666666666666664</v>
      </c>
      <c r="C22">
        <v>43.41</v>
      </c>
    </row>
    <row r="23" spans="1:3" x14ac:dyDescent="0.25">
      <c r="A23">
        <v>615</v>
      </c>
      <c r="B23" s="1">
        <f>logtemperature[[#This Row],[Time]]/60-7</f>
        <v>3.25</v>
      </c>
      <c r="C23">
        <v>43.74</v>
      </c>
    </row>
    <row r="24" spans="1:3" x14ac:dyDescent="0.25">
      <c r="A24">
        <v>625</v>
      </c>
      <c r="B24" s="1">
        <f>logtemperature[[#This Row],[Time]]/60-7</f>
        <v>3.4166666666666661</v>
      </c>
      <c r="C24">
        <v>43.98</v>
      </c>
    </row>
    <row r="25" spans="1:3" x14ac:dyDescent="0.25">
      <c r="A25">
        <v>636</v>
      </c>
      <c r="B25" s="1">
        <f>logtemperature[[#This Row],[Time]]/60-7</f>
        <v>3.5999999999999996</v>
      </c>
      <c r="C25">
        <v>44.89</v>
      </c>
    </row>
    <row r="26" spans="1:3" x14ac:dyDescent="0.25">
      <c r="A26">
        <v>646</v>
      </c>
      <c r="B26" s="1">
        <f>logtemperature[[#This Row],[Time]]/60-7</f>
        <v>3.7666666666666675</v>
      </c>
      <c r="C26">
        <v>45.47</v>
      </c>
    </row>
    <row r="27" spans="1:3" x14ac:dyDescent="0.25">
      <c r="A27">
        <v>656</v>
      </c>
      <c r="B27" s="1">
        <f>logtemperature[[#This Row],[Time]]/60-7</f>
        <v>3.9333333333333336</v>
      </c>
      <c r="C27">
        <v>46.48</v>
      </c>
    </row>
    <row r="28" spans="1:3" x14ac:dyDescent="0.25">
      <c r="A28">
        <v>667</v>
      </c>
      <c r="B28" s="1">
        <f>logtemperature[[#This Row],[Time]]/60-7</f>
        <v>4.1166666666666671</v>
      </c>
      <c r="C28">
        <v>48.74</v>
      </c>
    </row>
    <row r="29" spans="1:3" x14ac:dyDescent="0.25">
      <c r="A29">
        <v>677</v>
      </c>
      <c r="B29" s="1">
        <f>logtemperature[[#This Row],[Time]]/60-7</f>
        <v>4.2833333333333332</v>
      </c>
      <c r="C29">
        <v>48.48</v>
      </c>
    </row>
    <row r="30" spans="1:3" x14ac:dyDescent="0.25">
      <c r="A30">
        <v>687</v>
      </c>
      <c r="B30" s="1">
        <f>logtemperature[[#This Row],[Time]]/60-7</f>
        <v>4.4499999999999993</v>
      </c>
      <c r="C30">
        <v>49.43</v>
      </c>
    </row>
    <row r="31" spans="1:3" x14ac:dyDescent="0.25">
      <c r="A31">
        <v>697</v>
      </c>
      <c r="B31" s="1">
        <f>logtemperature[[#This Row],[Time]]/60-7</f>
        <v>4.6166666666666671</v>
      </c>
      <c r="C31">
        <v>49.43</v>
      </c>
    </row>
    <row r="32" spans="1:3" x14ac:dyDescent="0.25">
      <c r="A32">
        <v>707</v>
      </c>
      <c r="B32" s="1">
        <f>logtemperature[[#This Row],[Time]]/60-7</f>
        <v>4.7833333333333332</v>
      </c>
      <c r="C32">
        <v>49.34</v>
      </c>
    </row>
    <row r="33" spans="1:3" x14ac:dyDescent="0.25">
      <c r="A33">
        <v>718</v>
      </c>
      <c r="B33" s="1">
        <f>logtemperature[[#This Row],[Time]]/60-7</f>
        <v>4.9666666666666668</v>
      </c>
      <c r="C33">
        <v>50.58</v>
      </c>
    </row>
    <row r="34" spans="1:3" x14ac:dyDescent="0.25">
      <c r="A34">
        <v>728</v>
      </c>
      <c r="B34" s="1">
        <f>logtemperature[[#This Row],[Time]]/60-7</f>
        <v>5.1333333333333329</v>
      </c>
      <c r="C34">
        <v>51.09</v>
      </c>
    </row>
    <row r="35" spans="1:3" x14ac:dyDescent="0.25">
      <c r="A35">
        <v>739</v>
      </c>
      <c r="B35" s="1">
        <f>logtemperature[[#This Row],[Time]]/60-7</f>
        <v>5.3166666666666664</v>
      </c>
      <c r="C35">
        <v>51.02</v>
      </c>
    </row>
    <row r="36" spans="1:3" x14ac:dyDescent="0.25">
      <c r="A36">
        <v>749</v>
      </c>
      <c r="B36" s="1">
        <f>logtemperature[[#This Row],[Time]]/60-7</f>
        <v>5.4833333333333325</v>
      </c>
      <c r="C36">
        <v>51.53</v>
      </c>
    </row>
    <row r="37" spans="1:3" x14ac:dyDescent="0.25">
      <c r="A37">
        <v>759</v>
      </c>
      <c r="B37" s="1">
        <f>logtemperature[[#This Row],[Time]]/60-7</f>
        <v>5.65</v>
      </c>
      <c r="C37">
        <v>51.97</v>
      </c>
    </row>
    <row r="38" spans="1:3" x14ac:dyDescent="0.25">
      <c r="A38">
        <v>770</v>
      </c>
      <c r="B38" s="1">
        <f>logtemperature[[#This Row],[Time]]/60-7</f>
        <v>5.8333333333333339</v>
      </c>
      <c r="C38">
        <v>52.66</v>
      </c>
    </row>
    <row r="39" spans="1:3" x14ac:dyDescent="0.25">
      <c r="A39">
        <v>780</v>
      </c>
      <c r="B39" s="1">
        <f>logtemperature[[#This Row],[Time]]/60-7</f>
        <v>6</v>
      </c>
      <c r="C39">
        <v>52.45</v>
      </c>
    </row>
    <row r="40" spans="1:3" x14ac:dyDescent="0.25">
      <c r="A40">
        <v>790</v>
      </c>
      <c r="B40" s="1">
        <f>logtemperature[[#This Row],[Time]]/60-7</f>
        <v>6.1666666666666661</v>
      </c>
      <c r="C40">
        <v>52.46</v>
      </c>
    </row>
    <row r="41" spans="1:3" x14ac:dyDescent="0.25">
      <c r="A41">
        <v>800</v>
      </c>
      <c r="B41" s="1">
        <f>logtemperature[[#This Row],[Time]]/60-7</f>
        <v>6.3333333333333339</v>
      </c>
      <c r="C41">
        <v>53.1</v>
      </c>
    </row>
    <row r="42" spans="1:3" x14ac:dyDescent="0.25">
      <c r="A42">
        <v>810</v>
      </c>
      <c r="B42" s="1">
        <f>logtemperature[[#This Row],[Time]]/60-7</f>
        <v>6.5</v>
      </c>
      <c r="C42">
        <v>54.03</v>
      </c>
    </row>
    <row r="43" spans="1:3" x14ac:dyDescent="0.25">
      <c r="A43">
        <v>820</v>
      </c>
      <c r="B43" s="1">
        <f>logtemperature[[#This Row],[Time]]/60-7</f>
        <v>6.6666666666666661</v>
      </c>
      <c r="C43">
        <v>54.72</v>
      </c>
    </row>
    <row r="44" spans="1:3" x14ac:dyDescent="0.25">
      <c r="A44">
        <v>830</v>
      </c>
      <c r="B44" s="1">
        <f>logtemperature[[#This Row],[Time]]/60-7</f>
        <v>6.8333333333333339</v>
      </c>
      <c r="C44">
        <v>55.08</v>
      </c>
    </row>
    <row r="45" spans="1:3" x14ac:dyDescent="0.25">
      <c r="A45">
        <v>840</v>
      </c>
      <c r="B45" s="1">
        <f>logtemperature[[#This Row],[Time]]/60-7</f>
        <v>7</v>
      </c>
      <c r="C45">
        <v>54.65</v>
      </c>
    </row>
    <row r="46" spans="1:3" x14ac:dyDescent="0.25">
      <c r="A46">
        <v>851</v>
      </c>
      <c r="B46" s="1">
        <f>logtemperature[[#This Row],[Time]]/60-7</f>
        <v>7.1833333333333336</v>
      </c>
      <c r="C46">
        <v>55.09</v>
      </c>
    </row>
    <row r="47" spans="1:3" x14ac:dyDescent="0.25">
      <c r="A47">
        <v>861</v>
      </c>
      <c r="B47" s="1">
        <f>logtemperature[[#This Row],[Time]]/60-7</f>
        <v>7.35</v>
      </c>
      <c r="C47">
        <v>54.7</v>
      </c>
    </row>
    <row r="48" spans="1:3" x14ac:dyDescent="0.25">
      <c r="A48">
        <v>872</v>
      </c>
      <c r="B48" s="1">
        <f>logtemperature[[#This Row],[Time]]/60-7</f>
        <v>7.5333333333333332</v>
      </c>
      <c r="C48">
        <v>54.23</v>
      </c>
    </row>
    <row r="49" spans="1:3" x14ac:dyDescent="0.25">
      <c r="A49">
        <v>882</v>
      </c>
      <c r="B49" s="1">
        <f>logtemperature[[#This Row],[Time]]/60-7</f>
        <v>7.6999999999999993</v>
      </c>
      <c r="C49">
        <v>54.1</v>
      </c>
    </row>
    <row r="50" spans="1:3" x14ac:dyDescent="0.25">
      <c r="A50">
        <v>892</v>
      </c>
      <c r="B50" s="1">
        <f>logtemperature[[#This Row],[Time]]/60-7</f>
        <v>7.8666666666666671</v>
      </c>
      <c r="C50">
        <v>54.69</v>
      </c>
    </row>
    <row r="51" spans="1:3" x14ac:dyDescent="0.25">
      <c r="A51">
        <v>903</v>
      </c>
      <c r="B51" s="1">
        <f>logtemperature[[#This Row],[Time]]/60-7</f>
        <v>8.0500000000000007</v>
      </c>
      <c r="C51">
        <v>55.36</v>
      </c>
    </row>
    <row r="52" spans="1:3" x14ac:dyDescent="0.25">
      <c r="A52">
        <v>913</v>
      </c>
      <c r="B52" s="1">
        <f>logtemperature[[#This Row],[Time]]/60-7</f>
        <v>8.2166666666666668</v>
      </c>
      <c r="C52">
        <v>55.99</v>
      </c>
    </row>
    <row r="53" spans="1:3" x14ac:dyDescent="0.25">
      <c r="A53">
        <v>923</v>
      </c>
      <c r="B53" s="1">
        <f>logtemperature[[#This Row],[Time]]/60-7</f>
        <v>8.3833333333333329</v>
      </c>
      <c r="C53">
        <v>57.18</v>
      </c>
    </row>
    <row r="54" spans="1:3" x14ac:dyDescent="0.25">
      <c r="A54">
        <v>933</v>
      </c>
      <c r="B54" s="1">
        <f>logtemperature[[#This Row],[Time]]/60-7</f>
        <v>8.5500000000000007</v>
      </c>
      <c r="C54">
        <v>56.81</v>
      </c>
    </row>
    <row r="55" spans="1:3" x14ac:dyDescent="0.25">
      <c r="A55">
        <v>944</v>
      </c>
      <c r="B55" s="1">
        <f>logtemperature[[#This Row],[Time]]/60-7</f>
        <v>8.7333333333333325</v>
      </c>
      <c r="C55">
        <v>56.39</v>
      </c>
    </row>
    <row r="56" spans="1:3" x14ac:dyDescent="0.25">
      <c r="A56">
        <v>954</v>
      </c>
      <c r="B56" s="1">
        <f>logtemperature[[#This Row],[Time]]/60-7</f>
        <v>8.9</v>
      </c>
      <c r="C56">
        <v>56.41</v>
      </c>
    </row>
    <row r="57" spans="1:3" x14ac:dyDescent="0.25">
      <c r="A57">
        <v>964</v>
      </c>
      <c r="B57" s="1">
        <f>logtemperature[[#This Row],[Time]]/60-7</f>
        <v>9.0666666666666664</v>
      </c>
      <c r="C57">
        <v>56.5</v>
      </c>
    </row>
    <row r="58" spans="1:3" x14ac:dyDescent="0.25">
      <c r="A58">
        <v>974</v>
      </c>
      <c r="B58" s="1">
        <f>logtemperature[[#This Row],[Time]]/60-7</f>
        <v>9.2333333333333343</v>
      </c>
      <c r="C58">
        <v>57.25</v>
      </c>
    </row>
    <row r="59" spans="1:3" x14ac:dyDescent="0.25">
      <c r="A59">
        <v>984</v>
      </c>
      <c r="B59" s="1">
        <f>logtemperature[[#This Row],[Time]]/60-7</f>
        <v>9.3999999999999986</v>
      </c>
      <c r="C59">
        <v>57.32</v>
      </c>
    </row>
    <row r="60" spans="1:3" x14ac:dyDescent="0.25">
      <c r="A60">
        <v>994</v>
      </c>
      <c r="B60" s="1">
        <f>logtemperature[[#This Row],[Time]]/60-7</f>
        <v>9.5666666666666664</v>
      </c>
      <c r="C60">
        <v>58.33</v>
      </c>
    </row>
    <row r="61" spans="1:3" x14ac:dyDescent="0.25">
      <c r="A61">
        <v>1004</v>
      </c>
      <c r="B61" s="1">
        <f>logtemperature[[#This Row],[Time]]/60-7</f>
        <v>9.7333333333333343</v>
      </c>
      <c r="C61">
        <v>59.09</v>
      </c>
    </row>
    <row r="62" spans="1:3" x14ac:dyDescent="0.25">
      <c r="A62">
        <v>1014</v>
      </c>
      <c r="B62" s="1">
        <f>logtemperature[[#This Row],[Time]]/60-7</f>
        <v>9.8999999999999986</v>
      </c>
      <c r="C62">
        <v>58.98</v>
      </c>
    </row>
    <row r="63" spans="1:3" x14ac:dyDescent="0.25">
      <c r="A63">
        <v>1024</v>
      </c>
      <c r="B63" s="1">
        <f>logtemperature[[#This Row],[Time]]/60-7</f>
        <v>10.066666666666666</v>
      </c>
      <c r="C63">
        <v>58.7</v>
      </c>
    </row>
    <row r="64" spans="1:3" x14ac:dyDescent="0.25">
      <c r="A64">
        <v>1034</v>
      </c>
      <c r="B64" s="1">
        <f>logtemperature[[#This Row],[Time]]/60-7</f>
        <v>10.233333333333334</v>
      </c>
      <c r="C64">
        <v>59.88</v>
      </c>
    </row>
    <row r="65" spans="1:3" x14ac:dyDescent="0.25">
      <c r="A65">
        <v>1045</v>
      </c>
      <c r="B65" s="1">
        <f>logtemperature[[#This Row],[Time]]/60-7</f>
        <v>10.416666666666668</v>
      </c>
      <c r="C65">
        <v>59.4</v>
      </c>
    </row>
    <row r="66" spans="1:3" x14ac:dyDescent="0.25">
      <c r="A66">
        <v>1055</v>
      </c>
      <c r="B66" s="1">
        <f>logtemperature[[#This Row],[Time]]/60-7</f>
        <v>10.583333333333332</v>
      </c>
      <c r="C66">
        <v>58.63</v>
      </c>
    </row>
    <row r="67" spans="1:3" x14ac:dyDescent="0.25">
      <c r="A67">
        <v>1065</v>
      </c>
      <c r="B67" s="1">
        <f>logtemperature[[#This Row],[Time]]/60-7</f>
        <v>10.75</v>
      </c>
      <c r="C67">
        <v>59.36</v>
      </c>
    </row>
    <row r="68" spans="1:3" x14ac:dyDescent="0.25">
      <c r="A68">
        <v>1075</v>
      </c>
      <c r="B68" s="1">
        <f>logtemperature[[#This Row],[Time]]/60-7</f>
        <v>10.916666666666668</v>
      </c>
      <c r="C68">
        <v>59.41</v>
      </c>
    </row>
    <row r="69" spans="1:3" x14ac:dyDescent="0.25">
      <c r="A69">
        <v>1086</v>
      </c>
      <c r="B69" s="1">
        <f>logtemperature[[#This Row],[Time]]/60-7</f>
        <v>11.100000000000001</v>
      </c>
      <c r="C69">
        <v>59.58</v>
      </c>
    </row>
    <row r="70" spans="1:3" x14ac:dyDescent="0.25">
      <c r="A70">
        <v>1096</v>
      </c>
      <c r="B70" s="1">
        <f>logtemperature[[#This Row],[Time]]/60-7</f>
        <v>11.266666666666666</v>
      </c>
      <c r="C70">
        <v>60.01</v>
      </c>
    </row>
    <row r="71" spans="1:3" x14ac:dyDescent="0.25">
      <c r="A71">
        <v>1106</v>
      </c>
      <c r="B71" s="1">
        <f>logtemperature[[#This Row],[Time]]/60-7</f>
        <v>11.433333333333334</v>
      </c>
      <c r="C71">
        <v>60.4</v>
      </c>
    </row>
    <row r="72" spans="1:3" x14ac:dyDescent="0.25">
      <c r="A72">
        <v>1116</v>
      </c>
      <c r="B72" s="1">
        <f>logtemperature[[#This Row],[Time]]/60-7</f>
        <v>11.600000000000001</v>
      </c>
      <c r="C72">
        <v>60.78</v>
      </c>
    </row>
    <row r="73" spans="1:3" x14ac:dyDescent="0.25">
      <c r="A73">
        <v>1126</v>
      </c>
      <c r="B73" s="1">
        <f>logtemperature[[#This Row],[Time]]/60-7</f>
        <v>11.766666666666666</v>
      </c>
      <c r="C73">
        <v>61.55</v>
      </c>
    </row>
    <row r="74" spans="1:3" x14ac:dyDescent="0.25">
      <c r="A74">
        <v>1137</v>
      </c>
      <c r="B74" s="1">
        <f>logtemperature[[#This Row],[Time]]/60-7</f>
        <v>11.95</v>
      </c>
      <c r="C74">
        <v>61.78</v>
      </c>
    </row>
    <row r="75" spans="1:3" x14ac:dyDescent="0.25">
      <c r="A75">
        <v>1147</v>
      </c>
      <c r="B75" s="1">
        <f>logtemperature[[#This Row],[Time]]/60-7</f>
        <v>12.116666666666667</v>
      </c>
      <c r="C75">
        <v>60.87</v>
      </c>
    </row>
    <row r="76" spans="1:3" x14ac:dyDescent="0.25">
      <c r="A76">
        <v>1157</v>
      </c>
      <c r="B76" s="1">
        <f>logtemperature[[#This Row],[Time]]/60-7</f>
        <v>12.283333333333335</v>
      </c>
      <c r="C76">
        <v>59.49</v>
      </c>
    </row>
    <row r="77" spans="1:3" x14ac:dyDescent="0.25">
      <c r="A77">
        <v>1167</v>
      </c>
      <c r="B77" s="1">
        <f>logtemperature[[#This Row],[Time]]/60-7</f>
        <v>12.45</v>
      </c>
      <c r="C77">
        <v>59.73</v>
      </c>
    </row>
    <row r="78" spans="1:3" x14ac:dyDescent="0.25">
      <c r="A78">
        <v>1178</v>
      </c>
      <c r="B78" s="1">
        <f>logtemperature[[#This Row],[Time]]/60-7</f>
        <v>12.633333333333333</v>
      </c>
      <c r="C78">
        <v>59.97</v>
      </c>
    </row>
    <row r="79" spans="1:3" x14ac:dyDescent="0.25">
      <c r="A79">
        <v>1188</v>
      </c>
      <c r="B79" s="1">
        <f>logtemperature[[#This Row],[Time]]/60-7</f>
        <v>12.8</v>
      </c>
      <c r="C79">
        <v>60.51</v>
      </c>
    </row>
    <row r="80" spans="1:3" x14ac:dyDescent="0.25">
      <c r="A80">
        <v>1198</v>
      </c>
      <c r="B80" s="1">
        <f>logtemperature[[#This Row],[Time]]/60-7</f>
        <v>12.966666666666665</v>
      </c>
      <c r="C80">
        <v>60.46</v>
      </c>
    </row>
    <row r="81" spans="1:3" x14ac:dyDescent="0.25">
      <c r="A81">
        <v>1208</v>
      </c>
      <c r="B81" s="1">
        <f>logtemperature[[#This Row],[Time]]/60-7</f>
        <v>13.133333333333333</v>
      </c>
      <c r="C81">
        <v>61.82</v>
      </c>
    </row>
    <row r="82" spans="1:3" x14ac:dyDescent="0.25">
      <c r="A82">
        <v>1218</v>
      </c>
      <c r="B82" s="1">
        <f>logtemperature[[#This Row],[Time]]/60-7</f>
        <v>13.3</v>
      </c>
      <c r="C82">
        <v>61.83</v>
      </c>
    </row>
    <row r="83" spans="1:3" x14ac:dyDescent="0.25">
      <c r="A83">
        <v>1228</v>
      </c>
      <c r="B83" s="1">
        <f>logtemperature[[#This Row],[Time]]/60-7</f>
        <v>13.466666666666665</v>
      </c>
      <c r="C83">
        <v>61.73</v>
      </c>
    </row>
    <row r="84" spans="1:3" x14ac:dyDescent="0.25">
      <c r="A84">
        <v>1238</v>
      </c>
      <c r="B84" s="1">
        <f>logtemperature[[#This Row],[Time]]/60-7</f>
        <v>13.633333333333333</v>
      </c>
      <c r="C84">
        <v>62.03</v>
      </c>
    </row>
    <row r="85" spans="1:3" x14ac:dyDescent="0.25">
      <c r="A85">
        <v>1249</v>
      </c>
      <c r="B85" s="1">
        <f>logtemperature[[#This Row],[Time]]/60-7</f>
        <v>13.816666666666666</v>
      </c>
      <c r="C85">
        <v>62.78</v>
      </c>
    </row>
    <row r="86" spans="1:3" x14ac:dyDescent="0.25">
      <c r="A86">
        <v>1259</v>
      </c>
      <c r="B86" s="1">
        <f>logtemperature[[#This Row],[Time]]/60-7</f>
        <v>13.983333333333334</v>
      </c>
      <c r="C86">
        <v>63.32</v>
      </c>
    </row>
    <row r="87" spans="1:3" x14ac:dyDescent="0.25">
      <c r="A87">
        <v>1269</v>
      </c>
      <c r="B87" s="1">
        <f>logtemperature[[#This Row],[Time]]/60-7</f>
        <v>14.149999999999999</v>
      </c>
      <c r="C87">
        <v>62.55</v>
      </c>
    </row>
    <row r="88" spans="1:3" x14ac:dyDescent="0.25">
      <c r="A88">
        <v>1279</v>
      </c>
      <c r="B88" s="1">
        <f>logtemperature[[#This Row],[Time]]/60-7</f>
        <v>14.316666666666666</v>
      </c>
      <c r="C88">
        <v>62.23</v>
      </c>
    </row>
    <row r="89" spans="1:3" x14ac:dyDescent="0.25">
      <c r="A89">
        <v>1289</v>
      </c>
      <c r="B89" s="1">
        <f>logtemperature[[#This Row],[Time]]/60-7</f>
        <v>14.483333333333334</v>
      </c>
      <c r="C89">
        <v>62.3</v>
      </c>
    </row>
    <row r="90" spans="1:3" x14ac:dyDescent="0.25">
      <c r="A90">
        <v>1299</v>
      </c>
      <c r="B90" s="1">
        <f>logtemperature[[#This Row],[Time]]/60-7</f>
        <v>14.649999999999999</v>
      </c>
      <c r="C90">
        <v>62.76</v>
      </c>
    </row>
    <row r="91" spans="1:3" x14ac:dyDescent="0.25">
      <c r="A91">
        <v>1309</v>
      </c>
      <c r="B91" s="1">
        <f>logtemperature[[#This Row],[Time]]/60-7</f>
        <v>14.816666666666666</v>
      </c>
      <c r="C91">
        <v>63.6</v>
      </c>
    </row>
    <row r="92" spans="1:3" x14ac:dyDescent="0.25">
      <c r="A92">
        <v>1320</v>
      </c>
      <c r="B92" s="1">
        <f>logtemperature[[#This Row],[Time]]/60-7</f>
        <v>15</v>
      </c>
      <c r="C92">
        <v>64.209999999999994</v>
      </c>
    </row>
    <row r="93" spans="1:3" x14ac:dyDescent="0.25">
      <c r="A93">
        <v>1330</v>
      </c>
      <c r="B93" s="1">
        <f>logtemperature[[#This Row],[Time]]/60-7</f>
        <v>15.166666666666668</v>
      </c>
      <c r="C93">
        <v>64.709999999999994</v>
      </c>
    </row>
    <row r="94" spans="1:3" x14ac:dyDescent="0.25">
      <c r="A94">
        <v>1340</v>
      </c>
      <c r="B94" s="1">
        <f>logtemperature[[#This Row],[Time]]/60-7</f>
        <v>15.333333333333332</v>
      </c>
      <c r="C94">
        <v>64.08</v>
      </c>
    </row>
    <row r="95" spans="1:3" x14ac:dyDescent="0.25">
      <c r="A95">
        <v>1350</v>
      </c>
      <c r="B95" s="1">
        <f>logtemperature[[#This Row],[Time]]/60-7</f>
        <v>15.5</v>
      </c>
      <c r="C95">
        <v>64.209999999999994</v>
      </c>
    </row>
    <row r="96" spans="1:3" x14ac:dyDescent="0.25">
      <c r="A96">
        <v>1360</v>
      </c>
      <c r="B96" s="1">
        <f>logtemperature[[#This Row],[Time]]/60-7</f>
        <v>15.666666666666668</v>
      </c>
      <c r="C96">
        <v>64.22</v>
      </c>
    </row>
    <row r="97" spans="1:3" x14ac:dyDescent="0.25">
      <c r="A97">
        <v>1371</v>
      </c>
      <c r="B97" s="1">
        <f>logtemperature[[#This Row],[Time]]/60-7</f>
        <v>15.850000000000001</v>
      </c>
      <c r="C97">
        <v>64.36</v>
      </c>
    </row>
    <row r="98" spans="1:3" x14ac:dyDescent="0.25">
      <c r="A98">
        <v>1381</v>
      </c>
      <c r="B98" s="1">
        <f>logtemperature[[#This Row],[Time]]/60-7</f>
        <v>16.016666666666666</v>
      </c>
      <c r="C98">
        <v>63.34</v>
      </c>
    </row>
    <row r="99" spans="1:3" x14ac:dyDescent="0.25">
      <c r="A99">
        <v>1391</v>
      </c>
      <c r="B99" s="1">
        <f>logtemperature[[#This Row],[Time]]/60-7</f>
        <v>16.183333333333334</v>
      </c>
      <c r="C99">
        <v>64.069999999999993</v>
      </c>
    </row>
    <row r="100" spans="1:3" x14ac:dyDescent="0.25">
      <c r="A100">
        <v>1401</v>
      </c>
      <c r="B100" s="1">
        <f>logtemperature[[#This Row],[Time]]/60-7</f>
        <v>16.350000000000001</v>
      </c>
      <c r="C100">
        <v>64.23</v>
      </c>
    </row>
    <row r="101" spans="1:3" x14ac:dyDescent="0.25">
      <c r="A101">
        <v>1411</v>
      </c>
      <c r="B101" s="1">
        <f>logtemperature[[#This Row],[Time]]/60-7</f>
        <v>16.516666666666666</v>
      </c>
      <c r="C101">
        <v>64.75</v>
      </c>
    </row>
    <row r="102" spans="1:3" x14ac:dyDescent="0.25">
      <c r="A102">
        <v>1422</v>
      </c>
      <c r="B102" s="1">
        <f>logtemperature[[#This Row],[Time]]/60-7</f>
        <v>16.7</v>
      </c>
      <c r="C102">
        <v>65.91</v>
      </c>
    </row>
    <row r="103" spans="1:3" x14ac:dyDescent="0.25">
      <c r="A103">
        <v>1432</v>
      </c>
      <c r="B103" s="1">
        <f>logtemperature[[#This Row],[Time]]/60-7</f>
        <v>16.866666666666667</v>
      </c>
      <c r="C103">
        <v>65.62</v>
      </c>
    </row>
    <row r="104" spans="1:3" x14ac:dyDescent="0.25">
      <c r="A104">
        <v>1442</v>
      </c>
      <c r="B104" s="1">
        <f>logtemperature[[#This Row],[Time]]/60-7</f>
        <v>17.033333333333335</v>
      </c>
      <c r="C104">
        <v>65.790000000000006</v>
      </c>
    </row>
    <row r="105" spans="1:3" x14ac:dyDescent="0.25">
      <c r="A105">
        <v>1452</v>
      </c>
      <c r="B105" s="1">
        <f>logtemperature[[#This Row],[Time]]/60-7</f>
        <v>17.2</v>
      </c>
      <c r="C105">
        <v>66.19</v>
      </c>
    </row>
    <row r="106" spans="1:3" x14ac:dyDescent="0.25">
      <c r="A106">
        <v>1462</v>
      </c>
      <c r="B106" s="1">
        <f>logtemperature[[#This Row],[Time]]/60-7</f>
        <v>17.366666666666667</v>
      </c>
      <c r="C106">
        <v>65.569999999999993</v>
      </c>
    </row>
    <row r="107" spans="1:3" x14ac:dyDescent="0.25">
      <c r="A107">
        <v>1472</v>
      </c>
      <c r="B107" s="1">
        <f>logtemperature[[#This Row],[Time]]/60-7</f>
        <v>17.533333333333335</v>
      </c>
      <c r="C107">
        <v>65.150000000000006</v>
      </c>
    </row>
    <row r="108" spans="1:3" x14ac:dyDescent="0.25">
      <c r="A108">
        <v>1483</v>
      </c>
      <c r="B108" s="1">
        <f>logtemperature[[#This Row],[Time]]/60-7</f>
        <v>17.716666666666665</v>
      </c>
      <c r="C108">
        <v>65.72</v>
      </c>
    </row>
    <row r="109" spans="1:3" x14ac:dyDescent="0.25">
      <c r="A109">
        <v>1493</v>
      </c>
      <c r="B109" s="1">
        <f>logtemperature[[#This Row],[Time]]/60-7</f>
        <v>17.883333333333333</v>
      </c>
      <c r="C109">
        <v>65.89</v>
      </c>
    </row>
    <row r="110" spans="1:3" x14ac:dyDescent="0.25">
      <c r="A110">
        <v>1503</v>
      </c>
      <c r="B110" s="1">
        <f>logtemperature[[#This Row],[Time]]/60-7</f>
        <v>18.05</v>
      </c>
      <c r="C110">
        <v>66.349999999999994</v>
      </c>
    </row>
    <row r="111" spans="1:3" x14ac:dyDescent="0.25">
      <c r="A111">
        <v>1513</v>
      </c>
      <c r="B111" s="1">
        <f>logtemperature[[#This Row],[Time]]/60-7</f>
        <v>18.216666666666665</v>
      </c>
      <c r="C111">
        <v>66.23</v>
      </c>
    </row>
    <row r="112" spans="1:3" x14ac:dyDescent="0.25">
      <c r="A112">
        <v>1524</v>
      </c>
      <c r="B112" s="1">
        <f>logtemperature[[#This Row],[Time]]/60-7</f>
        <v>18.399999999999999</v>
      </c>
      <c r="C112">
        <v>66.180000000000007</v>
      </c>
    </row>
    <row r="113" spans="1:3" x14ac:dyDescent="0.25">
      <c r="A113">
        <v>1534</v>
      </c>
      <c r="B113" s="1">
        <f>logtemperature[[#This Row],[Time]]/60-7</f>
        <v>18.566666666666666</v>
      </c>
      <c r="C113">
        <v>67.42</v>
      </c>
    </row>
    <row r="114" spans="1:3" x14ac:dyDescent="0.25">
      <c r="A114">
        <v>1544</v>
      </c>
      <c r="B114" s="1">
        <f>logtemperature[[#This Row],[Time]]/60-7</f>
        <v>18.733333333333334</v>
      </c>
      <c r="C114">
        <v>67.400000000000006</v>
      </c>
    </row>
    <row r="115" spans="1:3" x14ac:dyDescent="0.25">
      <c r="A115">
        <v>1554</v>
      </c>
      <c r="B115" s="1">
        <f>logtemperature[[#This Row],[Time]]/60-7</f>
        <v>18.899999999999999</v>
      </c>
      <c r="C115">
        <v>68.099999999999994</v>
      </c>
    </row>
    <row r="116" spans="1:3" x14ac:dyDescent="0.25">
      <c r="A116">
        <v>1564</v>
      </c>
      <c r="B116" s="1">
        <f>logtemperature[[#This Row],[Time]]/60-7</f>
        <v>19.066666666666666</v>
      </c>
      <c r="C116">
        <v>68.099999999999994</v>
      </c>
    </row>
    <row r="117" spans="1:3" x14ac:dyDescent="0.25">
      <c r="A117">
        <v>1575</v>
      </c>
      <c r="B117" s="1">
        <f>logtemperature[[#This Row],[Time]]/60-7</f>
        <v>19.25</v>
      </c>
      <c r="C117">
        <v>68.08</v>
      </c>
    </row>
    <row r="118" spans="1:3" x14ac:dyDescent="0.25">
      <c r="A118">
        <v>1586</v>
      </c>
      <c r="B118" s="1">
        <f>logtemperature[[#This Row],[Time]]/60-7</f>
        <v>19.433333333333334</v>
      </c>
      <c r="C118">
        <v>68.010000000000005</v>
      </c>
    </row>
    <row r="119" spans="1:3" x14ac:dyDescent="0.25">
      <c r="A119">
        <v>1596</v>
      </c>
      <c r="B119" s="1">
        <f>logtemperature[[#This Row],[Time]]/60-7</f>
        <v>19.600000000000001</v>
      </c>
      <c r="C119">
        <v>66.95</v>
      </c>
    </row>
    <row r="120" spans="1:3" x14ac:dyDescent="0.25">
      <c r="A120">
        <v>1606</v>
      </c>
      <c r="B120" s="1">
        <f>logtemperature[[#This Row],[Time]]/60-7</f>
        <v>19.766666666666666</v>
      </c>
      <c r="C120">
        <v>67.349999999999994</v>
      </c>
    </row>
    <row r="121" spans="1:3" x14ac:dyDescent="0.25">
      <c r="A121">
        <v>1616</v>
      </c>
      <c r="B121" s="1">
        <f>logtemperature[[#This Row],[Time]]/60-7</f>
        <v>19.933333333333334</v>
      </c>
      <c r="C121">
        <v>67.489999999999995</v>
      </c>
    </row>
    <row r="122" spans="1:3" x14ac:dyDescent="0.25">
      <c r="A122">
        <v>1626</v>
      </c>
      <c r="B122" s="1">
        <f>logtemperature[[#This Row],[Time]]/60-7</f>
        <v>20.100000000000001</v>
      </c>
      <c r="C122">
        <v>68.069999999999993</v>
      </c>
    </row>
    <row r="123" spans="1:3" x14ac:dyDescent="0.25">
      <c r="A123">
        <v>1637</v>
      </c>
      <c r="B123" s="1">
        <f>logtemperature[[#This Row],[Time]]/60-7</f>
        <v>20.283333333333335</v>
      </c>
      <c r="C123">
        <v>68.349999999999994</v>
      </c>
    </row>
    <row r="124" spans="1:3" x14ac:dyDescent="0.25">
      <c r="A124">
        <v>1647</v>
      </c>
      <c r="B124" s="1">
        <f>logtemperature[[#This Row],[Time]]/60-7</f>
        <v>20.45</v>
      </c>
      <c r="C124">
        <v>69.53</v>
      </c>
    </row>
    <row r="125" spans="1:3" x14ac:dyDescent="0.25">
      <c r="A125">
        <v>1657</v>
      </c>
      <c r="B125" s="1">
        <f>logtemperature[[#This Row],[Time]]/60-7</f>
        <v>20.616666666666667</v>
      </c>
      <c r="C125">
        <v>69.28</v>
      </c>
    </row>
    <row r="126" spans="1:3" x14ac:dyDescent="0.25">
      <c r="A126">
        <v>1669</v>
      </c>
      <c r="B126" s="1">
        <f>logtemperature[[#This Row],[Time]]/60-7</f>
        <v>20.816666666666666</v>
      </c>
      <c r="C126">
        <v>68.599999999999994</v>
      </c>
    </row>
    <row r="127" spans="1:3" x14ac:dyDescent="0.25">
      <c r="A127">
        <v>1679</v>
      </c>
      <c r="B127" s="1">
        <f>logtemperature[[#This Row],[Time]]/60-7</f>
        <v>20.983333333333334</v>
      </c>
      <c r="C127">
        <v>68.47</v>
      </c>
    </row>
    <row r="128" spans="1:3" x14ac:dyDescent="0.25">
      <c r="A128">
        <v>1689</v>
      </c>
      <c r="B128" s="1">
        <f>logtemperature[[#This Row],[Time]]/60-7</f>
        <v>21.15</v>
      </c>
      <c r="C128">
        <v>67.86</v>
      </c>
    </row>
    <row r="129" spans="1:3" x14ac:dyDescent="0.25">
      <c r="A129">
        <v>1699</v>
      </c>
      <c r="B129" s="1">
        <f>logtemperature[[#This Row],[Time]]/60-7</f>
        <v>21.316666666666666</v>
      </c>
      <c r="C129">
        <v>67.44</v>
      </c>
    </row>
    <row r="130" spans="1:3" x14ac:dyDescent="0.25">
      <c r="A130">
        <v>1710</v>
      </c>
      <c r="B130" s="1">
        <f>logtemperature[[#This Row],[Time]]/60-7</f>
        <v>21.5</v>
      </c>
      <c r="C130">
        <v>68.25</v>
      </c>
    </row>
    <row r="131" spans="1:3" x14ac:dyDescent="0.25">
      <c r="A131">
        <v>1720</v>
      </c>
      <c r="B131" s="1">
        <f>logtemperature[[#This Row],[Time]]/60-7</f>
        <v>21.666666666666668</v>
      </c>
      <c r="C131">
        <v>68.59</v>
      </c>
    </row>
    <row r="132" spans="1:3" x14ac:dyDescent="0.25">
      <c r="A132">
        <v>1730</v>
      </c>
      <c r="B132" s="1">
        <f>logtemperature[[#This Row],[Time]]/60-7</f>
        <v>21.833333333333332</v>
      </c>
      <c r="C132">
        <v>68.989999999999995</v>
      </c>
    </row>
    <row r="133" spans="1:3" x14ac:dyDescent="0.25">
      <c r="A133">
        <v>1741</v>
      </c>
      <c r="B133" s="1">
        <f>logtemperature[[#This Row],[Time]]/60-7</f>
        <v>22.016666666666666</v>
      </c>
      <c r="C133">
        <v>69.08</v>
      </c>
    </row>
    <row r="134" spans="1:3" x14ac:dyDescent="0.25">
      <c r="A134">
        <v>1751</v>
      </c>
      <c r="B134" s="1">
        <f>logtemperature[[#This Row],[Time]]/60-7</f>
        <v>22.183333333333334</v>
      </c>
      <c r="C134">
        <v>68.78</v>
      </c>
    </row>
    <row r="135" spans="1:3" x14ac:dyDescent="0.25">
      <c r="A135">
        <v>1761</v>
      </c>
      <c r="B135" s="1">
        <f>logtemperature[[#This Row],[Time]]/60-7</f>
        <v>22.35</v>
      </c>
      <c r="C135">
        <v>69.849999999999994</v>
      </c>
    </row>
    <row r="136" spans="1:3" x14ac:dyDescent="0.25">
      <c r="A136">
        <v>1771</v>
      </c>
      <c r="B136" s="1">
        <f>logtemperature[[#This Row],[Time]]/60-7</f>
        <v>22.516666666666666</v>
      </c>
      <c r="C136">
        <v>69.69</v>
      </c>
    </row>
    <row r="137" spans="1:3" x14ac:dyDescent="0.25">
      <c r="A137">
        <v>1781</v>
      </c>
      <c r="B137" s="1">
        <f>logtemperature[[#This Row],[Time]]/60-7</f>
        <v>22.683333333333334</v>
      </c>
      <c r="C137">
        <v>69.489999999999995</v>
      </c>
    </row>
    <row r="138" spans="1:3" x14ac:dyDescent="0.25">
      <c r="A138">
        <v>1792</v>
      </c>
      <c r="B138" s="1">
        <f>logtemperature[[#This Row],[Time]]/60-7</f>
        <v>22.866666666666667</v>
      </c>
      <c r="C138">
        <v>70.05</v>
      </c>
    </row>
    <row r="139" spans="1:3" x14ac:dyDescent="0.25">
      <c r="A139">
        <v>1802</v>
      </c>
      <c r="B139" s="1">
        <f>logtemperature[[#This Row],[Time]]/60-7</f>
        <v>23.033333333333335</v>
      </c>
      <c r="C139">
        <v>70.09</v>
      </c>
    </row>
    <row r="140" spans="1:3" x14ac:dyDescent="0.25">
      <c r="A140">
        <v>1813</v>
      </c>
      <c r="B140" s="1">
        <f>logtemperature[[#This Row],[Time]]/60-7</f>
        <v>23.216666666666665</v>
      </c>
      <c r="C140">
        <v>69.58</v>
      </c>
    </row>
    <row r="141" spans="1:3" x14ac:dyDescent="0.25">
      <c r="A141">
        <v>1823</v>
      </c>
      <c r="B141" s="1">
        <f>logtemperature[[#This Row],[Time]]/60-7</f>
        <v>23.383333333333333</v>
      </c>
      <c r="C141">
        <v>69.790000000000006</v>
      </c>
    </row>
    <row r="142" spans="1:3" x14ac:dyDescent="0.25">
      <c r="A142">
        <v>1833</v>
      </c>
      <c r="B142" s="1">
        <f>logtemperature[[#This Row],[Time]]/60-7</f>
        <v>23.55</v>
      </c>
      <c r="C142">
        <v>69.569999999999993</v>
      </c>
    </row>
    <row r="143" spans="1:3" x14ac:dyDescent="0.25">
      <c r="A143">
        <v>1843</v>
      </c>
      <c r="B143" s="1">
        <f>logtemperature[[#This Row],[Time]]/60-7</f>
        <v>23.716666666666665</v>
      </c>
      <c r="C143">
        <v>70.3</v>
      </c>
    </row>
    <row r="144" spans="1:3" x14ac:dyDescent="0.25">
      <c r="A144">
        <v>1853</v>
      </c>
      <c r="B144" s="1">
        <f>logtemperature[[#This Row],[Time]]/60-7</f>
        <v>23.883333333333333</v>
      </c>
      <c r="C144">
        <v>70.34</v>
      </c>
    </row>
    <row r="145" spans="1:3" x14ac:dyDescent="0.25">
      <c r="A145">
        <v>1864</v>
      </c>
      <c r="B145" s="1">
        <f>logtemperature[[#This Row],[Time]]/60-7</f>
        <v>24.066666666666666</v>
      </c>
      <c r="C145">
        <v>70.27</v>
      </c>
    </row>
    <row r="146" spans="1:3" x14ac:dyDescent="0.25">
      <c r="A146">
        <v>1874</v>
      </c>
      <c r="B146" s="1">
        <f>logtemperature[[#This Row],[Time]]/60-7</f>
        <v>24.233333333333334</v>
      </c>
      <c r="C146">
        <v>70.349999999999994</v>
      </c>
    </row>
    <row r="147" spans="1:3" x14ac:dyDescent="0.25">
      <c r="A147">
        <v>1884</v>
      </c>
      <c r="B147" s="1">
        <f>logtemperature[[#This Row],[Time]]/60-7</f>
        <v>24.4</v>
      </c>
      <c r="C147">
        <v>70.47</v>
      </c>
    </row>
    <row r="148" spans="1:3" x14ac:dyDescent="0.25">
      <c r="A148">
        <v>1895</v>
      </c>
      <c r="B148" s="1">
        <f>logtemperature[[#This Row],[Time]]/60-7</f>
        <v>24.583333333333332</v>
      </c>
      <c r="C148">
        <v>70.73</v>
      </c>
    </row>
    <row r="149" spans="1:3" x14ac:dyDescent="0.25">
      <c r="A149">
        <v>1905</v>
      </c>
      <c r="B149" s="1">
        <f>logtemperature[[#This Row],[Time]]/60-7</f>
        <v>24.75</v>
      </c>
      <c r="C149">
        <v>70.180000000000007</v>
      </c>
    </row>
    <row r="150" spans="1:3" x14ac:dyDescent="0.25">
      <c r="A150">
        <v>1915</v>
      </c>
      <c r="B150" s="1">
        <f>logtemperature[[#This Row],[Time]]/60-7</f>
        <v>24.916666666666668</v>
      </c>
      <c r="C150">
        <v>70.39</v>
      </c>
    </row>
    <row r="151" spans="1:3" x14ac:dyDescent="0.25">
      <c r="A151">
        <v>1925</v>
      </c>
      <c r="B151" s="1">
        <f>logtemperature[[#This Row],[Time]]/60-7</f>
        <v>25.083333333333336</v>
      </c>
      <c r="C151">
        <v>71.13</v>
      </c>
    </row>
    <row r="152" spans="1:3" x14ac:dyDescent="0.25">
      <c r="A152">
        <v>1936</v>
      </c>
      <c r="B152" s="1">
        <f>logtemperature[[#This Row],[Time]]/60-7</f>
        <v>25.266666666666666</v>
      </c>
      <c r="C152">
        <v>71</v>
      </c>
    </row>
    <row r="153" spans="1:3" x14ac:dyDescent="0.25">
      <c r="A153">
        <v>1947</v>
      </c>
      <c r="B153" s="1">
        <f>logtemperature[[#This Row],[Time]]/60-7</f>
        <v>25.450000000000003</v>
      </c>
      <c r="C153">
        <v>71.069999999999993</v>
      </c>
    </row>
    <row r="154" spans="1:3" x14ac:dyDescent="0.25">
      <c r="A154">
        <v>1958</v>
      </c>
      <c r="B154" s="1">
        <f>logtemperature[[#This Row],[Time]]/60-7</f>
        <v>25.633333333333333</v>
      </c>
      <c r="C154">
        <v>71.400000000000006</v>
      </c>
    </row>
    <row r="155" spans="1:3" x14ac:dyDescent="0.25">
      <c r="A155">
        <v>1968</v>
      </c>
      <c r="B155" s="1">
        <f>logtemperature[[#This Row],[Time]]/60-7</f>
        <v>25.799999999999997</v>
      </c>
      <c r="C155">
        <v>70.959999999999994</v>
      </c>
    </row>
    <row r="156" spans="1:3" x14ac:dyDescent="0.25">
      <c r="A156">
        <v>1979</v>
      </c>
      <c r="B156" s="1">
        <f>logtemperature[[#This Row],[Time]]/60-7</f>
        <v>25.983333333333334</v>
      </c>
      <c r="C156">
        <v>70.930000000000007</v>
      </c>
    </row>
    <row r="157" spans="1:3" x14ac:dyDescent="0.25">
      <c r="A157">
        <v>1989</v>
      </c>
      <c r="B157" s="1">
        <f>logtemperature[[#This Row],[Time]]/60-7</f>
        <v>26.15</v>
      </c>
      <c r="C157">
        <v>72.19</v>
      </c>
    </row>
    <row r="158" spans="1:3" x14ac:dyDescent="0.25">
      <c r="A158">
        <v>1999</v>
      </c>
      <c r="B158" s="1">
        <f>logtemperature[[#This Row],[Time]]/60-7</f>
        <v>26.31666666666667</v>
      </c>
      <c r="C158">
        <v>71.510000000000005</v>
      </c>
    </row>
    <row r="159" spans="1:3" x14ac:dyDescent="0.25">
      <c r="A159">
        <v>2010</v>
      </c>
      <c r="B159" s="1">
        <f>logtemperature[[#This Row],[Time]]/60-7</f>
        <v>26.5</v>
      </c>
      <c r="C159">
        <v>72.239999999999995</v>
      </c>
    </row>
    <row r="160" spans="1:3" x14ac:dyDescent="0.25">
      <c r="A160">
        <v>2020</v>
      </c>
      <c r="B160" s="1">
        <f>logtemperature[[#This Row],[Time]]/60-7</f>
        <v>26.666666666666664</v>
      </c>
      <c r="C160">
        <v>72.33</v>
      </c>
    </row>
    <row r="161" spans="1:3" x14ac:dyDescent="0.25">
      <c r="A161">
        <v>2031</v>
      </c>
      <c r="B161" s="1">
        <f>logtemperature[[#This Row],[Time]]/60-7</f>
        <v>26.85</v>
      </c>
      <c r="C161">
        <v>72.11</v>
      </c>
    </row>
    <row r="162" spans="1:3" x14ac:dyDescent="0.25">
      <c r="A162">
        <v>2041</v>
      </c>
      <c r="B162" s="1">
        <f>logtemperature[[#This Row],[Time]]/60-7</f>
        <v>27.016666666666666</v>
      </c>
      <c r="C162">
        <v>72.069999999999993</v>
      </c>
    </row>
    <row r="163" spans="1:3" x14ac:dyDescent="0.25">
      <c r="A163">
        <v>2052</v>
      </c>
      <c r="B163" s="1">
        <f>logtemperature[[#This Row],[Time]]/60-7</f>
        <v>27.200000000000003</v>
      </c>
      <c r="C163">
        <v>72.739999999999995</v>
      </c>
    </row>
    <row r="164" spans="1:3" x14ac:dyDescent="0.25">
      <c r="A164">
        <v>2062</v>
      </c>
      <c r="B164" s="1">
        <f>logtemperature[[#This Row],[Time]]/60-7</f>
        <v>27.366666666666667</v>
      </c>
      <c r="C164">
        <v>72.52</v>
      </c>
    </row>
    <row r="165" spans="1:3" x14ac:dyDescent="0.25">
      <c r="A165">
        <v>2073</v>
      </c>
      <c r="B165" s="1">
        <f>logtemperature[[#This Row],[Time]]/60-7</f>
        <v>27.549999999999997</v>
      </c>
      <c r="C165">
        <v>72.69</v>
      </c>
    </row>
    <row r="166" spans="1:3" x14ac:dyDescent="0.25">
      <c r="A166">
        <v>2083</v>
      </c>
      <c r="B166" s="1">
        <f>logtemperature[[#This Row],[Time]]/60-7</f>
        <v>27.716666666666669</v>
      </c>
      <c r="C166">
        <v>72.67</v>
      </c>
    </row>
    <row r="167" spans="1:3" x14ac:dyDescent="0.25">
      <c r="A167">
        <v>2093</v>
      </c>
      <c r="B167" s="1">
        <f>logtemperature[[#This Row],[Time]]/60-7</f>
        <v>27.883333333333333</v>
      </c>
      <c r="C167">
        <v>72.39</v>
      </c>
    </row>
    <row r="168" spans="1:3" x14ac:dyDescent="0.25">
      <c r="A168">
        <v>2104</v>
      </c>
      <c r="B168" s="1">
        <f>logtemperature[[#This Row],[Time]]/60-7</f>
        <v>28.06666666666667</v>
      </c>
      <c r="C168">
        <v>73.05</v>
      </c>
    </row>
    <row r="169" spans="1:3" x14ac:dyDescent="0.25">
      <c r="A169">
        <v>2115</v>
      </c>
      <c r="B169" s="1">
        <f>logtemperature[[#This Row],[Time]]/60-7</f>
        <v>28.25</v>
      </c>
      <c r="C169">
        <v>72.819999999999993</v>
      </c>
    </row>
    <row r="170" spans="1:3" x14ac:dyDescent="0.25">
      <c r="A170">
        <v>2125</v>
      </c>
      <c r="B170" s="1">
        <f>logtemperature[[#This Row],[Time]]/60-7</f>
        <v>28.416666666666664</v>
      </c>
      <c r="C170">
        <v>72.58</v>
      </c>
    </row>
    <row r="171" spans="1:3" x14ac:dyDescent="0.25">
      <c r="A171">
        <v>2135</v>
      </c>
      <c r="B171" s="1">
        <f>logtemperature[[#This Row],[Time]]/60-7</f>
        <v>28.583333333333336</v>
      </c>
      <c r="C171">
        <v>72.239999999999995</v>
      </c>
    </row>
    <row r="172" spans="1:3" x14ac:dyDescent="0.25">
      <c r="A172">
        <v>2145</v>
      </c>
      <c r="B172" s="1">
        <f>logtemperature[[#This Row],[Time]]/60-7</f>
        <v>28.75</v>
      </c>
      <c r="C172">
        <v>73.22</v>
      </c>
    </row>
    <row r="173" spans="1:3" x14ac:dyDescent="0.25">
      <c r="A173">
        <v>2156</v>
      </c>
      <c r="B173" s="1">
        <f>logtemperature[[#This Row],[Time]]/60-7</f>
        <v>28.93333333333333</v>
      </c>
      <c r="C173">
        <v>72.91</v>
      </c>
    </row>
    <row r="174" spans="1:3" x14ac:dyDescent="0.25">
      <c r="A174">
        <v>2166</v>
      </c>
      <c r="B174" s="1">
        <f>logtemperature[[#This Row],[Time]]/60-7</f>
        <v>29.1</v>
      </c>
      <c r="C174">
        <v>73.239999999999995</v>
      </c>
    </row>
    <row r="175" spans="1:3" x14ac:dyDescent="0.25">
      <c r="A175">
        <v>2176</v>
      </c>
      <c r="B175" s="1">
        <f>logtemperature[[#This Row],[Time]]/60-7</f>
        <v>29.266666666666666</v>
      </c>
      <c r="C175">
        <v>73.069999999999993</v>
      </c>
    </row>
    <row r="176" spans="1:3" x14ac:dyDescent="0.25">
      <c r="A176">
        <v>2186</v>
      </c>
      <c r="B176" s="1">
        <f>logtemperature[[#This Row],[Time]]/60-7</f>
        <v>29.43333333333333</v>
      </c>
      <c r="C176">
        <v>73.25</v>
      </c>
    </row>
    <row r="177" spans="1:3" x14ac:dyDescent="0.25">
      <c r="A177">
        <v>2196</v>
      </c>
      <c r="B177" s="1">
        <f>logtemperature[[#This Row],[Time]]/60-7</f>
        <v>29.6</v>
      </c>
      <c r="C177">
        <v>73.44</v>
      </c>
    </row>
    <row r="178" spans="1:3" x14ac:dyDescent="0.25">
      <c r="A178">
        <v>2207</v>
      </c>
      <c r="B178" s="1">
        <f>logtemperature[[#This Row],[Time]]/60-7</f>
        <v>29.783333333333331</v>
      </c>
      <c r="C178">
        <v>72.67</v>
      </c>
    </row>
    <row r="179" spans="1:3" x14ac:dyDescent="0.25">
      <c r="A179">
        <v>2217</v>
      </c>
      <c r="B179" s="1">
        <f>logtemperature[[#This Row],[Time]]/60-7</f>
        <v>29.950000000000003</v>
      </c>
      <c r="C179">
        <v>73.81</v>
      </c>
    </row>
    <row r="180" spans="1:3" x14ac:dyDescent="0.25">
      <c r="A180">
        <v>2227</v>
      </c>
      <c r="B180" s="1">
        <f>logtemperature[[#This Row],[Time]]/60-7</f>
        <v>30.116666666666667</v>
      </c>
      <c r="C180">
        <v>73.48</v>
      </c>
    </row>
    <row r="181" spans="1:3" x14ac:dyDescent="0.25">
      <c r="A181">
        <v>2237</v>
      </c>
      <c r="B181" s="1">
        <f>logtemperature[[#This Row],[Time]]/60-7</f>
        <v>30.283333333333331</v>
      </c>
      <c r="C181">
        <v>73.489999999999995</v>
      </c>
    </row>
    <row r="182" spans="1:3" x14ac:dyDescent="0.25">
      <c r="A182">
        <v>2247</v>
      </c>
      <c r="B182" s="1">
        <f>logtemperature[[#This Row],[Time]]/60-7</f>
        <v>30.450000000000003</v>
      </c>
      <c r="C182">
        <v>73.430000000000007</v>
      </c>
    </row>
    <row r="183" spans="1:3" x14ac:dyDescent="0.25">
      <c r="A183">
        <v>2258</v>
      </c>
      <c r="B183" s="1">
        <f>logtemperature[[#This Row],[Time]]/60-7</f>
        <v>30.633333333333333</v>
      </c>
      <c r="C183">
        <v>73.569999999999993</v>
      </c>
    </row>
    <row r="184" spans="1:3" x14ac:dyDescent="0.25">
      <c r="A184">
        <v>2268</v>
      </c>
      <c r="B184" s="1">
        <f>logtemperature[[#This Row],[Time]]/60-7</f>
        <v>30.799999999999997</v>
      </c>
      <c r="C184">
        <v>73.44</v>
      </c>
    </row>
    <row r="185" spans="1:3" x14ac:dyDescent="0.25">
      <c r="A185">
        <v>2278</v>
      </c>
      <c r="B185" s="1">
        <f>logtemperature[[#This Row],[Time]]/60-7</f>
        <v>30.966666666666669</v>
      </c>
      <c r="C185">
        <v>74.58</v>
      </c>
    </row>
    <row r="186" spans="1:3" x14ac:dyDescent="0.25">
      <c r="A186">
        <v>2289</v>
      </c>
      <c r="B186" s="1">
        <f>logtemperature[[#This Row],[Time]]/60-7</f>
        <v>31.15</v>
      </c>
      <c r="C186">
        <v>74.599999999999994</v>
      </c>
    </row>
    <row r="187" spans="1:3" x14ac:dyDescent="0.25">
      <c r="A187">
        <v>2299</v>
      </c>
      <c r="B187" s="1">
        <f>logtemperature[[#This Row],[Time]]/60-7</f>
        <v>31.31666666666667</v>
      </c>
      <c r="C187">
        <v>74.19</v>
      </c>
    </row>
    <row r="188" spans="1:3" x14ac:dyDescent="0.25">
      <c r="A188">
        <v>2309</v>
      </c>
      <c r="B188" s="1">
        <f>logtemperature[[#This Row],[Time]]/60-7</f>
        <v>31.483333333333334</v>
      </c>
      <c r="C188">
        <v>74.069999999999993</v>
      </c>
    </row>
    <row r="189" spans="1:3" x14ac:dyDescent="0.25">
      <c r="A189">
        <v>2320</v>
      </c>
      <c r="B189" s="1">
        <f>logtemperature[[#This Row],[Time]]/60-7</f>
        <v>31.666666666666664</v>
      </c>
      <c r="C189">
        <v>73.75</v>
      </c>
    </row>
    <row r="190" spans="1:3" x14ac:dyDescent="0.25">
      <c r="A190">
        <v>2330</v>
      </c>
      <c r="B190" s="1">
        <f>logtemperature[[#This Row],[Time]]/60-7</f>
        <v>31.833333333333336</v>
      </c>
      <c r="C190">
        <v>74.16</v>
      </c>
    </row>
    <row r="191" spans="1:3" x14ac:dyDescent="0.25">
      <c r="A191">
        <v>2340</v>
      </c>
      <c r="B191" s="1">
        <f>logtemperature[[#This Row],[Time]]/60-7</f>
        <v>32</v>
      </c>
      <c r="C191">
        <v>73.81</v>
      </c>
    </row>
    <row r="192" spans="1:3" x14ac:dyDescent="0.25">
      <c r="A192">
        <v>2351</v>
      </c>
      <c r="B192" s="1">
        <f>logtemperature[[#This Row],[Time]]/60-7</f>
        <v>32.18333333333333</v>
      </c>
      <c r="C192">
        <v>73.62</v>
      </c>
    </row>
    <row r="193" spans="1:3" x14ac:dyDescent="0.25">
      <c r="A193">
        <v>2361</v>
      </c>
      <c r="B193" s="1">
        <f>logtemperature[[#This Row],[Time]]/60-7</f>
        <v>32.35</v>
      </c>
      <c r="C193">
        <v>73.62</v>
      </c>
    </row>
    <row r="194" spans="1:3" x14ac:dyDescent="0.25">
      <c r="A194">
        <v>2371</v>
      </c>
      <c r="B194" s="1">
        <f>logtemperature[[#This Row],[Time]]/60-7</f>
        <v>32.516666666666666</v>
      </c>
      <c r="C194">
        <v>73.459999999999994</v>
      </c>
    </row>
    <row r="195" spans="1:3" x14ac:dyDescent="0.25">
      <c r="A195">
        <v>2381</v>
      </c>
      <c r="B195" s="1">
        <f>logtemperature[[#This Row],[Time]]/60-7</f>
        <v>32.68333333333333</v>
      </c>
      <c r="C195">
        <v>74.06</v>
      </c>
    </row>
    <row r="196" spans="1:3" x14ac:dyDescent="0.25">
      <c r="A196">
        <v>2392</v>
      </c>
      <c r="B196" s="1">
        <f>logtemperature[[#This Row],[Time]]/60-7</f>
        <v>32.866666666666667</v>
      </c>
      <c r="C196">
        <v>74.72</v>
      </c>
    </row>
    <row r="197" spans="1:3" x14ac:dyDescent="0.25">
      <c r="A197">
        <v>2402</v>
      </c>
      <c r="B197" s="1">
        <f>logtemperature[[#This Row],[Time]]/60-7</f>
        <v>33.033333333333331</v>
      </c>
      <c r="C197">
        <v>75.12</v>
      </c>
    </row>
    <row r="198" spans="1:3" x14ac:dyDescent="0.25">
      <c r="A198">
        <v>2412</v>
      </c>
      <c r="B198" s="1">
        <f>logtemperature[[#This Row],[Time]]/60-7</f>
        <v>33.200000000000003</v>
      </c>
      <c r="C198">
        <v>75.33</v>
      </c>
    </row>
    <row r="199" spans="1:3" x14ac:dyDescent="0.25">
      <c r="A199">
        <v>2422</v>
      </c>
      <c r="B199" s="1">
        <f>logtemperature[[#This Row],[Time]]/60-7</f>
        <v>33.366666666666667</v>
      </c>
      <c r="C199">
        <v>75.150000000000006</v>
      </c>
    </row>
    <row r="200" spans="1:3" x14ac:dyDescent="0.25">
      <c r="A200">
        <v>2433</v>
      </c>
      <c r="B200" s="1">
        <f>logtemperature[[#This Row],[Time]]/60-7</f>
        <v>33.549999999999997</v>
      </c>
      <c r="C200">
        <v>75.650000000000006</v>
      </c>
    </row>
    <row r="201" spans="1:3" x14ac:dyDescent="0.25">
      <c r="A201">
        <v>2443</v>
      </c>
      <c r="B201" s="1">
        <f>logtemperature[[#This Row],[Time]]/60-7</f>
        <v>33.716666666666669</v>
      </c>
      <c r="C201">
        <v>75.430000000000007</v>
      </c>
    </row>
    <row r="202" spans="1:3" x14ac:dyDescent="0.25">
      <c r="A202">
        <v>2453</v>
      </c>
      <c r="B202" s="1">
        <f>logtemperature[[#This Row],[Time]]/60-7</f>
        <v>33.883333333333333</v>
      </c>
      <c r="C202">
        <v>75.66</v>
      </c>
    </row>
    <row r="203" spans="1:3" x14ac:dyDescent="0.25">
      <c r="A203">
        <v>2464</v>
      </c>
      <c r="B203" s="1">
        <f>logtemperature[[#This Row],[Time]]/60-7</f>
        <v>34.06666666666667</v>
      </c>
      <c r="C203">
        <v>75.010000000000005</v>
      </c>
    </row>
    <row r="204" spans="1:3" x14ac:dyDescent="0.25">
      <c r="A204">
        <v>2474</v>
      </c>
      <c r="B204" s="1">
        <f>logtemperature[[#This Row],[Time]]/60-7</f>
        <v>34.233333333333334</v>
      </c>
      <c r="C204">
        <v>75.42</v>
      </c>
    </row>
    <row r="205" spans="1:3" x14ac:dyDescent="0.25">
      <c r="A205">
        <v>2484</v>
      </c>
      <c r="B205" s="1">
        <f>logtemperature[[#This Row],[Time]]/60-7</f>
        <v>34.4</v>
      </c>
      <c r="C205">
        <v>75.739999999999995</v>
      </c>
    </row>
    <row r="206" spans="1:3" x14ac:dyDescent="0.25">
      <c r="A206">
        <v>2494</v>
      </c>
      <c r="B206" s="1">
        <f>logtemperature[[#This Row],[Time]]/60-7</f>
        <v>34.56666666666667</v>
      </c>
      <c r="C206">
        <v>75.3</v>
      </c>
    </row>
    <row r="207" spans="1:3" x14ac:dyDescent="0.25">
      <c r="A207">
        <v>2504</v>
      </c>
      <c r="B207" s="1">
        <f>logtemperature[[#This Row],[Time]]/60-7</f>
        <v>34.733333333333334</v>
      </c>
      <c r="C207">
        <v>75.599999999999994</v>
      </c>
    </row>
    <row r="208" spans="1:3" x14ac:dyDescent="0.25">
      <c r="A208">
        <v>2515</v>
      </c>
      <c r="B208" s="1">
        <f>logtemperature[[#This Row],[Time]]/60-7</f>
        <v>34.916666666666664</v>
      </c>
      <c r="C208">
        <v>75.290000000000006</v>
      </c>
    </row>
    <row r="209" spans="1:3" x14ac:dyDescent="0.25">
      <c r="A209">
        <v>2525</v>
      </c>
      <c r="B209" s="1">
        <f>logtemperature[[#This Row],[Time]]/60-7</f>
        <v>35.083333333333336</v>
      </c>
      <c r="C209">
        <v>75.77</v>
      </c>
    </row>
    <row r="210" spans="1:3" x14ac:dyDescent="0.25">
      <c r="A210">
        <v>2535</v>
      </c>
      <c r="B210" s="1">
        <f>logtemperature[[#This Row],[Time]]/60-7</f>
        <v>35.25</v>
      </c>
      <c r="C210">
        <v>75.45</v>
      </c>
    </row>
    <row r="211" spans="1:3" x14ac:dyDescent="0.25">
      <c r="A211">
        <v>2545</v>
      </c>
      <c r="B211" s="1">
        <f>logtemperature[[#This Row],[Time]]/60-7</f>
        <v>35.416666666666664</v>
      </c>
      <c r="C211">
        <v>75.64</v>
      </c>
    </row>
    <row r="212" spans="1:3" x14ac:dyDescent="0.25">
      <c r="A212">
        <v>2555</v>
      </c>
      <c r="B212" s="1">
        <f>logtemperature[[#This Row],[Time]]/60-7</f>
        <v>35.583333333333336</v>
      </c>
      <c r="C212">
        <v>75.72</v>
      </c>
    </row>
    <row r="213" spans="1:3" x14ac:dyDescent="0.25">
      <c r="A213">
        <v>2565</v>
      </c>
      <c r="B213" s="1">
        <f>logtemperature[[#This Row],[Time]]/60-7</f>
        <v>35.75</v>
      </c>
      <c r="C213">
        <v>75.63</v>
      </c>
    </row>
    <row r="214" spans="1:3" x14ac:dyDescent="0.25">
      <c r="A214">
        <v>2576</v>
      </c>
      <c r="B214" s="1">
        <f>logtemperature[[#This Row],[Time]]/60-7</f>
        <v>35.93333333333333</v>
      </c>
      <c r="C214">
        <v>75.3</v>
      </c>
    </row>
    <row r="215" spans="1:3" x14ac:dyDescent="0.25">
      <c r="A215">
        <v>2586</v>
      </c>
      <c r="B215" s="1">
        <f>logtemperature[[#This Row],[Time]]/60-7</f>
        <v>36.1</v>
      </c>
      <c r="C215">
        <v>75.400000000000006</v>
      </c>
    </row>
    <row r="216" spans="1:3" x14ac:dyDescent="0.25">
      <c r="A216">
        <v>2596</v>
      </c>
      <c r="B216" s="1">
        <f>logtemperature[[#This Row],[Time]]/60-7</f>
        <v>36.266666666666666</v>
      </c>
      <c r="C216">
        <v>75.77</v>
      </c>
    </row>
    <row r="217" spans="1:3" x14ac:dyDescent="0.25">
      <c r="A217">
        <v>2606</v>
      </c>
      <c r="B217" s="1">
        <f>logtemperature[[#This Row],[Time]]/60-7</f>
        <v>36.43333333333333</v>
      </c>
      <c r="C217">
        <v>76.040000000000006</v>
      </c>
    </row>
    <row r="218" spans="1:3" x14ac:dyDescent="0.25">
      <c r="A218">
        <v>2616</v>
      </c>
      <c r="B218" s="1">
        <f>logtemperature[[#This Row],[Time]]/60-7</f>
        <v>36.6</v>
      </c>
      <c r="C218">
        <v>76.42</v>
      </c>
    </row>
    <row r="219" spans="1:3" x14ac:dyDescent="0.25">
      <c r="A219">
        <v>2626</v>
      </c>
      <c r="B219" s="1">
        <f>logtemperature[[#This Row],[Time]]/60-7</f>
        <v>36.766666666666666</v>
      </c>
      <c r="C219">
        <v>77.16</v>
      </c>
    </row>
    <row r="220" spans="1:3" x14ac:dyDescent="0.25">
      <c r="A220">
        <v>2637</v>
      </c>
      <c r="B220" s="1">
        <f>logtemperature[[#This Row],[Time]]/60-7</f>
        <v>36.950000000000003</v>
      </c>
      <c r="C220">
        <v>77.02</v>
      </c>
    </row>
    <row r="221" spans="1:3" x14ac:dyDescent="0.25">
      <c r="A221">
        <v>2647</v>
      </c>
      <c r="B221" s="1">
        <f>logtemperature[[#This Row],[Time]]/60-7</f>
        <v>37.116666666666667</v>
      </c>
      <c r="C221">
        <v>77.040000000000006</v>
      </c>
    </row>
    <row r="222" spans="1:3" x14ac:dyDescent="0.25">
      <c r="A222">
        <v>2658</v>
      </c>
      <c r="B222" s="1">
        <f>logtemperature[[#This Row],[Time]]/60-7</f>
        <v>37.299999999999997</v>
      </c>
      <c r="C222">
        <v>76.959999999999994</v>
      </c>
    </row>
    <row r="223" spans="1:3" x14ac:dyDescent="0.25">
      <c r="A223">
        <v>2668</v>
      </c>
      <c r="B223" s="1">
        <f>logtemperature[[#This Row],[Time]]/60-7</f>
        <v>37.466666666666669</v>
      </c>
      <c r="C223">
        <v>76.599999999999994</v>
      </c>
    </row>
    <row r="224" spans="1:3" x14ac:dyDescent="0.25">
      <c r="A224">
        <v>2678</v>
      </c>
      <c r="B224" s="1">
        <f>logtemperature[[#This Row],[Time]]/60-7</f>
        <v>37.633333333333333</v>
      </c>
      <c r="C224">
        <v>76.25</v>
      </c>
    </row>
    <row r="225" spans="1:3" x14ac:dyDescent="0.25">
      <c r="A225">
        <v>2688</v>
      </c>
      <c r="B225" s="1">
        <f>logtemperature[[#This Row],[Time]]/60-7</f>
        <v>37.799999999999997</v>
      </c>
      <c r="C225">
        <v>76.09</v>
      </c>
    </row>
    <row r="226" spans="1:3" x14ac:dyDescent="0.25">
      <c r="A226">
        <v>2698</v>
      </c>
      <c r="B226" s="1">
        <f>logtemperature[[#This Row],[Time]]/60-7</f>
        <v>37.966666666666669</v>
      </c>
      <c r="C226">
        <v>75.92</v>
      </c>
    </row>
    <row r="227" spans="1:3" x14ac:dyDescent="0.25">
      <c r="A227">
        <v>2709</v>
      </c>
      <c r="B227" s="1">
        <f>logtemperature[[#This Row],[Time]]/60-7</f>
        <v>38.15</v>
      </c>
      <c r="C227">
        <v>76.37</v>
      </c>
    </row>
    <row r="228" spans="1:3" x14ac:dyDescent="0.25">
      <c r="A228">
        <v>2719</v>
      </c>
      <c r="B228" s="1">
        <f>logtemperature[[#This Row],[Time]]/60-7</f>
        <v>38.31666666666667</v>
      </c>
      <c r="C228">
        <v>76.819999999999993</v>
      </c>
    </row>
    <row r="229" spans="1:3" x14ac:dyDescent="0.25">
      <c r="A229">
        <v>2729</v>
      </c>
      <c r="B229" s="1">
        <f>logtemperature[[#This Row],[Time]]/60-7</f>
        <v>38.483333333333334</v>
      </c>
      <c r="C229">
        <v>77.19</v>
      </c>
    </row>
    <row r="230" spans="1:3" x14ac:dyDescent="0.25">
      <c r="A230">
        <v>2739</v>
      </c>
      <c r="B230" s="1">
        <f>logtemperature[[#This Row],[Time]]/60-7</f>
        <v>38.65</v>
      </c>
      <c r="C230">
        <v>76.989999999999995</v>
      </c>
    </row>
    <row r="231" spans="1:3" x14ac:dyDescent="0.25">
      <c r="A231">
        <v>2749</v>
      </c>
      <c r="B231" s="1">
        <f>logtemperature[[#This Row],[Time]]/60-7</f>
        <v>38.81666666666667</v>
      </c>
      <c r="C231">
        <v>77.040000000000006</v>
      </c>
    </row>
    <row r="232" spans="1:3" x14ac:dyDescent="0.25">
      <c r="A232">
        <v>2760</v>
      </c>
      <c r="B232" s="1">
        <f>logtemperature[[#This Row],[Time]]/60-7</f>
        <v>39</v>
      </c>
      <c r="C232">
        <v>76.760000000000005</v>
      </c>
    </row>
    <row r="233" spans="1:3" x14ac:dyDescent="0.25">
      <c r="A233">
        <v>2770</v>
      </c>
      <c r="B233" s="1">
        <f>logtemperature[[#This Row],[Time]]/60-7</f>
        <v>39.166666666666664</v>
      </c>
      <c r="C233">
        <v>76.88</v>
      </c>
    </row>
    <row r="234" spans="1:3" x14ac:dyDescent="0.25">
      <c r="A234">
        <v>2780</v>
      </c>
      <c r="B234" s="1">
        <f>logtemperature[[#This Row],[Time]]/60-7</f>
        <v>39.333333333333336</v>
      </c>
      <c r="C234">
        <v>76.53</v>
      </c>
    </row>
    <row r="235" spans="1:3" x14ac:dyDescent="0.25">
      <c r="A235">
        <v>2790</v>
      </c>
      <c r="B235" s="1">
        <f>logtemperature[[#This Row],[Time]]/60-7</f>
        <v>39.5</v>
      </c>
      <c r="C235">
        <v>76.91</v>
      </c>
    </row>
    <row r="236" spans="1:3" x14ac:dyDescent="0.25">
      <c r="A236">
        <v>2801</v>
      </c>
      <c r="B236" s="1">
        <f>logtemperature[[#This Row],[Time]]/60-7</f>
        <v>39.68333333333333</v>
      </c>
      <c r="C236">
        <v>77.08</v>
      </c>
    </row>
    <row r="237" spans="1:3" x14ac:dyDescent="0.25">
      <c r="A237">
        <v>2811</v>
      </c>
      <c r="B237" s="1">
        <f>logtemperature[[#This Row],[Time]]/60-7</f>
        <v>39.85</v>
      </c>
      <c r="C237">
        <v>77.239999999999995</v>
      </c>
    </row>
    <row r="238" spans="1:3" x14ac:dyDescent="0.25">
      <c r="A238">
        <v>2821</v>
      </c>
      <c r="B238" s="1">
        <f>logtemperature[[#This Row],[Time]]/60-7</f>
        <v>40.016666666666666</v>
      </c>
      <c r="C238">
        <v>77.099999999999994</v>
      </c>
    </row>
    <row r="239" spans="1:3" x14ac:dyDescent="0.25">
      <c r="A239">
        <v>2831</v>
      </c>
      <c r="B239" s="1">
        <f>logtemperature[[#This Row],[Time]]/60-7</f>
        <v>40.18333333333333</v>
      </c>
      <c r="C239">
        <v>77.69</v>
      </c>
    </row>
    <row r="240" spans="1:3" x14ac:dyDescent="0.25">
      <c r="A240">
        <v>2842</v>
      </c>
      <c r="B240" s="1">
        <f>logtemperature[[#This Row],[Time]]/60-7</f>
        <v>40.366666666666667</v>
      </c>
      <c r="C240">
        <v>77.900000000000006</v>
      </c>
    </row>
    <row r="241" spans="1:3" x14ac:dyDescent="0.25">
      <c r="A241">
        <v>2852</v>
      </c>
      <c r="B241" s="1">
        <f>logtemperature[[#This Row],[Time]]/60-7</f>
        <v>40.533333333333331</v>
      </c>
      <c r="C241">
        <v>77.33</v>
      </c>
    </row>
    <row r="242" spans="1:3" x14ac:dyDescent="0.25">
      <c r="A242">
        <v>2862</v>
      </c>
      <c r="B242" s="1">
        <f>logtemperature[[#This Row],[Time]]/60-7</f>
        <v>40.700000000000003</v>
      </c>
      <c r="C242">
        <v>76.400000000000006</v>
      </c>
    </row>
    <row r="243" spans="1:3" x14ac:dyDescent="0.25">
      <c r="A243">
        <v>2873</v>
      </c>
      <c r="B243" s="1">
        <f>logtemperature[[#This Row],[Time]]/60-7</f>
        <v>40.883333333333333</v>
      </c>
      <c r="C243">
        <v>77.56</v>
      </c>
    </row>
    <row r="244" spans="1:3" x14ac:dyDescent="0.25">
      <c r="A244">
        <v>2883</v>
      </c>
      <c r="B244" s="1">
        <f>logtemperature[[#This Row],[Time]]/60-7</f>
        <v>41.05</v>
      </c>
      <c r="C244">
        <v>78.209999999999994</v>
      </c>
    </row>
    <row r="245" spans="1:3" x14ac:dyDescent="0.25">
      <c r="A245">
        <v>2894</v>
      </c>
      <c r="B245" s="1">
        <f>logtemperature[[#This Row],[Time]]/60-7</f>
        <v>41.233333333333334</v>
      </c>
      <c r="C245">
        <v>77.69</v>
      </c>
    </row>
    <row r="246" spans="1:3" x14ac:dyDescent="0.25">
      <c r="A246">
        <v>2904</v>
      </c>
      <c r="B246" s="1">
        <f>logtemperature[[#This Row],[Time]]/60-7</f>
        <v>41.4</v>
      </c>
      <c r="C246">
        <v>77.95</v>
      </c>
    </row>
    <row r="247" spans="1:3" x14ac:dyDescent="0.25">
      <c r="A247">
        <v>2914</v>
      </c>
      <c r="B247" s="1">
        <f>logtemperature[[#This Row],[Time]]/60-7</f>
        <v>41.56666666666667</v>
      </c>
      <c r="C247">
        <v>77.400000000000006</v>
      </c>
    </row>
    <row r="248" spans="1:3" x14ac:dyDescent="0.25">
      <c r="A248">
        <v>2924</v>
      </c>
      <c r="B248" s="1">
        <f>logtemperature[[#This Row],[Time]]/60-7</f>
        <v>41.733333333333334</v>
      </c>
      <c r="C248">
        <v>77.040000000000006</v>
      </c>
    </row>
    <row r="249" spans="1:3" x14ac:dyDescent="0.25">
      <c r="A249">
        <v>2934</v>
      </c>
      <c r="B249" s="1">
        <f>logtemperature[[#This Row],[Time]]/60-7</f>
        <v>41.9</v>
      </c>
      <c r="C249">
        <v>76.53</v>
      </c>
    </row>
    <row r="250" spans="1:3" x14ac:dyDescent="0.25">
      <c r="A250">
        <v>2944</v>
      </c>
      <c r="B250" s="1">
        <f>logtemperature[[#This Row],[Time]]/60-7</f>
        <v>42.06666666666667</v>
      </c>
      <c r="C250">
        <v>77.64</v>
      </c>
    </row>
    <row r="251" spans="1:3" x14ac:dyDescent="0.25">
      <c r="A251">
        <v>2955</v>
      </c>
      <c r="B251" s="1">
        <f>logtemperature[[#This Row],[Time]]/60-7</f>
        <v>42.25</v>
      </c>
      <c r="C251">
        <v>78.819999999999993</v>
      </c>
    </row>
    <row r="252" spans="1:3" x14ac:dyDescent="0.25">
      <c r="A252">
        <v>2965</v>
      </c>
      <c r="B252" s="1">
        <f>logtemperature[[#This Row],[Time]]/60-7</f>
        <v>42.416666666666664</v>
      </c>
      <c r="C252">
        <v>78.489999999999995</v>
      </c>
    </row>
    <row r="253" spans="1:3" x14ac:dyDescent="0.25">
      <c r="A253">
        <v>2975</v>
      </c>
      <c r="B253" s="1">
        <f>logtemperature[[#This Row],[Time]]/60-7</f>
        <v>42.583333333333336</v>
      </c>
      <c r="C253">
        <v>78.25</v>
      </c>
    </row>
    <row r="254" spans="1:3" x14ac:dyDescent="0.25">
      <c r="A254">
        <v>2986</v>
      </c>
      <c r="B254" s="1">
        <f>logtemperature[[#This Row],[Time]]/60-7</f>
        <v>42.766666666666666</v>
      </c>
      <c r="C254">
        <v>77.64</v>
      </c>
    </row>
    <row r="255" spans="1:3" x14ac:dyDescent="0.25">
      <c r="A255">
        <v>2996</v>
      </c>
      <c r="B255" s="1">
        <f>logtemperature[[#This Row],[Time]]/60-7</f>
        <v>42.93333333333333</v>
      </c>
      <c r="C255">
        <v>78.010000000000005</v>
      </c>
    </row>
    <row r="256" spans="1:3" x14ac:dyDescent="0.25">
      <c r="A256">
        <v>3006</v>
      </c>
      <c r="B256" s="1">
        <f>logtemperature[[#This Row],[Time]]/60-7</f>
        <v>43.1</v>
      </c>
      <c r="C256">
        <v>78.34</v>
      </c>
    </row>
    <row r="257" spans="1:3" x14ac:dyDescent="0.25">
      <c r="A257">
        <v>3016</v>
      </c>
      <c r="B257" s="1">
        <f>logtemperature[[#This Row],[Time]]/60-7</f>
        <v>43.266666666666666</v>
      </c>
      <c r="C257">
        <v>77.92</v>
      </c>
    </row>
    <row r="258" spans="1:3" x14ac:dyDescent="0.25">
      <c r="A258">
        <v>3026</v>
      </c>
      <c r="B258" s="1">
        <f>logtemperature[[#This Row],[Time]]/60-7</f>
        <v>43.43333333333333</v>
      </c>
      <c r="C258">
        <v>77.94</v>
      </c>
    </row>
    <row r="259" spans="1:3" x14ac:dyDescent="0.25">
      <c r="A259">
        <v>3036</v>
      </c>
      <c r="B259" s="1">
        <f>logtemperature[[#This Row],[Time]]/60-7</f>
        <v>43.6</v>
      </c>
      <c r="C259">
        <v>77.58</v>
      </c>
    </row>
    <row r="260" spans="1:3" x14ac:dyDescent="0.25">
      <c r="A260">
        <v>3046</v>
      </c>
      <c r="B260" s="1">
        <f>logtemperature[[#This Row],[Time]]/60-7</f>
        <v>43.766666666666666</v>
      </c>
      <c r="C260">
        <v>77.819999999999993</v>
      </c>
    </row>
    <row r="261" spans="1:3" x14ac:dyDescent="0.25">
      <c r="A261">
        <v>3056</v>
      </c>
      <c r="B261" s="1">
        <f>logtemperature[[#This Row],[Time]]/60-7</f>
        <v>43.93333333333333</v>
      </c>
      <c r="C261">
        <v>77.84</v>
      </c>
    </row>
    <row r="262" spans="1:3" x14ac:dyDescent="0.25">
      <c r="A262">
        <v>3067</v>
      </c>
      <c r="B262" s="1">
        <f>logtemperature[[#This Row],[Time]]/60-7</f>
        <v>44.116666666666667</v>
      </c>
      <c r="C262">
        <v>78.3</v>
      </c>
    </row>
    <row r="263" spans="1:3" x14ac:dyDescent="0.25">
      <c r="A263">
        <v>3077</v>
      </c>
      <c r="B263" s="1">
        <f>logtemperature[[#This Row],[Time]]/60-7</f>
        <v>44.283333333333331</v>
      </c>
      <c r="C263">
        <v>78.97</v>
      </c>
    </row>
    <row r="264" spans="1:3" x14ac:dyDescent="0.25">
      <c r="A264">
        <v>3087</v>
      </c>
      <c r="B264" s="1">
        <f>logtemperature[[#This Row],[Time]]/60-7</f>
        <v>44.45</v>
      </c>
      <c r="C264">
        <v>81.14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719A3-566C-4B42-8867-361793241639}">
  <dimension ref="A1:C157"/>
  <sheetViews>
    <sheetView workbookViewId="0">
      <selection activeCell="B2" sqref="B2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5</v>
      </c>
      <c r="B1" t="s">
        <v>4</v>
      </c>
      <c r="C1" t="s">
        <v>6</v>
      </c>
    </row>
    <row r="2" spans="1:3" x14ac:dyDescent="0.25">
      <c r="A2">
        <v>2561</v>
      </c>
      <c r="B2" s="1">
        <f>logtemperature__4[[#This Row],[time]]/60-43</f>
        <v>-0.31666666666666998</v>
      </c>
      <c r="C2">
        <v>24.1</v>
      </c>
    </row>
    <row r="3" spans="1:3" x14ac:dyDescent="0.25">
      <c r="A3">
        <v>2571</v>
      </c>
      <c r="B3" s="1">
        <f>logtemperature__4[[#This Row],[time]]/60-43</f>
        <v>-0.14999999999999858</v>
      </c>
      <c r="C3">
        <v>24.88</v>
      </c>
    </row>
    <row r="4" spans="1:3" x14ac:dyDescent="0.25">
      <c r="A4">
        <v>2581</v>
      </c>
      <c r="B4" s="1">
        <f>logtemperature__4[[#This Row],[time]]/60-43</f>
        <v>1.6666666666665719E-2</v>
      </c>
      <c r="C4">
        <v>27.2</v>
      </c>
    </row>
    <row r="5" spans="1:3" x14ac:dyDescent="0.25">
      <c r="A5">
        <v>2591</v>
      </c>
      <c r="B5" s="1">
        <f>logtemperature__4[[#This Row],[time]]/60-43</f>
        <v>0.18333333333333002</v>
      </c>
      <c r="C5">
        <v>28.73</v>
      </c>
    </row>
    <row r="6" spans="1:3" x14ac:dyDescent="0.25">
      <c r="A6">
        <v>2601</v>
      </c>
      <c r="B6" s="1">
        <f>logtemperature__4[[#This Row],[time]]/60-43</f>
        <v>0.35000000000000142</v>
      </c>
      <c r="C6">
        <v>30.44</v>
      </c>
    </row>
    <row r="7" spans="1:3" x14ac:dyDescent="0.25">
      <c r="A7">
        <v>2611</v>
      </c>
      <c r="B7" s="1">
        <f>logtemperature__4[[#This Row],[time]]/60-43</f>
        <v>0.51666666666666572</v>
      </c>
      <c r="C7">
        <v>31.65</v>
      </c>
    </row>
    <row r="8" spans="1:3" x14ac:dyDescent="0.25">
      <c r="A8">
        <v>2621</v>
      </c>
      <c r="B8" s="1">
        <f>logtemperature__4[[#This Row],[time]]/60-43</f>
        <v>0.68333333333333002</v>
      </c>
      <c r="C8">
        <v>33.44</v>
      </c>
    </row>
    <row r="9" spans="1:3" x14ac:dyDescent="0.25">
      <c r="A9">
        <v>2632</v>
      </c>
      <c r="B9" s="1">
        <f>logtemperature__4[[#This Row],[time]]/60-43</f>
        <v>0.86666666666666714</v>
      </c>
      <c r="C9">
        <v>34.18</v>
      </c>
    </row>
    <row r="10" spans="1:3" x14ac:dyDescent="0.25">
      <c r="A10">
        <v>2642</v>
      </c>
      <c r="B10" s="1">
        <f>logtemperature__4[[#This Row],[time]]/60-43</f>
        <v>1.0333333333333314</v>
      </c>
      <c r="C10">
        <v>34.82</v>
      </c>
    </row>
    <row r="11" spans="1:3" x14ac:dyDescent="0.25">
      <c r="A11">
        <v>2652</v>
      </c>
      <c r="B11" s="1">
        <f>logtemperature__4[[#This Row],[time]]/60-43</f>
        <v>1.2000000000000028</v>
      </c>
      <c r="C11">
        <v>34.11</v>
      </c>
    </row>
    <row r="12" spans="1:3" x14ac:dyDescent="0.25">
      <c r="A12">
        <v>2662</v>
      </c>
      <c r="B12" s="1">
        <f>logtemperature__4[[#This Row],[time]]/60-43</f>
        <v>1.3666666666666671</v>
      </c>
      <c r="C12">
        <v>33.32</v>
      </c>
    </row>
    <row r="13" spans="1:3" x14ac:dyDescent="0.25">
      <c r="A13">
        <v>2672</v>
      </c>
      <c r="B13" s="1">
        <f>logtemperature__4[[#This Row],[time]]/60-43</f>
        <v>1.5333333333333314</v>
      </c>
      <c r="C13">
        <v>33.53</v>
      </c>
    </row>
    <row r="14" spans="1:3" x14ac:dyDescent="0.25">
      <c r="A14">
        <v>2682</v>
      </c>
      <c r="B14" s="1">
        <f>logtemperature__4[[#This Row],[time]]/60-43</f>
        <v>1.7000000000000028</v>
      </c>
      <c r="C14">
        <v>34.25</v>
      </c>
    </row>
    <row r="15" spans="1:3" x14ac:dyDescent="0.25">
      <c r="A15">
        <v>2692</v>
      </c>
      <c r="B15" s="1">
        <f>logtemperature__4[[#This Row],[time]]/60-43</f>
        <v>1.8666666666666671</v>
      </c>
      <c r="C15">
        <v>34.28</v>
      </c>
    </row>
    <row r="16" spans="1:3" x14ac:dyDescent="0.25">
      <c r="A16">
        <v>2702</v>
      </c>
      <c r="B16" s="1">
        <f>logtemperature__4[[#This Row],[time]]/60-43</f>
        <v>2.0333333333333314</v>
      </c>
      <c r="C16">
        <v>35.14</v>
      </c>
    </row>
    <row r="17" spans="1:3" x14ac:dyDescent="0.25">
      <c r="A17">
        <v>2712</v>
      </c>
      <c r="B17" s="1">
        <f>logtemperature__4[[#This Row],[time]]/60-43</f>
        <v>2.2000000000000028</v>
      </c>
      <c r="C17">
        <v>35.549999999999997</v>
      </c>
    </row>
    <row r="18" spans="1:3" x14ac:dyDescent="0.25">
      <c r="A18">
        <v>2722</v>
      </c>
      <c r="B18" s="1">
        <f>logtemperature__4[[#This Row],[time]]/60-43</f>
        <v>2.3666666666666671</v>
      </c>
      <c r="C18">
        <v>36.9</v>
      </c>
    </row>
    <row r="19" spans="1:3" x14ac:dyDescent="0.25">
      <c r="A19">
        <v>2732</v>
      </c>
      <c r="B19" s="1">
        <f>logtemperature__4[[#This Row],[time]]/60-43</f>
        <v>2.5333333333333314</v>
      </c>
      <c r="C19">
        <v>38.130000000000003</v>
      </c>
    </row>
    <row r="20" spans="1:3" x14ac:dyDescent="0.25">
      <c r="A20">
        <v>2742</v>
      </c>
      <c r="B20" s="1">
        <f>logtemperature__4[[#This Row],[time]]/60-43</f>
        <v>2.7000000000000028</v>
      </c>
      <c r="C20">
        <v>37.72</v>
      </c>
    </row>
    <row r="21" spans="1:3" x14ac:dyDescent="0.25">
      <c r="A21">
        <v>2752</v>
      </c>
      <c r="B21" s="1">
        <f>logtemperature__4[[#This Row],[time]]/60-43</f>
        <v>2.8666666666666671</v>
      </c>
      <c r="C21">
        <v>37.83</v>
      </c>
    </row>
    <row r="22" spans="1:3" x14ac:dyDescent="0.25">
      <c r="A22">
        <v>2762</v>
      </c>
      <c r="B22" s="1">
        <f>logtemperature__4[[#This Row],[time]]/60-43</f>
        <v>3.0333333333333314</v>
      </c>
      <c r="C22">
        <v>37.090000000000003</v>
      </c>
    </row>
    <row r="23" spans="1:3" x14ac:dyDescent="0.25">
      <c r="A23">
        <v>2772</v>
      </c>
      <c r="B23" s="1">
        <f>logtemperature__4[[#This Row],[time]]/60-43</f>
        <v>3.2000000000000028</v>
      </c>
      <c r="C23">
        <v>37.979999999999997</v>
      </c>
    </row>
    <row r="24" spans="1:3" x14ac:dyDescent="0.25">
      <c r="A24">
        <v>2782</v>
      </c>
      <c r="B24" s="1">
        <f>logtemperature__4[[#This Row],[time]]/60-43</f>
        <v>3.3666666666666671</v>
      </c>
      <c r="C24">
        <v>38.229999999999997</v>
      </c>
    </row>
    <row r="25" spans="1:3" x14ac:dyDescent="0.25">
      <c r="A25">
        <v>2792</v>
      </c>
      <c r="B25" s="1">
        <f>logtemperature__4[[#This Row],[time]]/60-43</f>
        <v>3.5333333333333314</v>
      </c>
      <c r="C25">
        <v>40.090000000000003</v>
      </c>
    </row>
    <row r="26" spans="1:3" x14ac:dyDescent="0.25">
      <c r="A26">
        <v>2802</v>
      </c>
      <c r="B26" s="1">
        <f>logtemperature__4[[#This Row],[time]]/60-43</f>
        <v>3.7000000000000028</v>
      </c>
      <c r="C26">
        <v>40.19</v>
      </c>
    </row>
    <row r="27" spans="1:3" x14ac:dyDescent="0.25">
      <c r="A27">
        <v>2812</v>
      </c>
      <c r="B27" s="1">
        <f>logtemperature__4[[#This Row],[time]]/60-43</f>
        <v>3.8666666666666671</v>
      </c>
      <c r="C27">
        <v>40.24</v>
      </c>
    </row>
    <row r="28" spans="1:3" x14ac:dyDescent="0.25">
      <c r="A28">
        <v>2822</v>
      </c>
      <c r="B28" s="1">
        <f>logtemperature__4[[#This Row],[time]]/60-43</f>
        <v>4.0333333333333314</v>
      </c>
      <c r="C28">
        <v>42.65</v>
      </c>
    </row>
    <row r="29" spans="1:3" x14ac:dyDescent="0.25">
      <c r="A29">
        <v>2832</v>
      </c>
      <c r="B29" s="1">
        <f>logtemperature__4[[#This Row],[time]]/60-43</f>
        <v>4.2000000000000028</v>
      </c>
      <c r="C29">
        <v>43.54</v>
      </c>
    </row>
    <row r="30" spans="1:3" x14ac:dyDescent="0.25">
      <c r="A30">
        <v>2842</v>
      </c>
      <c r="B30" s="1">
        <f>logtemperature__4[[#This Row],[time]]/60-43</f>
        <v>4.3666666666666671</v>
      </c>
      <c r="C30">
        <v>42.8</v>
      </c>
    </row>
    <row r="31" spans="1:3" x14ac:dyDescent="0.25">
      <c r="A31">
        <v>2852</v>
      </c>
      <c r="B31" s="1">
        <f>logtemperature__4[[#This Row],[time]]/60-43</f>
        <v>4.5333333333333314</v>
      </c>
      <c r="C31">
        <v>42.88</v>
      </c>
    </row>
    <row r="32" spans="1:3" x14ac:dyDescent="0.25">
      <c r="A32">
        <v>2862</v>
      </c>
      <c r="B32" s="1">
        <f>logtemperature__4[[#This Row],[time]]/60-43</f>
        <v>4.7000000000000028</v>
      </c>
      <c r="C32">
        <v>43.81</v>
      </c>
    </row>
    <row r="33" spans="1:3" x14ac:dyDescent="0.25">
      <c r="A33">
        <v>2872</v>
      </c>
      <c r="B33" s="1">
        <f>logtemperature__4[[#This Row],[time]]/60-43</f>
        <v>4.8666666666666671</v>
      </c>
      <c r="C33">
        <v>43.52</v>
      </c>
    </row>
    <row r="34" spans="1:3" x14ac:dyDescent="0.25">
      <c r="A34">
        <v>2882</v>
      </c>
      <c r="B34" s="1">
        <f>logtemperature__4[[#This Row],[time]]/60-43</f>
        <v>5.0333333333333314</v>
      </c>
      <c r="C34">
        <v>43.7</v>
      </c>
    </row>
    <row r="35" spans="1:3" x14ac:dyDescent="0.25">
      <c r="A35">
        <v>2892</v>
      </c>
      <c r="B35" s="1">
        <f>logtemperature__4[[#This Row],[time]]/60-43</f>
        <v>5.2000000000000028</v>
      </c>
      <c r="C35">
        <v>43.21</v>
      </c>
    </row>
    <row r="36" spans="1:3" x14ac:dyDescent="0.25">
      <c r="A36">
        <v>2902</v>
      </c>
      <c r="B36" s="1">
        <f>logtemperature__4[[#This Row],[time]]/60-43</f>
        <v>5.3666666666666671</v>
      </c>
      <c r="C36">
        <v>41.56</v>
      </c>
    </row>
    <row r="37" spans="1:3" x14ac:dyDescent="0.25">
      <c r="A37">
        <v>2912</v>
      </c>
      <c r="B37" s="1">
        <f>logtemperature__4[[#This Row],[time]]/60-43</f>
        <v>5.5333333333333314</v>
      </c>
      <c r="C37">
        <v>40.15</v>
      </c>
    </row>
    <row r="38" spans="1:3" x14ac:dyDescent="0.25">
      <c r="A38">
        <v>2922</v>
      </c>
      <c r="B38" s="1">
        <f>logtemperature__4[[#This Row],[time]]/60-43</f>
        <v>5.7000000000000028</v>
      </c>
      <c r="C38">
        <v>40.65</v>
      </c>
    </row>
    <row r="39" spans="1:3" x14ac:dyDescent="0.25">
      <c r="A39">
        <v>2932</v>
      </c>
      <c r="B39" s="1">
        <f>logtemperature__4[[#This Row],[time]]/60-43</f>
        <v>5.8666666666666671</v>
      </c>
      <c r="C39">
        <v>41.81</v>
      </c>
    </row>
    <row r="40" spans="1:3" x14ac:dyDescent="0.25">
      <c r="A40">
        <v>2942</v>
      </c>
      <c r="B40" s="1">
        <f>logtemperature__4[[#This Row],[time]]/60-43</f>
        <v>6.0333333333333314</v>
      </c>
      <c r="C40">
        <v>42.1</v>
      </c>
    </row>
    <row r="41" spans="1:3" x14ac:dyDescent="0.25">
      <c r="A41">
        <v>2952</v>
      </c>
      <c r="B41" s="1">
        <f>logtemperature__4[[#This Row],[time]]/60-43</f>
        <v>6.2000000000000028</v>
      </c>
      <c r="C41">
        <v>42.44</v>
      </c>
    </row>
    <row r="42" spans="1:3" x14ac:dyDescent="0.25">
      <c r="A42">
        <v>2962</v>
      </c>
      <c r="B42" s="1">
        <f>logtemperature__4[[#This Row],[time]]/60-43</f>
        <v>6.3666666666666671</v>
      </c>
      <c r="C42">
        <v>43.65</v>
      </c>
    </row>
    <row r="43" spans="1:3" x14ac:dyDescent="0.25">
      <c r="A43">
        <v>2972</v>
      </c>
      <c r="B43" s="1">
        <f>logtemperature__4[[#This Row],[time]]/60-43</f>
        <v>6.5333333333333314</v>
      </c>
      <c r="C43">
        <v>43.75</v>
      </c>
    </row>
    <row r="44" spans="1:3" x14ac:dyDescent="0.25">
      <c r="A44">
        <v>2982</v>
      </c>
      <c r="B44" s="1">
        <f>logtemperature__4[[#This Row],[time]]/60-43</f>
        <v>6.7000000000000028</v>
      </c>
      <c r="C44">
        <v>45.61</v>
      </c>
    </row>
    <row r="45" spans="1:3" x14ac:dyDescent="0.25">
      <c r="A45">
        <v>2992</v>
      </c>
      <c r="B45" s="1">
        <f>logtemperature__4[[#This Row],[time]]/60-43</f>
        <v>6.8666666666666671</v>
      </c>
      <c r="C45">
        <v>44.45</v>
      </c>
    </row>
    <row r="46" spans="1:3" x14ac:dyDescent="0.25">
      <c r="A46">
        <v>3002</v>
      </c>
      <c r="B46" s="1">
        <f>logtemperature__4[[#This Row],[time]]/60-43</f>
        <v>7.0333333333333314</v>
      </c>
      <c r="C46">
        <v>45.35</v>
      </c>
    </row>
    <row r="47" spans="1:3" x14ac:dyDescent="0.25">
      <c r="A47">
        <v>3012</v>
      </c>
      <c r="B47" s="1">
        <f>logtemperature__4[[#This Row],[time]]/60-43</f>
        <v>7.2000000000000028</v>
      </c>
      <c r="C47">
        <v>46.34</v>
      </c>
    </row>
    <row r="48" spans="1:3" x14ac:dyDescent="0.25">
      <c r="A48">
        <v>3022</v>
      </c>
      <c r="B48" s="1">
        <f>logtemperature__4[[#This Row],[time]]/60-43</f>
        <v>7.3666666666666671</v>
      </c>
      <c r="C48">
        <v>46.93</v>
      </c>
    </row>
    <row r="49" spans="1:3" x14ac:dyDescent="0.25">
      <c r="A49">
        <v>3032</v>
      </c>
      <c r="B49" s="1">
        <f>logtemperature__4[[#This Row],[time]]/60-43</f>
        <v>7.5333333333333314</v>
      </c>
      <c r="C49">
        <v>47.7</v>
      </c>
    </row>
    <row r="50" spans="1:3" x14ac:dyDescent="0.25">
      <c r="A50">
        <v>3042</v>
      </c>
      <c r="B50" s="1">
        <f>logtemperature__4[[#This Row],[time]]/60-43</f>
        <v>7.7000000000000028</v>
      </c>
      <c r="C50">
        <v>47.4</v>
      </c>
    </row>
    <row r="51" spans="1:3" x14ac:dyDescent="0.25">
      <c r="A51">
        <v>3052</v>
      </c>
      <c r="B51" s="1">
        <f>logtemperature__4[[#This Row],[time]]/60-43</f>
        <v>7.8666666666666671</v>
      </c>
      <c r="C51">
        <v>46.9</v>
      </c>
    </row>
    <row r="52" spans="1:3" x14ac:dyDescent="0.25">
      <c r="A52">
        <v>3062</v>
      </c>
      <c r="B52" s="1">
        <f>logtemperature__4[[#This Row],[time]]/60-43</f>
        <v>8.0333333333333314</v>
      </c>
      <c r="C52">
        <v>46.63</v>
      </c>
    </row>
    <row r="53" spans="1:3" x14ac:dyDescent="0.25">
      <c r="A53">
        <v>3072</v>
      </c>
      <c r="B53" s="1">
        <f>logtemperature__4[[#This Row],[time]]/60-43</f>
        <v>8.2000000000000028</v>
      </c>
      <c r="C53">
        <v>46.95</v>
      </c>
    </row>
    <row r="54" spans="1:3" x14ac:dyDescent="0.25">
      <c r="A54">
        <v>3082</v>
      </c>
      <c r="B54" s="1">
        <f>logtemperature__4[[#This Row],[time]]/60-43</f>
        <v>8.3666666666666671</v>
      </c>
      <c r="C54">
        <v>47.37</v>
      </c>
    </row>
    <row r="55" spans="1:3" x14ac:dyDescent="0.25">
      <c r="A55">
        <v>3093</v>
      </c>
      <c r="B55" s="1">
        <f>logtemperature__4[[#This Row],[time]]/60-43</f>
        <v>8.5499999999999972</v>
      </c>
      <c r="C55">
        <v>47.06</v>
      </c>
    </row>
    <row r="56" spans="1:3" x14ac:dyDescent="0.25">
      <c r="A56">
        <v>3103</v>
      </c>
      <c r="B56" s="1">
        <f>logtemperature__4[[#This Row],[time]]/60-43</f>
        <v>8.7166666666666686</v>
      </c>
      <c r="C56">
        <v>47.31</v>
      </c>
    </row>
    <row r="57" spans="1:3" x14ac:dyDescent="0.25">
      <c r="A57">
        <v>3113</v>
      </c>
      <c r="B57" s="1">
        <f>logtemperature__4[[#This Row],[time]]/60-43</f>
        <v>8.8833333333333329</v>
      </c>
      <c r="C57">
        <v>48.11</v>
      </c>
    </row>
    <row r="58" spans="1:3" x14ac:dyDescent="0.25">
      <c r="A58">
        <v>3123</v>
      </c>
      <c r="B58" s="1">
        <f>logtemperature__4[[#This Row],[time]]/60-43</f>
        <v>9.0499999999999972</v>
      </c>
      <c r="C58">
        <v>47.25</v>
      </c>
    </row>
    <row r="59" spans="1:3" x14ac:dyDescent="0.25">
      <c r="A59">
        <v>3133</v>
      </c>
      <c r="B59" s="1">
        <f>logtemperature__4[[#This Row],[time]]/60-43</f>
        <v>9.2166666666666686</v>
      </c>
      <c r="C59">
        <v>47.39</v>
      </c>
    </row>
    <row r="60" spans="1:3" x14ac:dyDescent="0.25">
      <c r="A60">
        <v>3143</v>
      </c>
      <c r="B60" s="1">
        <f>logtemperature__4[[#This Row],[time]]/60-43</f>
        <v>9.3833333333333329</v>
      </c>
      <c r="C60">
        <v>48.61</v>
      </c>
    </row>
    <row r="61" spans="1:3" x14ac:dyDescent="0.25">
      <c r="A61">
        <v>3153</v>
      </c>
      <c r="B61" s="1">
        <f>logtemperature__4[[#This Row],[time]]/60-43</f>
        <v>9.5499999999999972</v>
      </c>
      <c r="C61">
        <v>50.73</v>
      </c>
    </row>
    <row r="62" spans="1:3" x14ac:dyDescent="0.25">
      <c r="A62">
        <v>3163</v>
      </c>
      <c r="B62" s="1">
        <f>logtemperature__4[[#This Row],[time]]/60-43</f>
        <v>9.7166666666666686</v>
      </c>
      <c r="C62">
        <v>50.87</v>
      </c>
    </row>
    <row r="63" spans="1:3" x14ac:dyDescent="0.25">
      <c r="A63">
        <v>3173</v>
      </c>
      <c r="B63" s="1">
        <f>logtemperature__4[[#This Row],[time]]/60-43</f>
        <v>9.8833333333333329</v>
      </c>
      <c r="C63">
        <v>49.26</v>
      </c>
    </row>
    <row r="64" spans="1:3" x14ac:dyDescent="0.25">
      <c r="A64">
        <v>3183</v>
      </c>
      <c r="B64" s="1">
        <f>logtemperature__4[[#This Row],[time]]/60-43</f>
        <v>10.049999999999997</v>
      </c>
      <c r="C64">
        <v>47.2</v>
      </c>
    </row>
    <row r="65" spans="1:3" x14ac:dyDescent="0.25">
      <c r="A65">
        <v>3193</v>
      </c>
      <c r="B65" s="1">
        <f>logtemperature__4[[#This Row],[time]]/60-43</f>
        <v>10.216666666666669</v>
      </c>
      <c r="C65">
        <v>48.25</v>
      </c>
    </row>
    <row r="66" spans="1:3" x14ac:dyDescent="0.25">
      <c r="A66">
        <v>3203</v>
      </c>
      <c r="B66" s="1">
        <f>logtemperature__4[[#This Row],[time]]/60-43</f>
        <v>10.383333333333333</v>
      </c>
      <c r="C66">
        <v>49.36</v>
      </c>
    </row>
    <row r="67" spans="1:3" x14ac:dyDescent="0.25">
      <c r="A67">
        <v>3213</v>
      </c>
      <c r="B67" s="1">
        <f>logtemperature__4[[#This Row],[time]]/60-43</f>
        <v>10.549999999999997</v>
      </c>
      <c r="C67">
        <v>48.79</v>
      </c>
    </row>
    <row r="68" spans="1:3" x14ac:dyDescent="0.25">
      <c r="A68">
        <v>3223</v>
      </c>
      <c r="B68" s="1">
        <f>logtemperature__4[[#This Row],[time]]/60-43</f>
        <v>10.716666666666669</v>
      </c>
      <c r="C68">
        <v>51</v>
      </c>
    </row>
    <row r="69" spans="1:3" x14ac:dyDescent="0.25">
      <c r="A69">
        <v>3233</v>
      </c>
      <c r="B69" s="1">
        <f>logtemperature__4[[#This Row],[time]]/60-43</f>
        <v>10.883333333333333</v>
      </c>
      <c r="C69">
        <v>49.74</v>
      </c>
    </row>
    <row r="70" spans="1:3" x14ac:dyDescent="0.25">
      <c r="A70">
        <v>3243</v>
      </c>
      <c r="B70" s="1">
        <f>logtemperature__4[[#This Row],[time]]/60-43</f>
        <v>11.049999999999997</v>
      </c>
      <c r="C70">
        <v>51.77</v>
      </c>
    </row>
    <row r="71" spans="1:3" x14ac:dyDescent="0.25">
      <c r="A71">
        <v>3253</v>
      </c>
      <c r="B71" s="1">
        <f>logtemperature__4[[#This Row],[time]]/60-43</f>
        <v>11.216666666666669</v>
      </c>
      <c r="C71">
        <v>51.16</v>
      </c>
    </row>
    <row r="72" spans="1:3" x14ac:dyDescent="0.25">
      <c r="A72">
        <v>3263</v>
      </c>
      <c r="B72" s="1">
        <f>logtemperature__4[[#This Row],[time]]/60-43</f>
        <v>11.383333333333333</v>
      </c>
      <c r="C72">
        <v>51.31</v>
      </c>
    </row>
    <row r="73" spans="1:3" x14ac:dyDescent="0.25">
      <c r="A73">
        <v>3273</v>
      </c>
      <c r="B73" s="1">
        <f>logtemperature__4[[#This Row],[time]]/60-43</f>
        <v>11.549999999999997</v>
      </c>
      <c r="C73">
        <v>52.18</v>
      </c>
    </row>
    <row r="74" spans="1:3" x14ac:dyDescent="0.25">
      <c r="A74">
        <v>3283</v>
      </c>
      <c r="B74" s="1">
        <f>logtemperature__4[[#This Row],[time]]/60-43</f>
        <v>11.716666666666669</v>
      </c>
      <c r="C74">
        <v>51.07</v>
      </c>
    </row>
    <row r="75" spans="1:3" x14ac:dyDescent="0.25">
      <c r="A75">
        <v>3293</v>
      </c>
      <c r="B75" s="1">
        <f>logtemperature__4[[#This Row],[time]]/60-43</f>
        <v>11.883333333333333</v>
      </c>
      <c r="C75">
        <v>50.11</v>
      </c>
    </row>
    <row r="76" spans="1:3" x14ac:dyDescent="0.25">
      <c r="A76">
        <v>3303</v>
      </c>
      <c r="B76" s="1">
        <f>logtemperature__4[[#This Row],[time]]/60-43</f>
        <v>12.049999999999997</v>
      </c>
      <c r="C76">
        <v>48.89</v>
      </c>
    </row>
    <row r="77" spans="1:3" x14ac:dyDescent="0.25">
      <c r="A77">
        <v>3313</v>
      </c>
      <c r="B77" s="1">
        <f>logtemperature__4[[#This Row],[time]]/60-43</f>
        <v>12.216666666666669</v>
      </c>
      <c r="C77">
        <v>50.03</v>
      </c>
    </row>
    <row r="78" spans="1:3" x14ac:dyDescent="0.25">
      <c r="A78">
        <v>3323</v>
      </c>
      <c r="B78" s="1">
        <f>logtemperature__4[[#This Row],[time]]/60-43</f>
        <v>12.383333333333333</v>
      </c>
      <c r="C78">
        <v>49.85</v>
      </c>
    </row>
    <row r="79" spans="1:3" x14ac:dyDescent="0.25">
      <c r="A79">
        <v>3333</v>
      </c>
      <c r="B79" s="1">
        <f>logtemperature__4[[#This Row],[time]]/60-43</f>
        <v>12.549999999999997</v>
      </c>
      <c r="C79">
        <v>50.6</v>
      </c>
    </row>
    <row r="80" spans="1:3" x14ac:dyDescent="0.25">
      <c r="A80">
        <v>3343</v>
      </c>
      <c r="B80" s="1">
        <f>logtemperature__4[[#This Row],[time]]/60-43</f>
        <v>12.716666666666669</v>
      </c>
      <c r="C80">
        <v>51.49</v>
      </c>
    </row>
    <row r="81" spans="1:3" x14ac:dyDescent="0.25">
      <c r="A81">
        <v>3353</v>
      </c>
      <c r="B81" s="1">
        <f>logtemperature__4[[#This Row],[time]]/60-43</f>
        <v>12.883333333333333</v>
      </c>
      <c r="C81">
        <v>53.07</v>
      </c>
    </row>
    <row r="82" spans="1:3" x14ac:dyDescent="0.25">
      <c r="A82">
        <v>3363</v>
      </c>
      <c r="B82" s="1">
        <f>logtemperature__4[[#This Row],[time]]/60-43</f>
        <v>13.049999999999997</v>
      </c>
      <c r="C82">
        <v>53.44</v>
      </c>
    </row>
    <row r="83" spans="1:3" x14ac:dyDescent="0.25">
      <c r="A83">
        <v>3373</v>
      </c>
      <c r="B83" s="1">
        <f>logtemperature__4[[#This Row],[time]]/60-43</f>
        <v>13.216666666666669</v>
      </c>
      <c r="C83">
        <v>52.23</v>
      </c>
    </row>
    <row r="84" spans="1:3" x14ac:dyDescent="0.25">
      <c r="A84">
        <v>3383</v>
      </c>
      <c r="B84" s="1">
        <f>logtemperature__4[[#This Row],[time]]/60-43</f>
        <v>13.383333333333333</v>
      </c>
      <c r="C84">
        <v>51.93</v>
      </c>
    </row>
    <row r="85" spans="1:3" x14ac:dyDescent="0.25">
      <c r="A85">
        <v>3393</v>
      </c>
      <c r="B85" s="1">
        <f>logtemperature__4[[#This Row],[time]]/60-43</f>
        <v>13.549999999999997</v>
      </c>
      <c r="C85">
        <v>52.53</v>
      </c>
    </row>
    <row r="86" spans="1:3" x14ac:dyDescent="0.25">
      <c r="A86">
        <v>3403</v>
      </c>
      <c r="B86" s="1">
        <f>logtemperature__4[[#This Row],[time]]/60-43</f>
        <v>13.716666666666669</v>
      </c>
      <c r="C86">
        <v>53.55</v>
      </c>
    </row>
    <row r="87" spans="1:3" x14ac:dyDescent="0.25">
      <c r="A87">
        <v>3413</v>
      </c>
      <c r="B87" s="1">
        <f>logtemperature__4[[#This Row],[time]]/60-43</f>
        <v>13.883333333333333</v>
      </c>
      <c r="C87">
        <v>52.91</v>
      </c>
    </row>
    <row r="88" spans="1:3" x14ac:dyDescent="0.25">
      <c r="A88">
        <v>3423</v>
      </c>
      <c r="B88" s="1">
        <f>logtemperature__4[[#This Row],[time]]/60-43</f>
        <v>14.049999999999997</v>
      </c>
      <c r="C88">
        <v>54.95</v>
      </c>
    </row>
    <row r="89" spans="1:3" x14ac:dyDescent="0.25">
      <c r="A89">
        <v>3433</v>
      </c>
      <c r="B89" s="1">
        <f>logtemperature__4[[#This Row],[time]]/60-43</f>
        <v>14.216666666666669</v>
      </c>
      <c r="C89">
        <v>53.3</v>
      </c>
    </row>
    <row r="90" spans="1:3" x14ac:dyDescent="0.25">
      <c r="A90">
        <v>3443</v>
      </c>
      <c r="B90" s="1">
        <f>logtemperature__4[[#This Row],[time]]/60-43</f>
        <v>14.383333333333333</v>
      </c>
      <c r="C90">
        <v>53.32</v>
      </c>
    </row>
    <row r="91" spans="1:3" x14ac:dyDescent="0.25">
      <c r="A91">
        <v>3453</v>
      </c>
      <c r="B91" s="1">
        <f>logtemperature__4[[#This Row],[time]]/60-43</f>
        <v>14.549999999999997</v>
      </c>
      <c r="C91">
        <v>54.14</v>
      </c>
    </row>
    <row r="92" spans="1:3" x14ac:dyDescent="0.25">
      <c r="A92">
        <v>3463</v>
      </c>
      <c r="B92" s="1">
        <f>logtemperature__4[[#This Row],[time]]/60-43</f>
        <v>14.716666666666669</v>
      </c>
      <c r="C92">
        <v>53.85</v>
      </c>
    </row>
    <row r="93" spans="1:3" x14ac:dyDescent="0.25">
      <c r="A93">
        <v>3473</v>
      </c>
      <c r="B93" s="1">
        <f>logtemperature__4[[#This Row],[time]]/60-43</f>
        <v>14.883333333333333</v>
      </c>
      <c r="C93">
        <v>52.38</v>
      </c>
    </row>
    <row r="94" spans="1:3" x14ac:dyDescent="0.25">
      <c r="A94">
        <v>3483</v>
      </c>
      <c r="B94" s="1">
        <f>logtemperature__4[[#This Row],[time]]/60-43</f>
        <v>15.049999999999997</v>
      </c>
      <c r="C94">
        <v>53.88</v>
      </c>
    </row>
    <row r="95" spans="1:3" x14ac:dyDescent="0.25">
      <c r="A95">
        <v>3493</v>
      </c>
      <c r="B95" s="1">
        <f>logtemperature__4[[#This Row],[time]]/60-43</f>
        <v>15.216666666666669</v>
      </c>
      <c r="C95">
        <v>54.97</v>
      </c>
    </row>
    <row r="96" spans="1:3" x14ac:dyDescent="0.25">
      <c r="A96">
        <v>3503</v>
      </c>
      <c r="B96" s="1">
        <f>logtemperature__4[[#This Row],[time]]/60-43</f>
        <v>15.383333333333333</v>
      </c>
      <c r="C96">
        <v>54.65</v>
      </c>
    </row>
    <row r="97" spans="1:3" x14ac:dyDescent="0.25">
      <c r="A97">
        <v>3513</v>
      </c>
      <c r="B97" s="1">
        <f>logtemperature__4[[#This Row],[time]]/60-43</f>
        <v>15.549999999999997</v>
      </c>
      <c r="C97">
        <v>55.41</v>
      </c>
    </row>
    <row r="98" spans="1:3" x14ac:dyDescent="0.25">
      <c r="A98">
        <v>3523</v>
      </c>
      <c r="B98" s="1">
        <f>logtemperature__4[[#This Row],[time]]/60-43</f>
        <v>15.716666666666669</v>
      </c>
      <c r="C98">
        <v>54.91</v>
      </c>
    </row>
    <row r="99" spans="1:3" x14ac:dyDescent="0.25">
      <c r="A99">
        <v>3533</v>
      </c>
      <c r="B99" s="1">
        <f>logtemperature__4[[#This Row],[time]]/60-43</f>
        <v>15.883333333333333</v>
      </c>
      <c r="C99">
        <v>54.44</v>
      </c>
    </row>
    <row r="100" spans="1:3" x14ac:dyDescent="0.25">
      <c r="A100">
        <v>3543</v>
      </c>
      <c r="B100" s="1">
        <f>logtemperature__4[[#This Row],[time]]/60-43</f>
        <v>16.049999999999997</v>
      </c>
      <c r="C100">
        <v>55.54</v>
      </c>
    </row>
    <row r="101" spans="1:3" x14ac:dyDescent="0.25">
      <c r="A101">
        <v>3553</v>
      </c>
      <c r="B101" s="1">
        <f>logtemperature__4[[#This Row],[time]]/60-43</f>
        <v>16.216666666666669</v>
      </c>
      <c r="C101">
        <v>56.78</v>
      </c>
    </row>
    <row r="102" spans="1:3" x14ac:dyDescent="0.25">
      <c r="A102">
        <v>3563</v>
      </c>
      <c r="B102" s="1">
        <f>logtemperature__4[[#This Row],[time]]/60-43</f>
        <v>16.383333333333333</v>
      </c>
      <c r="C102">
        <v>56.23</v>
      </c>
    </row>
    <row r="103" spans="1:3" x14ac:dyDescent="0.25">
      <c r="A103">
        <v>3574</v>
      </c>
      <c r="B103" s="1">
        <f>logtemperature__4[[#This Row],[time]]/60-43</f>
        <v>16.56666666666667</v>
      </c>
      <c r="C103">
        <v>55.01</v>
      </c>
    </row>
    <row r="104" spans="1:3" x14ac:dyDescent="0.25">
      <c r="A104">
        <v>3584</v>
      </c>
      <c r="B104" s="1">
        <f>logtemperature__4[[#This Row],[time]]/60-43</f>
        <v>16.733333333333334</v>
      </c>
      <c r="C104">
        <v>54.84</v>
      </c>
    </row>
    <row r="105" spans="1:3" x14ac:dyDescent="0.25">
      <c r="A105">
        <v>3594</v>
      </c>
      <c r="B105" s="1">
        <f>logtemperature__4[[#This Row],[time]]/60-43</f>
        <v>16.899999999999999</v>
      </c>
      <c r="C105">
        <v>55.1</v>
      </c>
    </row>
    <row r="106" spans="1:3" x14ac:dyDescent="0.25">
      <c r="A106">
        <v>3604</v>
      </c>
      <c r="B106" s="1">
        <f>logtemperature__4[[#This Row],[time]]/60-43</f>
        <v>17.06666666666667</v>
      </c>
      <c r="C106">
        <v>56.44</v>
      </c>
    </row>
    <row r="107" spans="1:3" x14ac:dyDescent="0.25">
      <c r="A107">
        <v>3614</v>
      </c>
      <c r="B107" s="1">
        <f>logtemperature__4[[#This Row],[time]]/60-43</f>
        <v>17.233333333333334</v>
      </c>
      <c r="C107">
        <v>57.82</v>
      </c>
    </row>
    <row r="108" spans="1:3" x14ac:dyDescent="0.25">
      <c r="A108">
        <v>3624</v>
      </c>
      <c r="B108" s="1">
        <f>logtemperature__4[[#This Row],[time]]/60-43</f>
        <v>17.399999999999999</v>
      </c>
      <c r="C108">
        <v>57.5</v>
      </c>
    </row>
    <row r="109" spans="1:3" x14ac:dyDescent="0.25">
      <c r="A109">
        <v>3634</v>
      </c>
      <c r="B109" s="1">
        <f>logtemperature__4[[#This Row],[time]]/60-43</f>
        <v>17.56666666666667</v>
      </c>
      <c r="C109">
        <v>57.28</v>
      </c>
    </row>
    <row r="110" spans="1:3" x14ac:dyDescent="0.25">
      <c r="A110">
        <v>3644</v>
      </c>
      <c r="B110" s="1">
        <f>logtemperature__4[[#This Row],[time]]/60-43</f>
        <v>17.733333333333334</v>
      </c>
      <c r="C110">
        <v>55.85</v>
      </c>
    </row>
    <row r="111" spans="1:3" x14ac:dyDescent="0.25">
      <c r="A111">
        <v>3654</v>
      </c>
      <c r="B111" s="1">
        <f>logtemperature__4[[#This Row],[time]]/60-43</f>
        <v>17.899999999999999</v>
      </c>
      <c r="C111">
        <v>57.42</v>
      </c>
    </row>
    <row r="112" spans="1:3" x14ac:dyDescent="0.25">
      <c r="A112">
        <v>3664</v>
      </c>
      <c r="B112" s="1">
        <f>logtemperature__4[[#This Row],[time]]/60-43</f>
        <v>18.06666666666667</v>
      </c>
      <c r="C112">
        <v>56.34</v>
      </c>
    </row>
    <row r="113" spans="1:3" x14ac:dyDescent="0.25">
      <c r="A113">
        <v>3674</v>
      </c>
      <c r="B113" s="1">
        <f>logtemperature__4[[#This Row],[time]]/60-43</f>
        <v>18.233333333333334</v>
      </c>
      <c r="C113">
        <v>56.17</v>
      </c>
    </row>
    <row r="114" spans="1:3" x14ac:dyDescent="0.25">
      <c r="A114">
        <v>3684</v>
      </c>
      <c r="B114" s="1">
        <f>logtemperature__4[[#This Row],[time]]/60-43</f>
        <v>18.399999999999999</v>
      </c>
      <c r="C114">
        <v>57.96</v>
      </c>
    </row>
    <row r="115" spans="1:3" x14ac:dyDescent="0.25">
      <c r="A115">
        <v>3694</v>
      </c>
      <c r="B115" s="1">
        <f>logtemperature__4[[#This Row],[time]]/60-43</f>
        <v>18.56666666666667</v>
      </c>
      <c r="C115">
        <v>57.58</v>
      </c>
    </row>
    <row r="116" spans="1:3" x14ac:dyDescent="0.25">
      <c r="A116">
        <v>3704</v>
      </c>
      <c r="B116" s="1">
        <f>logtemperature__4[[#This Row],[time]]/60-43</f>
        <v>18.733333333333334</v>
      </c>
      <c r="C116">
        <v>58.01</v>
      </c>
    </row>
    <row r="117" spans="1:3" x14ac:dyDescent="0.25">
      <c r="A117">
        <v>3714</v>
      </c>
      <c r="B117" s="1">
        <f>logtemperature__4[[#This Row],[time]]/60-43</f>
        <v>18.899999999999999</v>
      </c>
      <c r="C117">
        <v>57.06</v>
      </c>
    </row>
    <row r="118" spans="1:3" x14ac:dyDescent="0.25">
      <c r="A118">
        <v>3724</v>
      </c>
      <c r="B118" s="1">
        <f>logtemperature__4[[#This Row],[time]]/60-43</f>
        <v>19.06666666666667</v>
      </c>
      <c r="C118">
        <v>58.1</v>
      </c>
    </row>
    <row r="119" spans="1:3" x14ac:dyDescent="0.25">
      <c r="A119">
        <v>3734</v>
      </c>
      <c r="B119" s="1">
        <f>logtemperature__4[[#This Row],[time]]/60-43</f>
        <v>19.233333333333334</v>
      </c>
      <c r="C119">
        <v>57.58</v>
      </c>
    </row>
    <row r="120" spans="1:3" x14ac:dyDescent="0.25">
      <c r="A120">
        <v>3744</v>
      </c>
      <c r="B120" s="1">
        <f>logtemperature__4[[#This Row],[time]]/60-43</f>
        <v>19.399999999999999</v>
      </c>
      <c r="C120">
        <v>57.54</v>
      </c>
    </row>
    <row r="121" spans="1:3" x14ac:dyDescent="0.25">
      <c r="A121">
        <v>3754</v>
      </c>
      <c r="B121" s="1">
        <f>logtemperature__4[[#This Row],[time]]/60-43</f>
        <v>19.56666666666667</v>
      </c>
      <c r="C121">
        <v>57.98</v>
      </c>
    </row>
    <row r="122" spans="1:3" x14ac:dyDescent="0.25">
      <c r="A122">
        <v>3764</v>
      </c>
      <c r="B122" s="1">
        <f>logtemperature__4[[#This Row],[time]]/60-43</f>
        <v>19.733333333333334</v>
      </c>
      <c r="C122">
        <v>57.73</v>
      </c>
    </row>
    <row r="123" spans="1:3" x14ac:dyDescent="0.25">
      <c r="A123">
        <v>3774</v>
      </c>
      <c r="B123" s="1">
        <f>logtemperature__4[[#This Row],[time]]/60-43</f>
        <v>19.899999999999999</v>
      </c>
      <c r="C123">
        <v>57.15</v>
      </c>
    </row>
    <row r="124" spans="1:3" x14ac:dyDescent="0.25">
      <c r="A124">
        <v>3784</v>
      </c>
      <c r="B124" s="1">
        <f>logtemperature__4[[#This Row],[time]]/60-43</f>
        <v>20.06666666666667</v>
      </c>
      <c r="C124">
        <v>57.38</v>
      </c>
    </row>
    <row r="125" spans="1:3" x14ac:dyDescent="0.25">
      <c r="A125">
        <v>3794</v>
      </c>
      <c r="B125" s="1">
        <f>logtemperature__4[[#This Row],[time]]/60-43</f>
        <v>20.233333333333334</v>
      </c>
      <c r="C125">
        <v>57.96</v>
      </c>
    </row>
    <row r="126" spans="1:3" x14ac:dyDescent="0.25">
      <c r="A126">
        <v>3804</v>
      </c>
      <c r="B126" s="1">
        <f>logtemperature__4[[#This Row],[time]]/60-43</f>
        <v>20.399999999999999</v>
      </c>
      <c r="C126">
        <v>58.51</v>
      </c>
    </row>
    <row r="127" spans="1:3" x14ac:dyDescent="0.25">
      <c r="A127">
        <v>3814</v>
      </c>
      <c r="B127" s="1">
        <f>logtemperature__4[[#This Row],[time]]/60-43</f>
        <v>20.56666666666667</v>
      </c>
      <c r="C127">
        <v>58.67</v>
      </c>
    </row>
    <row r="128" spans="1:3" x14ac:dyDescent="0.25">
      <c r="A128">
        <v>3824</v>
      </c>
      <c r="B128" s="1">
        <f>logtemperature__4[[#This Row],[time]]/60-43</f>
        <v>20.733333333333334</v>
      </c>
      <c r="C128">
        <v>57.92</v>
      </c>
    </row>
    <row r="129" spans="1:3" x14ac:dyDescent="0.25">
      <c r="A129">
        <v>3834</v>
      </c>
      <c r="B129" s="1">
        <f>logtemperature__4[[#This Row],[time]]/60-43</f>
        <v>20.9</v>
      </c>
      <c r="C129">
        <v>58.06</v>
      </c>
    </row>
    <row r="130" spans="1:3" x14ac:dyDescent="0.25">
      <c r="A130">
        <v>3844</v>
      </c>
      <c r="B130" s="1">
        <f>logtemperature__4[[#This Row],[time]]/60-43</f>
        <v>21.066666666666663</v>
      </c>
      <c r="C130">
        <v>59.34</v>
      </c>
    </row>
    <row r="131" spans="1:3" x14ac:dyDescent="0.25">
      <c r="A131">
        <v>3854</v>
      </c>
      <c r="B131" s="1">
        <f>logtemperature__4[[#This Row],[time]]/60-43</f>
        <v>21.233333333333334</v>
      </c>
      <c r="C131">
        <v>58.74</v>
      </c>
    </row>
    <row r="132" spans="1:3" x14ac:dyDescent="0.25">
      <c r="A132">
        <v>3864</v>
      </c>
      <c r="B132" s="1">
        <f>logtemperature__4[[#This Row],[time]]/60-43</f>
        <v>21.400000000000006</v>
      </c>
      <c r="C132">
        <v>59.68</v>
      </c>
    </row>
    <row r="133" spans="1:3" x14ac:dyDescent="0.25">
      <c r="A133">
        <v>3874</v>
      </c>
      <c r="B133" s="1">
        <f>logtemperature__4[[#This Row],[time]]/60-43</f>
        <v>21.566666666666663</v>
      </c>
      <c r="C133">
        <v>59.05</v>
      </c>
    </row>
    <row r="134" spans="1:3" x14ac:dyDescent="0.25">
      <c r="A134">
        <v>3884</v>
      </c>
      <c r="B134" s="1">
        <f>logtemperature__4[[#This Row],[time]]/60-43</f>
        <v>21.733333333333334</v>
      </c>
      <c r="C134">
        <v>58.79</v>
      </c>
    </row>
    <row r="135" spans="1:3" x14ac:dyDescent="0.25">
      <c r="A135">
        <v>3894</v>
      </c>
      <c r="B135" s="1">
        <f>logtemperature__4[[#This Row],[time]]/60-43</f>
        <v>21.900000000000006</v>
      </c>
      <c r="C135">
        <v>59.73</v>
      </c>
    </row>
    <row r="136" spans="1:3" x14ac:dyDescent="0.25">
      <c r="A136">
        <v>3904</v>
      </c>
      <c r="B136" s="1">
        <f>logtemperature__4[[#This Row],[time]]/60-43</f>
        <v>22.066666666666663</v>
      </c>
      <c r="C136">
        <v>59.77</v>
      </c>
    </row>
    <row r="137" spans="1:3" x14ac:dyDescent="0.25">
      <c r="A137">
        <v>3914</v>
      </c>
      <c r="B137" s="1">
        <f>logtemperature__4[[#This Row],[time]]/60-43</f>
        <v>22.233333333333334</v>
      </c>
      <c r="C137">
        <v>60.32</v>
      </c>
    </row>
    <row r="138" spans="1:3" x14ac:dyDescent="0.25">
      <c r="A138">
        <v>3925</v>
      </c>
      <c r="B138" s="1">
        <f>logtemperature__4[[#This Row],[time]]/60-43</f>
        <v>22.416666666666671</v>
      </c>
      <c r="C138">
        <v>60.01</v>
      </c>
    </row>
    <row r="139" spans="1:3" x14ac:dyDescent="0.25">
      <c r="A139">
        <v>3935</v>
      </c>
      <c r="B139" s="1">
        <f>logtemperature__4[[#This Row],[time]]/60-43</f>
        <v>22.583333333333329</v>
      </c>
      <c r="C139">
        <v>60.51</v>
      </c>
    </row>
    <row r="140" spans="1:3" x14ac:dyDescent="0.25">
      <c r="A140">
        <v>3945</v>
      </c>
      <c r="B140" s="1">
        <f>logtemperature__4[[#This Row],[time]]/60-43</f>
        <v>22.75</v>
      </c>
      <c r="C140">
        <v>60.21</v>
      </c>
    </row>
    <row r="141" spans="1:3" x14ac:dyDescent="0.25">
      <c r="A141">
        <v>3955</v>
      </c>
      <c r="B141" s="1">
        <f>logtemperature__4[[#This Row],[time]]/60-43</f>
        <v>22.916666666666671</v>
      </c>
      <c r="C141">
        <v>60.25</v>
      </c>
    </row>
    <row r="142" spans="1:3" x14ac:dyDescent="0.25">
      <c r="A142">
        <v>3965</v>
      </c>
      <c r="B142" s="1">
        <f>logtemperature__4[[#This Row],[time]]/60-43</f>
        <v>23.083333333333329</v>
      </c>
      <c r="C142">
        <v>61.34</v>
      </c>
    </row>
    <row r="143" spans="1:3" x14ac:dyDescent="0.25">
      <c r="A143">
        <v>3975</v>
      </c>
      <c r="B143" s="1">
        <f>logtemperature__4[[#This Row],[time]]/60-43</f>
        <v>23.25</v>
      </c>
      <c r="C143">
        <v>61.4</v>
      </c>
    </row>
    <row r="144" spans="1:3" x14ac:dyDescent="0.25">
      <c r="A144">
        <v>3985</v>
      </c>
      <c r="B144" s="1">
        <f>logtemperature__4[[#This Row],[time]]/60-43</f>
        <v>23.416666666666671</v>
      </c>
      <c r="C144">
        <v>61.73</v>
      </c>
    </row>
    <row r="145" spans="1:3" x14ac:dyDescent="0.25">
      <c r="A145">
        <v>3995</v>
      </c>
      <c r="B145" s="1">
        <f>logtemperature__4[[#This Row],[time]]/60-43</f>
        <v>23.583333333333329</v>
      </c>
      <c r="C145">
        <v>60.84</v>
      </c>
    </row>
    <row r="146" spans="1:3" x14ac:dyDescent="0.25">
      <c r="A146">
        <v>4005</v>
      </c>
      <c r="B146" s="1">
        <f>logtemperature__4[[#This Row],[time]]/60-43</f>
        <v>23.75</v>
      </c>
      <c r="C146">
        <v>60.29</v>
      </c>
    </row>
    <row r="147" spans="1:3" x14ac:dyDescent="0.25">
      <c r="A147">
        <v>4015</v>
      </c>
      <c r="B147" s="1">
        <f>logtemperature__4[[#This Row],[time]]/60-43</f>
        <v>23.916666666666671</v>
      </c>
      <c r="C147">
        <v>60.08</v>
      </c>
    </row>
    <row r="148" spans="1:3" x14ac:dyDescent="0.25">
      <c r="A148">
        <v>4025</v>
      </c>
      <c r="B148" s="1">
        <f>logtemperature__4[[#This Row],[time]]/60-43</f>
        <v>24.083333333333329</v>
      </c>
      <c r="C148">
        <v>58.98</v>
      </c>
    </row>
    <row r="149" spans="1:3" x14ac:dyDescent="0.25">
      <c r="A149">
        <v>4035</v>
      </c>
      <c r="B149" s="1">
        <f>logtemperature__4[[#This Row],[time]]/60-43</f>
        <v>24.25</v>
      </c>
      <c r="C149">
        <v>58.26</v>
      </c>
    </row>
    <row r="150" spans="1:3" x14ac:dyDescent="0.25">
      <c r="A150">
        <v>4045</v>
      </c>
      <c r="B150" s="1">
        <f>logtemperature__4[[#This Row],[time]]/60-43</f>
        <v>24.416666666666671</v>
      </c>
      <c r="C150">
        <v>58.07</v>
      </c>
    </row>
    <row r="151" spans="1:3" x14ac:dyDescent="0.25">
      <c r="A151">
        <v>4055</v>
      </c>
      <c r="B151" s="1">
        <f>logtemperature__4[[#This Row],[time]]/60-43</f>
        <v>24.583333333333329</v>
      </c>
      <c r="C151">
        <v>58.56</v>
      </c>
    </row>
    <row r="152" spans="1:3" x14ac:dyDescent="0.25">
      <c r="A152">
        <v>4065</v>
      </c>
      <c r="B152" s="1">
        <f>logtemperature__4[[#This Row],[time]]/60-43</f>
        <v>24.75</v>
      </c>
      <c r="C152">
        <v>58.95</v>
      </c>
    </row>
    <row r="153" spans="1:3" x14ac:dyDescent="0.25">
      <c r="A153">
        <v>4075</v>
      </c>
      <c r="B153" s="1">
        <f>logtemperature__4[[#This Row],[time]]/60-43</f>
        <v>24.916666666666671</v>
      </c>
      <c r="C153">
        <v>58.35</v>
      </c>
    </row>
    <row r="154" spans="1:3" x14ac:dyDescent="0.25">
      <c r="A154">
        <v>4085</v>
      </c>
      <c r="B154" s="1">
        <f>logtemperature__4[[#This Row],[time]]/60-43</f>
        <v>25.083333333333329</v>
      </c>
      <c r="C154">
        <v>58.85</v>
      </c>
    </row>
    <row r="155" spans="1:3" x14ac:dyDescent="0.25">
      <c r="A155">
        <v>4095</v>
      </c>
      <c r="B155" s="1">
        <f>logtemperature__4[[#This Row],[time]]/60-43</f>
        <v>25.25</v>
      </c>
      <c r="C155">
        <v>60.8</v>
      </c>
    </row>
    <row r="156" spans="1:3" x14ac:dyDescent="0.25">
      <c r="A156">
        <v>4105</v>
      </c>
      <c r="B156" s="1">
        <f>logtemperature__4[[#This Row],[time]]/60-43</f>
        <v>25.416666666666671</v>
      </c>
      <c r="C156">
        <v>60.58</v>
      </c>
    </row>
    <row r="157" spans="1:3" x14ac:dyDescent="0.25">
      <c r="A157">
        <v>4115</v>
      </c>
      <c r="B157" s="1">
        <f>logtemperature__4[[#This Row],[time]]/60-43</f>
        <v>25.583333333333329</v>
      </c>
      <c r="C157">
        <v>60.22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3605E-5A70-401D-A34B-EBFDCFF52E54}">
  <dimension ref="A1:C43"/>
  <sheetViews>
    <sheetView tabSelected="1" workbookViewId="0">
      <selection activeCell="Z8" sqref="Z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39894</v>
      </c>
      <c r="B2" s="1">
        <f>logtemperature__5[[#This Row],[seconds]]/60-665</f>
        <v>-0.10000000000002274</v>
      </c>
      <c r="C2">
        <v>25.65</v>
      </c>
    </row>
    <row r="3" spans="1:3" x14ac:dyDescent="0.25">
      <c r="A3">
        <v>39904</v>
      </c>
      <c r="B3" s="1">
        <f>logtemperature__5[[#This Row],[seconds]]/60-665</f>
        <v>6.6666666666719721E-2</v>
      </c>
      <c r="C3">
        <v>25.96</v>
      </c>
    </row>
    <row r="4" spans="1:3" x14ac:dyDescent="0.25">
      <c r="A4">
        <v>39914</v>
      </c>
      <c r="B4" s="1">
        <f>logtemperature__5[[#This Row],[seconds]]/60-665</f>
        <v>0.23333333333334849</v>
      </c>
      <c r="C4">
        <v>26.02</v>
      </c>
    </row>
    <row r="5" spans="1:3" x14ac:dyDescent="0.25">
      <c r="A5">
        <v>39924</v>
      </c>
      <c r="B5" s="1">
        <f>logtemperature__5[[#This Row],[seconds]]/60-665</f>
        <v>0.39999999999997726</v>
      </c>
      <c r="C5">
        <v>26.95</v>
      </c>
    </row>
    <row r="6" spans="1:3" x14ac:dyDescent="0.25">
      <c r="A6">
        <v>39934</v>
      </c>
      <c r="B6" s="1">
        <f>logtemperature__5[[#This Row],[seconds]]/60-665</f>
        <v>0.56666666666671972</v>
      </c>
      <c r="C6">
        <v>28.55</v>
      </c>
    </row>
    <row r="7" spans="1:3" x14ac:dyDescent="0.25">
      <c r="A7">
        <v>39944</v>
      </c>
      <c r="B7" s="1">
        <f>logtemperature__5[[#This Row],[seconds]]/60-665</f>
        <v>0.73333333333334849</v>
      </c>
      <c r="C7">
        <v>30.28</v>
      </c>
    </row>
    <row r="8" spans="1:3" x14ac:dyDescent="0.25">
      <c r="A8">
        <v>39954</v>
      </c>
      <c r="B8" s="1">
        <f>logtemperature__5[[#This Row],[seconds]]/60-665</f>
        <v>0.89999999999997726</v>
      </c>
      <c r="C8">
        <v>32.68</v>
      </c>
    </row>
    <row r="9" spans="1:3" x14ac:dyDescent="0.25">
      <c r="A9">
        <v>39964</v>
      </c>
      <c r="B9" s="1">
        <f>logtemperature__5[[#This Row],[seconds]]/60-665</f>
        <v>1.0666666666667197</v>
      </c>
      <c r="C9">
        <v>35.18</v>
      </c>
    </row>
    <row r="10" spans="1:3" x14ac:dyDescent="0.25">
      <c r="A10">
        <v>39974</v>
      </c>
      <c r="B10" s="1">
        <f>logtemperature__5[[#This Row],[seconds]]/60-665</f>
        <v>1.2333333333333485</v>
      </c>
      <c r="C10">
        <v>36.43</v>
      </c>
    </row>
    <row r="11" spans="1:3" x14ac:dyDescent="0.25">
      <c r="A11">
        <v>39984</v>
      </c>
      <c r="B11" s="1">
        <f>logtemperature__5[[#This Row],[seconds]]/60-665</f>
        <v>1.3999999999999773</v>
      </c>
      <c r="C11">
        <v>37.43</v>
      </c>
    </row>
    <row r="12" spans="1:3" x14ac:dyDescent="0.25">
      <c r="A12">
        <v>39994</v>
      </c>
      <c r="B12" s="1">
        <f>logtemperature__5[[#This Row],[seconds]]/60-665</f>
        <v>1.5666666666667197</v>
      </c>
      <c r="C12">
        <v>39.14</v>
      </c>
    </row>
    <row r="13" spans="1:3" x14ac:dyDescent="0.25">
      <c r="A13">
        <v>40004</v>
      </c>
      <c r="B13" s="1">
        <f>logtemperature__5[[#This Row],[seconds]]/60-665</f>
        <v>1.7333333333333485</v>
      </c>
      <c r="C13">
        <v>40.450000000000003</v>
      </c>
    </row>
    <row r="14" spans="1:3" x14ac:dyDescent="0.25">
      <c r="A14">
        <v>40014</v>
      </c>
      <c r="B14" s="1">
        <f>logtemperature__5[[#This Row],[seconds]]/60-665</f>
        <v>1.8999999999999773</v>
      </c>
      <c r="C14">
        <v>41.52</v>
      </c>
    </row>
    <row r="15" spans="1:3" x14ac:dyDescent="0.25">
      <c r="A15">
        <v>40025</v>
      </c>
      <c r="B15" s="1">
        <f>logtemperature__5[[#This Row],[seconds]]/60-665</f>
        <v>2.0833333333333712</v>
      </c>
      <c r="C15">
        <v>42.18</v>
      </c>
    </row>
    <row r="16" spans="1:3" x14ac:dyDescent="0.25">
      <c r="A16">
        <v>40035</v>
      </c>
      <c r="B16" s="1">
        <f>logtemperature__5[[#This Row],[seconds]]/60-665</f>
        <v>2.25</v>
      </c>
      <c r="C16">
        <v>42.62</v>
      </c>
    </row>
    <row r="17" spans="1:3" x14ac:dyDescent="0.25">
      <c r="A17">
        <v>40045</v>
      </c>
      <c r="B17" s="1">
        <f>logtemperature__5[[#This Row],[seconds]]/60-665</f>
        <v>2.4166666666666288</v>
      </c>
      <c r="C17">
        <v>43.77</v>
      </c>
    </row>
    <row r="18" spans="1:3" x14ac:dyDescent="0.25">
      <c r="A18">
        <v>40055</v>
      </c>
      <c r="B18" s="1">
        <f>logtemperature__5[[#This Row],[seconds]]/60-665</f>
        <v>2.5833333333333712</v>
      </c>
      <c r="C18">
        <v>44.7</v>
      </c>
    </row>
    <row r="19" spans="1:3" x14ac:dyDescent="0.25">
      <c r="A19">
        <v>40065</v>
      </c>
      <c r="B19" s="1">
        <f>logtemperature__5[[#This Row],[seconds]]/60-665</f>
        <v>2.75</v>
      </c>
      <c r="C19">
        <v>45.53</v>
      </c>
    </row>
    <row r="20" spans="1:3" x14ac:dyDescent="0.25">
      <c r="A20">
        <v>40075</v>
      </c>
      <c r="B20" s="1">
        <f>logtemperature__5[[#This Row],[seconds]]/60-665</f>
        <v>2.9166666666666288</v>
      </c>
      <c r="C20">
        <v>46.32</v>
      </c>
    </row>
    <row r="21" spans="1:3" x14ac:dyDescent="0.25">
      <c r="A21">
        <v>40085</v>
      </c>
      <c r="B21" s="1">
        <f>logtemperature__5[[#This Row],[seconds]]/60-665</f>
        <v>3.0833333333333712</v>
      </c>
      <c r="C21">
        <v>46.86</v>
      </c>
    </row>
    <row r="22" spans="1:3" x14ac:dyDescent="0.25">
      <c r="A22">
        <v>40095</v>
      </c>
      <c r="B22" s="1">
        <f>logtemperature__5[[#This Row],[seconds]]/60-665</f>
        <v>3.25</v>
      </c>
      <c r="C22">
        <v>47.28</v>
      </c>
    </row>
    <row r="23" spans="1:3" x14ac:dyDescent="0.25">
      <c r="A23">
        <v>40105</v>
      </c>
      <c r="B23" s="1">
        <f>logtemperature__5[[#This Row],[seconds]]/60-665</f>
        <v>3.4166666666666288</v>
      </c>
      <c r="C23">
        <v>48.14</v>
      </c>
    </row>
    <row r="24" spans="1:3" x14ac:dyDescent="0.25">
      <c r="A24">
        <v>40115</v>
      </c>
      <c r="B24" s="1">
        <f>logtemperature__5[[#This Row],[seconds]]/60-665</f>
        <v>3.5833333333333712</v>
      </c>
      <c r="C24">
        <v>48.53</v>
      </c>
    </row>
    <row r="25" spans="1:3" x14ac:dyDescent="0.25">
      <c r="A25">
        <v>40125</v>
      </c>
      <c r="B25" s="1">
        <f>logtemperature__5[[#This Row],[seconds]]/60-665</f>
        <v>3.75</v>
      </c>
      <c r="C25">
        <v>48.96</v>
      </c>
    </row>
    <row r="26" spans="1:3" x14ac:dyDescent="0.25">
      <c r="A26">
        <v>40135</v>
      </c>
      <c r="B26" s="1">
        <f>logtemperature__5[[#This Row],[seconds]]/60-665</f>
        <v>3.9166666666666288</v>
      </c>
      <c r="C26">
        <v>48.84</v>
      </c>
    </row>
    <row r="27" spans="1:3" x14ac:dyDescent="0.25">
      <c r="A27">
        <v>40145</v>
      </c>
      <c r="B27" s="1">
        <f>logtemperature__5[[#This Row],[seconds]]/60-665</f>
        <v>4.0833333333333712</v>
      </c>
      <c r="C27">
        <v>50.44</v>
      </c>
    </row>
    <row r="28" spans="1:3" x14ac:dyDescent="0.25">
      <c r="A28">
        <v>40155</v>
      </c>
      <c r="B28" s="1">
        <f>logtemperature__5[[#This Row],[seconds]]/60-665</f>
        <v>4.25</v>
      </c>
      <c r="C28">
        <v>50.52</v>
      </c>
    </row>
    <row r="29" spans="1:3" x14ac:dyDescent="0.25">
      <c r="A29">
        <v>40165</v>
      </c>
      <c r="B29" s="1">
        <f>logtemperature__5[[#This Row],[seconds]]/60-665</f>
        <v>4.4166666666666288</v>
      </c>
      <c r="C29">
        <v>51.05</v>
      </c>
    </row>
    <row r="30" spans="1:3" x14ac:dyDescent="0.25">
      <c r="A30">
        <v>40175</v>
      </c>
      <c r="B30" s="1">
        <f>logtemperature__5[[#This Row],[seconds]]/60-665</f>
        <v>4.5833333333333712</v>
      </c>
      <c r="C30">
        <v>51.27</v>
      </c>
    </row>
    <row r="31" spans="1:3" x14ac:dyDescent="0.25">
      <c r="A31">
        <v>40185</v>
      </c>
      <c r="B31" s="1">
        <f>logtemperature__5[[#This Row],[seconds]]/60-665</f>
        <v>4.75</v>
      </c>
      <c r="C31">
        <v>52.24</v>
      </c>
    </row>
    <row r="32" spans="1:3" x14ac:dyDescent="0.25">
      <c r="A32">
        <v>40195</v>
      </c>
      <c r="B32" s="1">
        <f>logtemperature__5[[#This Row],[seconds]]/60-665</f>
        <v>4.9166666666666288</v>
      </c>
      <c r="C32">
        <v>51.94</v>
      </c>
    </row>
    <row r="33" spans="1:3" x14ac:dyDescent="0.25">
      <c r="A33">
        <v>40205</v>
      </c>
      <c r="B33" s="1">
        <f>logtemperature__5[[#This Row],[seconds]]/60-665</f>
        <v>5.0833333333333712</v>
      </c>
      <c r="C33">
        <v>52.64</v>
      </c>
    </row>
    <row r="34" spans="1:3" x14ac:dyDescent="0.25">
      <c r="A34">
        <v>40215</v>
      </c>
      <c r="B34" s="1">
        <f>logtemperature__5[[#This Row],[seconds]]/60-665</f>
        <v>5.25</v>
      </c>
      <c r="C34">
        <v>52.85</v>
      </c>
    </row>
    <row r="35" spans="1:3" x14ac:dyDescent="0.25">
      <c r="A35">
        <v>40225</v>
      </c>
      <c r="B35" s="1">
        <f>logtemperature__5[[#This Row],[seconds]]/60-665</f>
        <v>5.4166666666666288</v>
      </c>
      <c r="C35">
        <v>53.51</v>
      </c>
    </row>
    <row r="36" spans="1:3" x14ac:dyDescent="0.25">
      <c r="A36">
        <v>40235</v>
      </c>
      <c r="B36" s="1">
        <f>logtemperature__5[[#This Row],[seconds]]/60-665</f>
        <v>5.5833333333333712</v>
      </c>
      <c r="C36">
        <v>53.9</v>
      </c>
    </row>
    <row r="37" spans="1:3" x14ac:dyDescent="0.25">
      <c r="A37">
        <v>40245</v>
      </c>
      <c r="B37" s="1">
        <f>logtemperature__5[[#This Row],[seconds]]/60-665</f>
        <v>5.75</v>
      </c>
      <c r="C37">
        <v>54.62</v>
      </c>
    </row>
    <row r="38" spans="1:3" x14ac:dyDescent="0.25">
      <c r="A38">
        <v>40255</v>
      </c>
      <c r="B38" s="1">
        <f>logtemperature__5[[#This Row],[seconds]]/60-665</f>
        <v>5.9166666666666288</v>
      </c>
      <c r="C38">
        <v>56</v>
      </c>
    </row>
    <row r="39" spans="1:3" x14ac:dyDescent="0.25">
      <c r="A39">
        <v>40265</v>
      </c>
      <c r="B39" s="1">
        <f>logtemperature__5[[#This Row],[seconds]]/60-665</f>
        <v>6.0833333333333712</v>
      </c>
      <c r="C39">
        <v>55.37</v>
      </c>
    </row>
    <row r="40" spans="1:3" x14ac:dyDescent="0.25">
      <c r="A40">
        <v>40275</v>
      </c>
      <c r="B40" s="1">
        <f>logtemperature__5[[#This Row],[seconds]]/60-665</f>
        <v>6.25</v>
      </c>
      <c r="C40">
        <v>55.43</v>
      </c>
    </row>
    <row r="41" spans="1:3" x14ac:dyDescent="0.25">
      <c r="A41">
        <v>40285</v>
      </c>
      <c r="B41" s="1">
        <f>logtemperature__5[[#This Row],[seconds]]/60-665</f>
        <v>6.4166666666666288</v>
      </c>
      <c r="C41">
        <v>55.94</v>
      </c>
    </row>
    <row r="42" spans="1:3" x14ac:dyDescent="0.25">
      <c r="A42">
        <v>40295</v>
      </c>
      <c r="B42" s="1">
        <f>logtemperature__5[[#This Row],[seconds]]/60-665</f>
        <v>6.5833333333333712</v>
      </c>
      <c r="C42">
        <v>56.7</v>
      </c>
    </row>
    <row r="43" spans="1:3" x14ac:dyDescent="0.25">
      <c r="A43">
        <v>40305</v>
      </c>
      <c r="B43" s="1">
        <f>logtemperature__5[[#This Row],[seconds]]/60-665</f>
        <v>6.75</v>
      </c>
      <c r="C43">
        <v>58.26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2EA3B-39F3-44C6-ACE7-C16B44C7C26E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AD2329-ADE9-4E3D-B825-48C530D60D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0524</vt:lpstr>
      <vt:lpstr>0525</vt:lpstr>
      <vt:lpstr>---</vt:lpstr>
      <vt:lpstr>0606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Berntsen</dc:creator>
  <cp:lastModifiedBy>Roy Berntsen</cp:lastModifiedBy>
  <dcterms:created xsi:type="dcterms:W3CDTF">2026-05-24T18:18:30Z</dcterms:created>
  <dcterms:modified xsi:type="dcterms:W3CDTF">2026-06-06T20:08:45Z</dcterms:modified>
</cp:coreProperties>
</file>