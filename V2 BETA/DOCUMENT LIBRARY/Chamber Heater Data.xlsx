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381" documentId="8_{2D60A7A9-E59B-411A-B8FB-4CFDAA058ADE}" xr6:coauthVersionLast="47" xr6:coauthVersionMax="47" xr10:uidLastSave="{F7D4201E-83D3-49AC-B768-22EB4938EA35}"/>
  <bookViews>
    <workbookView minimized="1" xWindow="36000" yWindow="75" windowWidth="21600" windowHeight="11295" firstSheet="1" activeTab="10" xr2:uid="{F1B2DFB2-7066-456A-9422-DB88FD1CE09F}"/>
  </bookViews>
  <sheets>
    <sheet name="0524" sheetId="2" r:id="rId1"/>
    <sheet name="0525" sheetId="3" r:id="rId2"/>
    <sheet name="0530" sheetId="7" r:id="rId3"/>
    <sheet name="0606" sheetId="8" r:id="rId4"/>
    <sheet name="0607" sheetId="9" r:id="rId5"/>
    <sheet name="0607-a" sheetId="10" r:id="rId6"/>
    <sheet name="0608-a" sheetId="12" r:id="rId7"/>
    <sheet name="0609-a" sheetId="13" r:id="rId8"/>
    <sheet name="0610-a" sheetId="14" r:id="rId9"/>
    <sheet name="0611-a" sheetId="15" r:id="rId10"/>
    <sheet name="0613" sheetId="16" r:id="rId11"/>
  </sheets>
  <definedNames>
    <definedName name="ExternalData_1" localSheetId="0" hidden="1">'0524'!$A$1:$C$166</definedName>
    <definedName name="ExternalData_1" localSheetId="1" hidden="1">'0525'!$A$1:$C$264</definedName>
    <definedName name="ExternalData_1" localSheetId="2" hidden="1">'0530'!$A$1:$C$157</definedName>
    <definedName name="ExternalData_1" localSheetId="3" hidden="1">'0606'!$A$1:$C$43</definedName>
    <definedName name="ExternalData_1" localSheetId="4" hidden="1">'0607'!$A$1:$C$92</definedName>
    <definedName name="ExternalData_1" localSheetId="5" hidden="1">'0607-a'!$A$1:$C$140</definedName>
    <definedName name="ExternalData_1" localSheetId="6" hidden="1">'0608-a'!$A$1:$C$200</definedName>
    <definedName name="ExternalData_1" localSheetId="7" hidden="1">'0609-a'!$A$1:$D$114</definedName>
    <definedName name="ExternalData_1" localSheetId="8" hidden="1">'0610-a'!$A$1:$D$101</definedName>
    <definedName name="ExternalData_1" localSheetId="9" hidden="1">'0611-a'!$A$1:$C$100</definedName>
    <definedName name="ExternalData_1" localSheetId="10" hidden="1">'0613'!$A$1:$C$666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4" l="1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05" i="12"/>
  <c r="B75" i="12"/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8B1B8DA6-B0FE-4F8A-BD26-AF90DF54F58B}" keepAlive="1" name="Query - logtemperature (10)" description="Connection to the 'logtemperature (10)' query in the workbook." type="5" refreshedVersion="8" background="1" saveData="1">
    <dbPr connection="Provider=Microsoft.Mashup.OleDb.1;Data Source=$Workbook$;Location=&quot;logtemperature (10)&quot;;Extended Properties=&quot;&quot;" command="SELECT * FROM [logtemperature (10)]"/>
  </connection>
  <connection id="3" xr16:uid="{DDAC55D4-003C-428A-8397-B67997AC0090}" keepAlive="1" name="Query - logtemperature (11)" description="Connection to the 'logtemperature (11)' query in the workbook." type="5" refreshedVersion="8" background="1" saveData="1">
    <dbPr connection="Provider=Microsoft.Mashup.OleDb.1;Data Source=$Workbook$;Location=&quot;logtemperature (11)&quot;;Extended Properties=&quot;&quot;" command="SELECT * FROM [logtemperature (11)]"/>
  </connection>
  <connection id="4" xr16:uid="{83CCEE76-77F3-47CC-A1FB-CEBC5088741B}" keepAlive="1" name="Query - logtemperature (12)" description="Connection to the 'logtemperature (12)' query in the workbook." type="5" refreshedVersion="8" background="1" saveData="1">
    <dbPr connection="Provider=Microsoft.Mashup.OleDb.1;Data Source=$Workbook$;Location=&quot;logtemperature (12)&quot;;Extended Properties=&quot;&quot;" command="SELECT * FROM [logtemperature (12)]"/>
  </connection>
  <connection id="5" xr16:uid="{E3329B56-DDE8-48F7-9171-982CA883E0C5}" keepAlive="1" name="Query - logtemperature (13)" description="Connection to the 'logtemperature (13)' query in the workbook." type="5" refreshedVersion="0" background="1" saveData="1">
    <dbPr connection="Provider=Microsoft.Mashup.OleDb.1;Data Source=$Workbook$;Location=&quot;logtemperature (13)&quot;;Extended Properties=&quot;&quot;" command="SELECT * FROM [logtemperature (13)]"/>
  </connection>
  <connection id="6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7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8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9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10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  <connection id="11" xr16:uid="{E2386761-43F3-4F45-92A4-108B03318BB4}" keepAlive="1" name="Query - logtemperature (7)" description="Connection to the 'logtemperature (7)' query in the workbook." type="5" refreshedVersion="8" background="1" saveData="1">
    <dbPr connection="Provider=Microsoft.Mashup.OleDb.1;Data Source=$Workbook$;Location=&quot;logtemperature (7)&quot;;Extended Properties=&quot;&quot;" command="SELECT * FROM [logtemperature (7)]"/>
  </connection>
  <connection id="12" xr16:uid="{32B1E661-C77F-461B-BA2D-E0FA0570628E}" keepAlive="1" name="Query - logtemperature (8)" description="Connection to the 'logtemperature (8)' query in the workbook." type="5" refreshedVersion="8" background="1" saveData="1">
    <dbPr connection="Provider=Microsoft.Mashup.OleDb.1;Data Source=$Workbook$;Location=&quot;logtemperature (8)&quot;;Extended Properties=&quot;&quot;" command="SELECT * FROM [logtemperature (8)]"/>
  </connection>
  <connection id="13" xr16:uid="{1DFA8EA8-6343-4848-BAFF-8849084F69FC}" keepAlive="1" name="Query - logtemperature (9)" description="Connection to the 'logtemperature (9)' query in the workbook." type="5" refreshedVersion="8" background="1" saveData="1">
    <dbPr connection="Provider=Microsoft.Mashup.OleDb.1;Data Source=$Workbook$;Location=&quot;logtemperature (9)&quot;;Extended Properties=&quot;&quot;" command="SELECT * FROM [logtemperature (9)]"/>
  </connection>
</connections>
</file>

<file path=xl/sharedStrings.xml><?xml version="1.0" encoding="utf-8"?>
<sst xmlns="http://schemas.openxmlformats.org/spreadsheetml/2006/main" count="35" uniqueCount="13">
  <si>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</si>
  <si>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</si>
  <si>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</si>
  <si>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</si>
  <si>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</si>
  <si>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</si>
  <si>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</si>
  <si>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</si>
  <si>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</si>
  <si>
    <t>temp/time</t>
  </si>
  <si>
    <t>T</t>
  </si>
  <si>
    <t>PWM</t>
  </si>
  <si>
    <t>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</si>
</sst>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'0530'!$B$2:$B$157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'0530'!$C$2:$C$157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'0607-a'!$C$1</c:f>
              <c:strCache>
                <c:ptCount val="1"/>
                <c:pt idx="0">
                  <c:v>temp/time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'0607-a'!$B:$B</c:f>
              <c:strCache>
                <c:ptCount val="14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</c:strCache>
            </c:strRef>
          </c:cat>
          <c:val>
            <c:numRef>
              <c:f>'0607-a'!$C$2:$C$140</c:f>
              <c:numCache>
                <c:formatCode>0</c:formatCode>
                <c:ptCount val="139"/>
                <c:pt idx="0">
                  <c:v>25.85</c:v>
                </c:pt>
                <c:pt idx="1">
                  <c:v>25.85</c:v>
                </c:pt>
                <c:pt idx="2">
                  <c:v>25.8</c:v>
                </c:pt>
                <c:pt idx="3">
                  <c:v>25.86</c:v>
                </c:pt>
                <c:pt idx="4">
                  <c:v>25.82</c:v>
                </c:pt>
                <c:pt idx="5">
                  <c:v>25.86</c:v>
                </c:pt>
                <c:pt idx="6">
                  <c:v>25.79</c:v>
                </c:pt>
                <c:pt idx="7">
                  <c:v>25.77</c:v>
                </c:pt>
                <c:pt idx="8">
                  <c:v>25.79</c:v>
                </c:pt>
                <c:pt idx="9">
                  <c:v>25.85</c:v>
                </c:pt>
                <c:pt idx="10">
                  <c:v>26.52</c:v>
                </c:pt>
                <c:pt idx="11">
                  <c:v>29.96</c:v>
                </c:pt>
                <c:pt idx="12">
                  <c:v>33.85</c:v>
                </c:pt>
                <c:pt idx="13">
                  <c:v>36.83</c:v>
                </c:pt>
                <c:pt idx="14">
                  <c:v>39.659999999999997</c:v>
                </c:pt>
                <c:pt idx="15">
                  <c:v>41.64</c:v>
                </c:pt>
                <c:pt idx="16">
                  <c:v>43.64</c:v>
                </c:pt>
                <c:pt idx="17">
                  <c:v>45.85</c:v>
                </c:pt>
                <c:pt idx="18">
                  <c:v>47.54</c:v>
                </c:pt>
                <c:pt idx="19">
                  <c:v>48.58</c:v>
                </c:pt>
                <c:pt idx="20">
                  <c:v>50.2</c:v>
                </c:pt>
                <c:pt idx="21">
                  <c:v>50.93</c:v>
                </c:pt>
                <c:pt idx="22">
                  <c:v>51.8</c:v>
                </c:pt>
                <c:pt idx="23">
                  <c:v>52.63</c:v>
                </c:pt>
                <c:pt idx="24">
                  <c:v>53.69</c:v>
                </c:pt>
                <c:pt idx="25">
                  <c:v>54.38</c:v>
                </c:pt>
                <c:pt idx="26">
                  <c:v>55.09</c:v>
                </c:pt>
                <c:pt idx="27">
                  <c:v>56.1</c:v>
                </c:pt>
                <c:pt idx="28">
                  <c:v>56.93</c:v>
                </c:pt>
                <c:pt idx="29">
                  <c:v>58.39</c:v>
                </c:pt>
                <c:pt idx="30">
                  <c:v>58.86</c:v>
                </c:pt>
                <c:pt idx="31">
                  <c:v>59.8</c:v>
                </c:pt>
                <c:pt idx="32">
                  <c:v>60.58</c:v>
                </c:pt>
                <c:pt idx="33">
                  <c:v>61.02</c:v>
                </c:pt>
                <c:pt idx="34">
                  <c:v>61.57</c:v>
                </c:pt>
                <c:pt idx="35">
                  <c:v>62.18</c:v>
                </c:pt>
                <c:pt idx="36">
                  <c:v>62.09</c:v>
                </c:pt>
                <c:pt idx="37">
                  <c:v>63.57</c:v>
                </c:pt>
                <c:pt idx="38">
                  <c:v>64.22</c:v>
                </c:pt>
                <c:pt idx="39">
                  <c:v>64.84</c:v>
                </c:pt>
                <c:pt idx="40">
                  <c:v>65.09</c:v>
                </c:pt>
                <c:pt idx="41">
                  <c:v>65.91</c:v>
                </c:pt>
                <c:pt idx="42">
                  <c:v>66.37</c:v>
                </c:pt>
                <c:pt idx="43">
                  <c:v>66.33</c:v>
                </c:pt>
                <c:pt idx="44">
                  <c:v>66.62</c:v>
                </c:pt>
                <c:pt idx="45">
                  <c:v>67.83</c:v>
                </c:pt>
                <c:pt idx="46">
                  <c:v>68.959999999999994</c:v>
                </c:pt>
                <c:pt idx="47">
                  <c:v>68.930000000000007</c:v>
                </c:pt>
                <c:pt idx="48">
                  <c:v>70.13</c:v>
                </c:pt>
                <c:pt idx="49">
                  <c:v>71.319999999999993</c:v>
                </c:pt>
                <c:pt idx="50">
                  <c:v>71.260000000000005</c:v>
                </c:pt>
                <c:pt idx="51">
                  <c:v>72</c:v>
                </c:pt>
                <c:pt idx="52">
                  <c:v>72.209999999999994</c:v>
                </c:pt>
                <c:pt idx="53">
                  <c:v>73.680000000000007</c:v>
                </c:pt>
                <c:pt idx="54">
                  <c:v>74.099999999999994</c:v>
                </c:pt>
                <c:pt idx="55">
                  <c:v>73.94</c:v>
                </c:pt>
                <c:pt idx="56">
                  <c:v>74.849999999999994</c:v>
                </c:pt>
                <c:pt idx="57">
                  <c:v>74.569999999999993</c:v>
                </c:pt>
                <c:pt idx="58">
                  <c:v>75.14</c:v>
                </c:pt>
                <c:pt idx="59">
                  <c:v>75.25</c:v>
                </c:pt>
                <c:pt idx="60">
                  <c:v>75.66</c:v>
                </c:pt>
                <c:pt idx="61">
                  <c:v>76.67</c:v>
                </c:pt>
                <c:pt idx="62">
                  <c:v>77.150000000000006</c:v>
                </c:pt>
                <c:pt idx="63">
                  <c:v>77.930000000000007</c:v>
                </c:pt>
                <c:pt idx="64">
                  <c:v>79.03</c:v>
                </c:pt>
                <c:pt idx="65">
                  <c:v>78.760000000000005</c:v>
                </c:pt>
                <c:pt idx="66">
                  <c:v>79.040000000000006</c:v>
                </c:pt>
                <c:pt idx="67">
                  <c:v>79.400000000000006</c:v>
                </c:pt>
                <c:pt idx="68">
                  <c:v>79.36</c:v>
                </c:pt>
                <c:pt idx="69">
                  <c:v>80.19</c:v>
                </c:pt>
                <c:pt idx="70">
                  <c:v>81.599999999999994</c:v>
                </c:pt>
                <c:pt idx="71">
                  <c:v>81.73</c:v>
                </c:pt>
                <c:pt idx="72">
                  <c:v>82.41</c:v>
                </c:pt>
                <c:pt idx="73">
                  <c:v>83.32</c:v>
                </c:pt>
                <c:pt idx="74">
                  <c:v>82.54</c:v>
                </c:pt>
                <c:pt idx="75">
                  <c:v>83.27</c:v>
                </c:pt>
                <c:pt idx="76">
                  <c:v>83.75</c:v>
                </c:pt>
                <c:pt idx="77">
                  <c:v>83.78</c:v>
                </c:pt>
                <c:pt idx="78">
                  <c:v>84.59</c:v>
                </c:pt>
                <c:pt idx="79">
                  <c:v>85.11</c:v>
                </c:pt>
                <c:pt idx="80">
                  <c:v>85.19</c:v>
                </c:pt>
                <c:pt idx="81">
                  <c:v>85.55</c:v>
                </c:pt>
                <c:pt idx="82">
                  <c:v>86.12</c:v>
                </c:pt>
                <c:pt idx="83">
                  <c:v>86.64</c:v>
                </c:pt>
                <c:pt idx="84">
                  <c:v>87.24</c:v>
                </c:pt>
                <c:pt idx="85">
                  <c:v>87.05</c:v>
                </c:pt>
                <c:pt idx="86">
                  <c:v>86.99</c:v>
                </c:pt>
                <c:pt idx="87">
                  <c:v>87.09</c:v>
                </c:pt>
                <c:pt idx="88">
                  <c:v>87.38</c:v>
                </c:pt>
                <c:pt idx="89">
                  <c:v>87.63</c:v>
                </c:pt>
                <c:pt idx="90">
                  <c:v>88.16</c:v>
                </c:pt>
                <c:pt idx="91">
                  <c:v>88.23</c:v>
                </c:pt>
                <c:pt idx="92">
                  <c:v>88.92</c:v>
                </c:pt>
                <c:pt idx="93">
                  <c:v>89.61</c:v>
                </c:pt>
                <c:pt idx="94">
                  <c:v>89.52</c:v>
                </c:pt>
                <c:pt idx="95">
                  <c:v>89.37</c:v>
                </c:pt>
                <c:pt idx="96">
                  <c:v>89.61</c:v>
                </c:pt>
                <c:pt idx="97">
                  <c:v>89.78</c:v>
                </c:pt>
                <c:pt idx="98">
                  <c:v>90.51</c:v>
                </c:pt>
                <c:pt idx="99">
                  <c:v>91.32</c:v>
                </c:pt>
                <c:pt idx="100">
                  <c:v>91.69</c:v>
                </c:pt>
                <c:pt idx="101">
                  <c:v>91.88</c:v>
                </c:pt>
                <c:pt idx="102">
                  <c:v>92.54</c:v>
                </c:pt>
                <c:pt idx="103">
                  <c:v>92.95</c:v>
                </c:pt>
                <c:pt idx="104">
                  <c:v>92.99</c:v>
                </c:pt>
                <c:pt idx="105">
                  <c:v>92.28</c:v>
                </c:pt>
                <c:pt idx="106">
                  <c:v>92.47</c:v>
                </c:pt>
                <c:pt idx="107">
                  <c:v>93.02</c:v>
                </c:pt>
                <c:pt idx="108">
                  <c:v>92.99</c:v>
                </c:pt>
                <c:pt idx="109">
                  <c:v>93.85</c:v>
                </c:pt>
                <c:pt idx="110">
                  <c:v>94.32</c:v>
                </c:pt>
                <c:pt idx="111">
                  <c:v>94.52</c:v>
                </c:pt>
                <c:pt idx="112">
                  <c:v>93.87</c:v>
                </c:pt>
                <c:pt idx="113">
                  <c:v>94.25</c:v>
                </c:pt>
                <c:pt idx="114">
                  <c:v>95.02</c:v>
                </c:pt>
                <c:pt idx="115">
                  <c:v>95.13</c:v>
                </c:pt>
                <c:pt idx="116">
                  <c:v>95.56</c:v>
                </c:pt>
                <c:pt idx="117">
                  <c:v>96.15</c:v>
                </c:pt>
                <c:pt idx="118">
                  <c:v>96.6</c:v>
                </c:pt>
                <c:pt idx="119">
                  <c:v>96.63</c:v>
                </c:pt>
                <c:pt idx="120">
                  <c:v>97</c:v>
                </c:pt>
                <c:pt idx="121">
                  <c:v>97.41</c:v>
                </c:pt>
                <c:pt idx="122">
                  <c:v>97.44</c:v>
                </c:pt>
                <c:pt idx="123">
                  <c:v>97.71</c:v>
                </c:pt>
                <c:pt idx="124">
                  <c:v>97.94</c:v>
                </c:pt>
                <c:pt idx="125">
                  <c:v>99.06</c:v>
                </c:pt>
                <c:pt idx="126">
                  <c:v>98.56</c:v>
                </c:pt>
                <c:pt idx="127">
                  <c:v>98.82</c:v>
                </c:pt>
                <c:pt idx="128">
                  <c:v>99.46</c:v>
                </c:pt>
                <c:pt idx="129">
                  <c:v>99.71</c:v>
                </c:pt>
                <c:pt idx="130">
                  <c:v>99.12</c:v>
                </c:pt>
                <c:pt idx="131">
                  <c:v>99.38</c:v>
                </c:pt>
                <c:pt idx="132">
                  <c:v>99.5</c:v>
                </c:pt>
                <c:pt idx="133">
                  <c:v>99.66</c:v>
                </c:pt>
                <c:pt idx="134">
                  <c:v>99.54</c:v>
                </c:pt>
                <c:pt idx="135">
                  <c:v>99.98</c:v>
                </c:pt>
                <c:pt idx="136">
                  <c:v>100.83</c:v>
                </c:pt>
                <c:pt idx="137">
                  <c:v>100.65</c:v>
                </c:pt>
                <c:pt idx="138">
                  <c:v>99.51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D-48B8-9276-8FAA076C9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7663"/>
        <c:axId val="22414303"/>
      </c:lineChart>
      <c:catAx>
        <c:axId val="2241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4303"/>
        <c:crosses val="autoZero"/>
        <c:auto val="1"/>
        <c:lblAlgn val="ctr"/>
        <c:lblOffset val="100"/>
        <c:noMultiLvlLbl val="0"/>
      </c:catAx>
      <c:valAx>
        <c:axId val="2241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4.3775631942111135E-2"/>
          <c:y val="7.7944444444444441E-2"/>
          <c:w val="0.9511575338796936"/>
          <c:h val="0.85468824730242055"/>
        </c:manualLayout>
      </c:layout>
      <c:lineChart>
        <c:grouping val="standard"/>
        <c:varyColors val="0"/>
        <c:ser>
          <c:idx val="0"/>
          <c:order val="0"/>
          <c:tx>
            <c:strRef>
              <c:f>'0608-a'!$C$1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'0608-a'!$B:$B</c:f>
              <c:strCache>
                <c:ptCount val="20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24</c:v>
                </c:pt>
                <c:pt idx="143">
                  <c:v>24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27</c:v>
                </c:pt>
                <c:pt idx="161">
                  <c:v>27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29</c:v>
                </c:pt>
                <c:pt idx="173">
                  <c:v>29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31</c:v>
                </c:pt>
                <c:pt idx="185">
                  <c:v>31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33</c:v>
                </c:pt>
                <c:pt idx="197">
                  <c:v>33</c:v>
                </c:pt>
                <c:pt idx="198">
                  <c:v>33</c:v>
                </c:pt>
                <c:pt idx="199">
                  <c:v>33</c:v>
                </c:pt>
              </c:strCache>
            </c:strRef>
          </c:cat>
          <c:val>
            <c:numRef>
              <c:f>'0608-a'!$C$2:$C$203</c:f>
              <c:numCache>
                <c:formatCode>0</c:formatCode>
                <c:ptCount val="202"/>
                <c:pt idx="0">
                  <c:v>23.82</c:v>
                </c:pt>
                <c:pt idx="1">
                  <c:v>23.87</c:v>
                </c:pt>
                <c:pt idx="2">
                  <c:v>23.85</c:v>
                </c:pt>
                <c:pt idx="3">
                  <c:v>24.02</c:v>
                </c:pt>
                <c:pt idx="4">
                  <c:v>24.14</c:v>
                </c:pt>
                <c:pt idx="5">
                  <c:v>24.51</c:v>
                </c:pt>
                <c:pt idx="6">
                  <c:v>26.66</c:v>
                </c:pt>
                <c:pt idx="7">
                  <c:v>30.51</c:v>
                </c:pt>
                <c:pt idx="8">
                  <c:v>33.94</c:v>
                </c:pt>
                <c:pt idx="9">
                  <c:v>36.58</c:v>
                </c:pt>
                <c:pt idx="10">
                  <c:v>38.69</c:v>
                </c:pt>
                <c:pt idx="11">
                  <c:v>40.11</c:v>
                </c:pt>
                <c:pt idx="12">
                  <c:v>41.4</c:v>
                </c:pt>
                <c:pt idx="13">
                  <c:v>43.29</c:v>
                </c:pt>
                <c:pt idx="14">
                  <c:v>44.4</c:v>
                </c:pt>
                <c:pt idx="15">
                  <c:v>46.37</c:v>
                </c:pt>
                <c:pt idx="16">
                  <c:v>45.76</c:v>
                </c:pt>
                <c:pt idx="17">
                  <c:v>47.42</c:v>
                </c:pt>
                <c:pt idx="18">
                  <c:v>49.44</c:v>
                </c:pt>
                <c:pt idx="19">
                  <c:v>50.43</c:v>
                </c:pt>
                <c:pt idx="20">
                  <c:v>51.19</c:v>
                </c:pt>
                <c:pt idx="21">
                  <c:v>52.46</c:v>
                </c:pt>
                <c:pt idx="22">
                  <c:v>52.26</c:v>
                </c:pt>
                <c:pt idx="23">
                  <c:v>54.14</c:v>
                </c:pt>
                <c:pt idx="24">
                  <c:v>54.37</c:v>
                </c:pt>
                <c:pt idx="25">
                  <c:v>53.97</c:v>
                </c:pt>
                <c:pt idx="26">
                  <c:v>54.98</c:v>
                </c:pt>
                <c:pt idx="27">
                  <c:v>55.06</c:v>
                </c:pt>
                <c:pt idx="28">
                  <c:v>56.19</c:v>
                </c:pt>
                <c:pt idx="29">
                  <c:v>56.23</c:v>
                </c:pt>
                <c:pt idx="30">
                  <c:v>57.59</c:v>
                </c:pt>
                <c:pt idx="31">
                  <c:v>58.06</c:v>
                </c:pt>
                <c:pt idx="32">
                  <c:v>58.41</c:v>
                </c:pt>
                <c:pt idx="33">
                  <c:v>59.54</c:v>
                </c:pt>
                <c:pt idx="34">
                  <c:v>60.24</c:v>
                </c:pt>
                <c:pt idx="35">
                  <c:v>62.2</c:v>
                </c:pt>
                <c:pt idx="36">
                  <c:v>62.54</c:v>
                </c:pt>
                <c:pt idx="37">
                  <c:v>63.64</c:v>
                </c:pt>
                <c:pt idx="38">
                  <c:v>64.040000000000006</c:v>
                </c:pt>
                <c:pt idx="39">
                  <c:v>64.010000000000005</c:v>
                </c:pt>
                <c:pt idx="40">
                  <c:v>64.98</c:v>
                </c:pt>
                <c:pt idx="41">
                  <c:v>66.069999999999993</c:v>
                </c:pt>
                <c:pt idx="42">
                  <c:v>64.66</c:v>
                </c:pt>
                <c:pt idx="43">
                  <c:v>64.959999999999994</c:v>
                </c:pt>
                <c:pt idx="44">
                  <c:v>65.53</c:v>
                </c:pt>
                <c:pt idx="45">
                  <c:v>65.540000000000006</c:v>
                </c:pt>
                <c:pt idx="46">
                  <c:v>67.849999999999994</c:v>
                </c:pt>
                <c:pt idx="47">
                  <c:v>67.38</c:v>
                </c:pt>
                <c:pt idx="48">
                  <c:v>68.41</c:v>
                </c:pt>
                <c:pt idx="49">
                  <c:v>69.06</c:v>
                </c:pt>
                <c:pt idx="50">
                  <c:v>70.59</c:v>
                </c:pt>
                <c:pt idx="51">
                  <c:v>71.540000000000006</c:v>
                </c:pt>
                <c:pt idx="52">
                  <c:v>72.31</c:v>
                </c:pt>
                <c:pt idx="53">
                  <c:v>73.33</c:v>
                </c:pt>
                <c:pt idx="54">
                  <c:v>72.22</c:v>
                </c:pt>
                <c:pt idx="55">
                  <c:v>72.66</c:v>
                </c:pt>
                <c:pt idx="56">
                  <c:v>73.14</c:v>
                </c:pt>
                <c:pt idx="57">
                  <c:v>74.27</c:v>
                </c:pt>
                <c:pt idx="58">
                  <c:v>75.11</c:v>
                </c:pt>
                <c:pt idx="59">
                  <c:v>74.7</c:v>
                </c:pt>
                <c:pt idx="60">
                  <c:v>75.66</c:v>
                </c:pt>
                <c:pt idx="61">
                  <c:v>74.73</c:v>
                </c:pt>
                <c:pt idx="62">
                  <c:v>75.7</c:v>
                </c:pt>
                <c:pt idx="63">
                  <c:v>76.819999999999993</c:v>
                </c:pt>
                <c:pt idx="64">
                  <c:v>76</c:v>
                </c:pt>
                <c:pt idx="65">
                  <c:v>75.09</c:v>
                </c:pt>
                <c:pt idx="66">
                  <c:v>74.510000000000005</c:v>
                </c:pt>
                <c:pt idx="67">
                  <c:v>75.959999999999994</c:v>
                </c:pt>
                <c:pt idx="68">
                  <c:v>77.47</c:v>
                </c:pt>
                <c:pt idx="69">
                  <c:v>77.88</c:v>
                </c:pt>
                <c:pt idx="70">
                  <c:v>78.069999999999993</c:v>
                </c:pt>
                <c:pt idx="71">
                  <c:v>78.63</c:v>
                </c:pt>
                <c:pt idx="72">
                  <c:v>78.569999999999993</c:v>
                </c:pt>
                <c:pt idx="73">
                  <c:v>79.98</c:v>
                </c:pt>
                <c:pt idx="74">
                  <c:v>81.25</c:v>
                </c:pt>
                <c:pt idx="75">
                  <c:v>80.28</c:v>
                </c:pt>
                <c:pt idx="76">
                  <c:v>81.53</c:v>
                </c:pt>
                <c:pt idx="77">
                  <c:v>80.03</c:v>
                </c:pt>
                <c:pt idx="78">
                  <c:v>80.72</c:v>
                </c:pt>
                <c:pt idx="79">
                  <c:v>81.38</c:v>
                </c:pt>
                <c:pt idx="80">
                  <c:v>82.45</c:v>
                </c:pt>
                <c:pt idx="81">
                  <c:v>82.05</c:v>
                </c:pt>
                <c:pt idx="82">
                  <c:v>82.17</c:v>
                </c:pt>
                <c:pt idx="83">
                  <c:v>82.33</c:v>
                </c:pt>
                <c:pt idx="84">
                  <c:v>82.63</c:v>
                </c:pt>
                <c:pt idx="85">
                  <c:v>83.61</c:v>
                </c:pt>
                <c:pt idx="86">
                  <c:v>84.3</c:v>
                </c:pt>
                <c:pt idx="87">
                  <c:v>84.2</c:v>
                </c:pt>
                <c:pt idx="88">
                  <c:v>83.97</c:v>
                </c:pt>
                <c:pt idx="89">
                  <c:v>84.94</c:v>
                </c:pt>
                <c:pt idx="90">
                  <c:v>84.44</c:v>
                </c:pt>
                <c:pt idx="91">
                  <c:v>86.36</c:v>
                </c:pt>
                <c:pt idx="92">
                  <c:v>84.27</c:v>
                </c:pt>
                <c:pt idx="93">
                  <c:v>85.09</c:v>
                </c:pt>
                <c:pt idx="94">
                  <c:v>86.6</c:v>
                </c:pt>
                <c:pt idx="95">
                  <c:v>86.67</c:v>
                </c:pt>
                <c:pt idx="96">
                  <c:v>87.06</c:v>
                </c:pt>
                <c:pt idx="97">
                  <c:v>86.49</c:v>
                </c:pt>
                <c:pt idx="98">
                  <c:v>86.28</c:v>
                </c:pt>
                <c:pt idx="99">
                  <c:v>87.31</c:v>
                </c:pt>
                <c:pt idx="100">
                  <c:v>87.12</c:v>
                </c:pt>
                <c:pt idx="101">
                  <c:v>88.5</c:v>
                </c:pt>
                <c:pt idx="102">
                  <c:v>88.63</c:v>
                </c:pt>
                <c:pt idx="103">
                  <c:v>89.53</c:v>
                </c:pt>
                <c:pt idx="104">
                  <c:v>89.95</c:v>
                </c:pt>
                <c:pt idx="105">
                  <c:v>89.65</c:v>
                </c:pt>
                <c:pt idx="106">
                  <c:v>90.49</c:v>
                </c:pt>
                <c:pt idx="107">
                  <c:v>90.33</c:v>
                </c:pt>
                <c:pt idx="108">
                  <c:v>90.46</c:v>
                </c:pt>
                <c:pt idx="109">
                  <c:v>90.47</c:v>
                </c:pt>
                <c:pt idx="110">
                  <c:v>90.92</c:v>
                </c:pt>
                <c:pt idx="111">
                  <c:v>91.62</c:v>
                </c:pt>
                <c:pt idx="112">
                  <c:v>90.03</c:v>
                </c:pt>
                <c:pt idx="113">
                  <c:v>90.97</c:v>
                </c:pt>
                <c:pt idx="114">
                  <c:v>92.67</c:v>
                </c:pt>
                <c:pt idx="115">
                  <c:v>92.32</c:v>
                </c:pt>
                <c:pt idx="116">
                  <c:v>92.36</c:v>
                </c:pt>
                <c:pt idx="117">
                  <c:v>93.33</c:v>
                </c:pt>
                <c:pt idx="118">
                  <c:v>94.24</c:v>
                </c:pt>
                <c:pt idx="119">
                  <c:v>93.94</c:v>
                </c:pt>
                <c:pt idx="120">
                  <c:v>93.85</c:v>
                </c:pt>
                <c:pt idx="121">
                  <c:v>94.42</c:v>
                </c:pt>
                <c:pt idx="122">
                  <c:v>94.07</c:v>
                </c:pt>
                <c:pt idx="123">
                  <c:v>94.75</c:v>
                </c:pt>
                <c:pt idx="124">
                  <c:v>95.46</c:v>
                </c:pt>
                <c:pt idx="125">
                  <c:v>94.46</c:v>
                </c:pt>
                <c:pt idx="126">
                  <c:v>94.83</c:v>
                </c:pt>
                <c:pt idx="127">
                  <c:v>95.36</c:v>
                </c:pt>
                <c:pt idx="128">
                  <c:v>95.81</c:v>
                </c:pt>
                <c:pt idx="129">
                  <c:v>95.97</c:v>
                </c:pt>
                <c:pt idx="130">
                  <c:v>96.52</c:v>
                </c:pt>
                <c:pt idx="131">
                  <c:v>96.09</c:v>
                </c:pt>
                <c:pt idx="132">
                  <c:v>96.72</c:v>
                </c:pt>
                <c:pt idx="133">
                  <c:v>96.69</c:v>
                </c:pt>
                <c:pt idx="134">
                  <c:v>97.57</c:v>
                </c:pt>
                <c:pt idx="135">
                  <c:v>98.47</c:v>
                </c:pt>
                <c:pt idx="136">
                  <c:v>97.33</c:v>
                </c:pt>
                <c:pt idx="137">
                  <c:v>98.01</c:v>
                </c:pt>
                <c:pt idx="138">
                  <c:v>97.39</c:v>
                </c:pt>
                <c:pt idx="139">
                  <c:v>98.72</c:v>
                </c:pt>
                <c:pt idx="140">
                  <c:v>99.31</c:v>
                </c:pt>
                <c:pt idx="141">
                  <c:v>99.15</c:v>
                </c:pt>
                <c:pt idx="142">
                  <c:v>100</c:v>
                </c:pt>
                <c:pt idx="143">
                  <c:v>100.39</c:v>
                </c:pt>
                <c:pt idx="144">
                  <c:v>100.98</c:v>
                </c:pt>
                <c:pt idx="145">
                  <c:v>99.86</c:v>
                </c:pt>
                <c:pt idx="146">
                  <c:v>100.1</c:v>
                </c:pt>
                <c:pt idx="147">
                  <c:v>100.76</c:v>
                </c:pt>
                <c:pt idx="148">
                  <c:v>101.11</c:v>
                </c:pt>
                <c:pt idx="149">
                  <c:v>101.25</c:v>
                </c:pt>
                <c:pt idx="150">
                  <c:v>101.55</c:v>
                </c:pt>
                <c:pt idx="151">
                  <c:v>102.39</c:v>
                </c:pt>
                <c:pt idx="152">
                  <c:v>100.52</c:v>
                </c:pt>
                <c:pt idx="153">
                  <c:v>99.92</c:v>
                </c:pt>
                <c:pt idx="154">
                  <c:v>101.5</c:v>
                </c:pt>
                <c:pt idx="155">
                  <c:v>102.28</c:v>
                </c:pt>
                <c:pt idx="156">
                  <c:v>102.94</c:v>
                </c:pt>
                <c:pt idx="157">
                  <c:v>103.79</c:v>
                </c:pt>
                <c:pt idx="158">
                  <c:v>103.26</c:v>
                </c:pt>
                <c:pt idx="159">
                  <c:v>103.25</c:v>
                </c:pt>
                <c:pt idx="160">
                  <c:v>103.48</c:v>
                </c:pt>
                <c:pt idx="161">
                  <c:v>103.6</c:v>
                </c:pt>
                <c:pt idx="162">
                  <c:v>104.75</c:v>
                </c:pt>
                <c:pt idx="163">
                  <c:v>104.1</c:v>
                </c:pt>
                <c:pt idx="164">
                  <c:v>104.52</c:v>
                </c:pt>
                <c:pt idx="165">
                  <c:v>103.91</c:v>
                </c:pt>
                <c:pt idx="166">
                  <c:v>103.42</c:v>
                </c:pt>
                <c:pt idx="167">
                  <c:v>103.84</c:v>
                </c:pt>
                <c:pt idx="168">
                  <c:v>104.61</c:v>
                </c:pt>
                <c:pt idx="169">
                  <c:v>104.84</c:v>
                </c:pt>
                <c:pt idx="170">
                  <c:v>103.25</c:v>
                </c:pt>
                <c:pt idx="171">
                  <c:v>104.34</c:v>
                </c:pt>
                <c:pt idx="172">
                  <c:v>105.6</c:v>
                </c:pt>
                <c:pt idx="173">
                  <c:v>105.14</c:v>
                </c:pt>
                <c:pt idx="174">
                  <c:v>105.01</c:v>
                </c:pt>
                <c:pt idx="175">
                  <c:v>104.85</c:v>
                </c:pt>
                <c:pt idx="176">
                  <c:v>105.92</c:v>
                </c:pt>
                <c:pt idx="177">
                  <c:v>106.9</c:v>
                </c:pt>
                <c:pt idx="178">
                  <c:v>107.31</c:v>
                </c:pt>
                <c:pt idx="179">
                  <c:v>107.3</c:v>
                </c:pt>
                <c:pt idx="180">
                  <c:v>106.42</c:v>
                </c:pt>
                <c:pt idx="181">
                  <c:v>106.48</c:v>
                </c:pt>
                <c:pt idx="182">
                  <c:v>107.19</c:v>
                </c:pt>
                <c:pt idx="183">
                  <c:v>107</c:v>
                </c:pt>
                <c:pt idx="184">
                  <c:v>106.65</c:v>
                </c:pt>
                <c:pt idx="185">
                  <c:v>107.57</c:v>
                </c:pt>
                <c:pt idx="186">
                  <c:v>107.72</c:v>
                </c:pt>
                <c:pt idx="187">
                  <c:v>107.89</c:v>
                </c:pt>
                <c:pt idx="188">
                  <c:v>108.09</c:v>
                </c:pt>
                <c:pt idx="189">
                  <c:v>108.99</c:v>
                </c:pt>
                <c:pt idx="190">
                  <c:v>108.91</c:v>
                </c:pt>
                <c:pt idx="191">
                  <c:v>108.65</c:v>
                </c:pt>
                <c:pt idx="192">
                  <c:v>108.64</c:v>
                </c:pt>
                <c:pt idx="193">
                  <c:v>108.58</c:v>
                </c:pt>
                <c:pt idx="194">
                  <c:v>109.23</c:v>
                </c:pt>
                <c:pt idx="195">
                  <c:v>109.2</c:v>
                </c:pt>
                <c:pt idx="196">
                  <c:v>109.95</c:v>
                </c:pt>
                <c:pt idx="197">
                  <c:v>110</c:v>
                </c:pt>
                <c:pt idx="198">
                  <c:v>110.14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CD-4E87-A20E-F4D4DAD80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937424"/>
        <c:axId val="450949904"/>
      </c:lineChart>
      <c:catAx>
        <c:axId val="450937424"/>
        <c:scaling>
          <c:orientation val="minMax"/>
        </c:scaling>
        <c:delete val="0"/>
        <c:axPos val="b"/>
        <c:numFmt formatCode="General" sourceLinked="1"/>
        <c:majorTickMark val="out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49904"/>
        <c:crosses val="autoZero"/>
        <c:auto val="1"/>
        <c:lblAlgn val="ctr"/>
        <c:lblOffset val="100"/>
        <c:tickMarkSkip val="10"/>
        <c:noMultiLvlLbl val="0"/>
      </c:catAx>
      <c:valAx>
        <c:axId val="45094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in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37424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PID Tune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'0609-a'!$C$1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'0609-a'!$C$2:$C$114</c:f>
              <c:numCache>
                <c:formatCode>General</c:formatCode>
                <c:ptCount val="113"/>
                <c:pt idx="0">
                  <c:v>24.1</c:v>
                </c:pt>
                <c:pt idx="1">
                  <c:v>24.1</c:v>
                </c:pt>
                <c:pt idx="2">
                  <c:v>24.2</c:v>
                </c:pt>
                <c:pt idx="3">
                  <c:v>28.2</c:v>
                </c:pt>
                <c:pt idx="4">
                  <c:v>33.200000000000003</c:v>
                </c:pt>
                <c:pt idx="5">
                  <c:v>36</c:v>
                </c:pt>
                <c:pt idx="6">
                  <c:v>38.200000000000003</c:v>
                </c:pt>
                <c:pt idx="7">
                  <c:v>39.700000000000003</c:v>
                </c:pt>
                <c:pt idx="8">
                  <c:v>41.2</c:v>
                </c:pt>
                <c:pt idx="9">
                  <c:v>42.4</c:v>
                </c:pt>
                <c:pt idx="10">
                  <c:v>43</c:v>
                </c:pt>
                <c:pt idx="11">
                  <c:v>44.2</c:v>
                </c:pt>
                <c:pt idx="12">
                  <c:v>44.7</c:v>
                </c:pt>
                <c:pt idx="13">
                  <c:v>45.9</c:v>
                </c:pt>
                <c:pt idx="14">
                  <c:v>46.4</c:v>
                </c:pt>
                <c:pt idx="15">
                  <c:v>47.2</c:v>
                </c:pt>
                <c:pt idx="16">
                  <c:v>47.8</c:v>
                </c:pt>
                <c:pt idx="17">
                  <c:v>48.6</c:v>
                </c:pt>
                <c:pt idx="18">
                  <c:v>49.3</c:v>
                </c:pt>
                <c:pt idx="19">
                  <c:v>49.6</c:v>
                </c:pt>
                <c:pt idx="20">
                  <c:v>50.4</c:v>
                </c:pt>
                <c:pt idx="21">
                  <c:v>51.2</c:v>
                </c:pt>
                <c:pt idx="22">
                  <c:v>51.6</c:v>
                </c:pt>
                <c:pt idx="23">
                  <c:v>52.2</c:v>
                </c:pt>
                <c:pt idx="24">
                  <c:v>52.5</c:v>
                </c:pt>
                <c:pt idx="25">
                  <c:v>53.1</c:v>
                </c:pt>
                <c:pt idx="26">
                  <c:v>54.1</c:v>
                </c:pt>
                <c:pt idx="27">
                  <c:v>53.7</c:v>
                </c:pt>
                <c:pt idx="28">
                  <c:v>53.9</c:v>
                </c:pt>
                <c:pt idx="29">
                  <c:v>55.4</c:v>
                </c:pt>
                <c:pt idx="30">
                  <c:v>55.8</c:v>
                </c:pt>
                <c:pt idx="31">
                  <c:v>56.7</c:v>
                </c:pt>
                <c:pt idx="32">
                  <c:v>56.4</c:v>
                </c:pt>
                <c:pt idx="33">
                  <c:v>57.2</c:v>
                </c:pt>
                <c:pt idx="34">
                  <c:v>57.3</c:v>
                </c:pt>
                <c:pt idx="35">
                  <c:v>57.8</c:v>
                </c:pt>
                <c:pt idx="36">
                  <c:v>58.2</c:v>
                </c:pt>
                <c:pt idx="37">
                  <c:v>58.3</c:v>
                </c:pt>
                <c:pt idx="38">
                  <c:v>58.8</c:v>
                </c:pt>
                <c:pt idx="39">
                  <c:v>59.4</c:v>
                </c:pt>
                <c:pt idx="40">
                  <c:v>59.7</c:v>
                </c:pt>
                <c:pt idx="41">
                  <c:v>59.6</c:v>
                </c:pt>
                <c:pt idx="42">
                  <c:v>59.8</c:v>
                </c:pt>
                <c:pt idx="43">
                  <c:v>59.5</c:v>
                </c:pt>
                <c:pt idx="44">
                  <c:v>59.9</c:v>
                </c:pt>
                <c:pt idx="45">
                  <c:v>60.9</c:v>
                </c:pt>
                <c:pt idx="46">
                  <c:v>61.5</c:v>
                </c:pt>
                <c:pt idx="47">
                  <c:v>61.9</c:v>
                </c:pt>
                <c:pt idx="48">
                  <c:v>61.9</c:v>
                </c:pt>
                <c:pt idx="49">
                  <c:v>62.5</c:v>
                </c:pt>
                <c:pt idx="50">
                  <c:v>62.6</c:v>
                </c:pt>
                <c:pt idx="51">
                  <c:v>62.8</c:v>
                </c:pt>
                <c:pt idx="52">
                  <c:v>63.2</c:v>
                </c:pt>
                <c:pt idx="53">
                  <c:v>63.2</c:v>
                </c:pt>
                <c:pt idx="54">
                  <c:v>63.8</c:v>
                </c:pt>
                <c:pt idx="55">
                  <c:v>64.3</c:v>
                </c:pt>
                <c:pt idx="56">
                  <c:v>64.5</c:v>
                </c:pt>
                <c:pt idx="57">
                  <c:v>64.8</c:v>
                </c:pt>
                <c:pt idx="58">
                  <c:v>65.599999999999994</c:v>
                </c:pt>
                <c:pt idx="59">
                  <c:v>66.400000000000006</c:v>
                </c:pt>
                <c:pt idx="60">
                  <c:v>66.599999999999994</c:v>
                </c:pt>
                <c:pt idx="61">
                  <c:v>67</c:v>
                </c:pt>
                <c:pt idx="62">
                  <c:v>66.7</c:v>
                </c:pt>
                <c:pt idx="63">
                  <c:v>67.5</c:v>
                </c:pt>
                <c:pt idx="64">
                  <c:v>67.5</c:v>
                </c:pt>
                <c:pt idx="65">
                  <c:v>68.400000000000006</c:v>
                </c:pt>
                <c:pt idx="66">
                  <c:v>68</c:v>
                </c:pt>
                <c:pt idx="67">
                  <c:v>67.8</c:v>
                </c:pt>
                <c:pt idx="68">
                  <c:v>68.8</c:v>
                </c:pt>
                <c:pt idx="69">
                  <c:v>69.400000000000006</c:v>
                </c:pt>
                <c:pt idx="70">
                  <c:v>69.7</c:v>
                </c:pt>
                <c:pt idx="71">
                  <c:v>69.5</c:v>
                </c:pt>
                <c:pt idx="72">
                  <c:v>69.900000000000006</c:v>
                </c:pt>
                <c:pt idx="73">
                  <c:v>70.099999999999994</c:v>
                </c:pt>
                <c:pt idx="74">
                  <c:v>70.900000000000006</c:v>
                </c:pt>
                <c:pt idx="75">
                  <c:v>70.5</c:v>
                </c:pt>
                <c:pt idx="76">
                  <c:v>70.599999999999994</c:v>
                </c:pt>
                <c:pt idx="77">
                  <c:v>70.5</c:v>
                </c:pt>
                <c:pt idx="78">
                  <c:v>71.8</c:v>
                </c:pt>
                <c:pt idx="79">
                  <c:v>72.5</c:v>
                </c:pt>
                <c:pt idx="80">
                  <c:v>72.599999999999994</c:v>
                </c:pt>
                <c:pt idx="81">
                  <c:v>71.900000000000006</c:v>
                </c:pt>
                <c:pt idx="82">
                  <c:v>72.599999999999994</c:v>
                </c:pt>
                <c:pt idx="83">
                  <c:v>73.099999999999994</c:v>
                </c:pt>
                <c:pt idx="84">
                  <c:v>73.099999999999994</c:v>
                </c:pt>
                <c:pt idx="85">
                  <c:v>73.400000000000006</c:v>
                </c:pt>
                <c:pt idx="86">
                  <c:v>73.5</c:v>
                </c:pt>
                <c:pt idx="87">
                  <c:v>74.099999999999994</c:v>
                </c:pt>
                <c:pt idx="88">
                  <c:v>74.2</c:v>
                </c:pt>
                <c:pt idx="89">
                  <c:v>74.5</c:v>
                </c:pt>
                <c:pt idx="90">
                  <c:v>74.900000000000006</c:v>
                </c:pt>
                <c:pt idx="91">
                  <c:v>75.2</c:v>
                </c:pt>
                <c:pt idx="92">
                  <c:v>75.2</c:v>
                </c:pt>
                <c:pt idx="93">
                  <c:v>75.8</c:v>
                </c:pt>
                <c:pt idx="94">
                  <c:v>76.099999999999994</c:v>
                </c:pt>
                <c:pt idx="95">
                  <c:v>76.3</c:v>
                </c:pt>
                <c:pt idx="96">
                  <c:v>76.400000000000006</c:v>
                </c:pt>
                <c:pt idx="97">
                  <c:v>76.2</c:v>
                </c:pt>
                <c:pt idx="98">
                  <c:v>76.7</c:v>
                </c:pt>
                <c:pt idx="99">
                  <c:v>77.2</c:v>
                </c:pt>
                <c:pt idx="100">
                  <c:v>77.099999999999994</c:v>
                </c:pt>
                <c:pt idx="101">
                  <c:v>76.8</c:v>
                </c:pt>
                <c:pt idx="102">
                  <c:v>78.2</c:v>
                </c:pt>
                <c:pt idx="103">
                  <c:v>77.5</c:v>
                </c:pt>
                <c:pt idx="104">
                  <c:v>77.599999999999994</c:v>
                </c:pt>
                <c:pt idx="105">
                  <c:v>78.099999999999994</c:v>
                </c:pt>
                <c:pt idx="106">
                  <c:v>78.900000000000006</c:v>
                </c:pt>
                <c:pt idx="107">
                  <c:v>79.3</c:v>
                </c:pt>
                <c:pt idx="108">
                  <c:v>79</c:v>
                </c:pt>
                <c:pt idx="109">
                  <c:v>78.3</c:v>
                </c:pt>
                <c:pt idx="110">
                  <c:v>78.599999999999994</c:v>
                </c:pt>
                <c:pt idx="111">
                  <c:v>79</c:v>
                </c:pt>
                <c:pt idx="112">
                  <c:v>80.099999999999994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7-424E-9AD2-2B9C0CB39E4D}"/>
            </c:ext>
          </c:extLst>
        </c:ser>
        <c:ser>
          <c:idx val="1"/>
          <c:order val="1"/>
          <c:tx>
            <c:strRef>
              <c:f>'0609-a'!$D$1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'0609-a'!$D$2:$D$114</c:f>
              <c:numCache>
                <c:formatCode>General</c:formatCode>
                <c:ptCount val="113"/>
                <c:pt idx="0">
                  <c:v>18.5</c:v>
                </c:pt>
                <c:pt idx="1">
                  <c:v>89.5</c:v>
                </c:pt>
                <c:pt idx="2">
                  <c:v>98.6</c:v>
                </c:pt>
                <c:pt idx="3">
                  <c:v>99.8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99.9</c:v>
                </c:pt>
                <c:pt idx="77">
                  <c:v>99.9</c:v>
                </c:pt>
                <c:pt idx="78">
                  <c:v>99.9</c:v>
                </c:pt>
                <c:pt idx="79">
                  <c:v>99.9</c:v>
                </c:pt>
                <c:pt idx="80">
                  <c:v>99.9</c:v>
                </c:pt>
                <c:pt idx="81">
                  <c:v>99.9</c:v>
                </c:pt>
                <c:pt idx="82">
                  <c:v>99.9</c:v>
                </c:pt>
                <c:pt idx="83">
                  <c:v>99.9</c:v>
                </c:pt>
                <c:pt idx="84">
                  <c:v>99.9</c:v>
                </c:pt>
                <c:pt idx="85">
                  <c:v>99.9</c:v>
                </c:pt>
                <c:pt idx="86">
                  <c:v>99.9</c:v>
                </c:pt>
                <c:pt idx="87">
                  <c:v>99.9</c:v>
                </c:pt>
                <c:pt idx="88">
                  <c:v>99.9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99.9</c:v>
                </c:pt>
                <c:pt idx="102">
                  <c:v>99.9</c:v>
                </c:pt>
                <c:pt idx="103">
                  <c:v>99.9</c:v>
                </c:pt>
                <c:pt idx="104">
                  <c:v>99.9</c:v>
                </c:pt>
                <c:pt idx="105">
                  <c:v>99.9</c:v>
                </c:pt>
                <c:pt idx="106">
                  <c:v>99.9</c:v>
                </c:pt>
                <c:pt idx="107">
                  <c:v>99.9</c:v>
                </c:pt>
                <c:pt idx="108">
                  <c:v>99.9</c:v>
                </c:pt>
                <c:pt idx="109">
                  <c:v>99.9</c:v>
                </c:pt>
                <c:pt idx="110">
                  <c:v>99.9</c:v>
                </c:pt>
                <c:pt idx="111">
                  <c:v>99.9</c:v>
                </c:pt>
                <c:pt idx="112">
                  <c:v>48.7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B7-424E-9AD2-2B9C0CB39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1840080"/>
        <c:axId val="1151830000"/>
      </c:lineChart>
      <c:catAx>
        <c:axId val="115184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30000"/>
        <c:crosses val="autoZero"/>
        <c:auto val="1"/>
        <c:lblAlgn val="ctr"/>
        <c:lblOffset val="100"/>
        <c:noMultiLvlLbl val="0"/>
      </c:catAx>
      <c:valAx>
        <c:axId val="115183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4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'0610-a'!$C$1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'0610-a'!$C$2:$C$101</c:f>
              <c:numCache>
                <c:formatCode>General</c:formatCode>
                <c:ptCount val="100"/>
                <c:pt idx="0">
                  <c:v>21.5</c:v>
                </c:pt>
                <c:pt idx="1">
                  <c:v>21.8</c:v>
                </c:pt>
                <c:pt idx="2">
                  <c:v>24.7</c:v>
                </c:pt>
                <c:pt idx="3">
                  <c:v>28.8</c:v>
                </c:pt>
                <c:pt idx="4">
                  <c:v>32.5</c:v>
                </c:pt>
                <c:pt idx="5">
                  <c:v>35.700000000000003</c:v>
                </c:pt>
                <c:pt idx="6">
                  <c:v>38.4</c:v>
                </c:pt>
                <c:pt idx="7">
                  <c:v>40.200000000000003</c:v>
                </c:pt>
                <c:pt idx="8">
                  <c:v>41.5</c:v>
                </c:pt>
                <c:pt idx="9">
                  <c:v>42.1</c:v>
                </c:pt>
                <c:pt idx="10">
                  <c:v>43.3</c:v>
                </c:pt>
                <c:pt idx="11">
                  <c:v>44.5</c:v>
                </c:pt>
                <c:pt idx="12">
                  <c:v>45.8</c:v>
                </c:pt>
                <c:pt idx="13">
                  <c:v>46.8</c:v>
                </c:pt>
                <c:pt idx="14">
                  <c:v>46.9</c:v>
                </c:pt>
                <c:pt idx="15">
                  <c:v>47.9</c:v>
                </c:pt>
                <c:pt idx="16">
                  <c:v>48.9</c:v>
                </c:pt>
                <c:pt idx="17">
                  <c:v>49.5</c:v>
                </c:pt>
                <c:pt idx="18">
                  <c:v>50.3</c:v>
                </c:pt>
                <c:pt idx="19">
                  <c:v>51.2</c:v>
                </c:pt>
                <c:pt idx="20">
                  <c:v>52.1</c:v>
                </c:pt>
                <c:pt idx="21">
                  <c:v>52.8</c:v>
                </c:pt>
                <c:pt idx="22">
                  <c:v>53</c:v>
                </c:pt>
                <c:pt idx="23">
                  <c:v>53.7</c:v>
                </c:pt>
                <c:pt idx="24">
                  <c:v>54.8</c:v>
                </c:pt>
                <c:pt idx="25">
                  <c:v>55.4</c:v>
                </c:pt>
                <c:pt idx="26">
                  <c:v>56.4</c:v>
                </c:pt>
                <c:pt idx="27">
                  <c:v>57.8</c:v>
                </c:pt>
                <c:pt idx="28">
                  <c:v>57.8</c:v>
                </c:pt>
                <c:pt idx="29">
                  <c:v>57.4</c:v>
                </c:pt>
                <c:pt idx="30">
                  <c:v>58.6</c:v>
                </c:pt>
                <c:pt idx="31">
                  <c:v>57.3</c:v>
                </c:pt>
                <c:pt idx="32">
                  <c:v>59.7</c:v>
                </c:pt>
                <c:pt idx="33">
                  <c:v>62.2</c:v>
                </c:pt>
                <c:pt idx="34">
                  <c:v>63.2</c:v>
                </c:pt>
                <c:pt idx="35">
                  <c:v>64.2</c:v>
                </c:pt>
                <c:pt idx="36">
                  <c:v>63.6</c:v>
                </c:pt>
                <c:pt idx="37">
                  <c:v>64.400000000000006</c:v>
                </c:pt>
                <c:pt idx="38">
                  <c:v>65.2</c:v>
                </c:pt>
                <c:pt idx="39">
                  <c:v>66.400000000000006</c:v>
                </c:pt>
                <c:pt idx="40">
                  <c:v>66.8</c:v>
                </c:pt>
                <c:pt idx="41">
                  <c:v>67.3</c:v>
                </c:pt>
                <c:pt idx="42">
                  <c:v>68.5</c:v>
                </c:pt>
                <c:pt idx="43">
                  <c:v>68.599999999999994</c:v>
                </c:pt>
                <c:pt idx="44">
                  <c:v>68.8</c:v>
                </c:pt>
                <c:pt idx="45">
                  <c:v>69.8</c:v>
                </c:pt>
                <c:pt idx="46">
                  <c:v>70.3</c:v>
                </c:pt>
                <c:pt idx="47">
                  <c:v>70.599999999999994</c:v>
                </c:pt>
                <c:pt idx="48">
                  <c:v>71.2</c:v>
                </c:pt>
                <c:pt idx="49">
                  <c:v>72</c:v>
                </c:pt>
                <c:pt idx="50">
                  <c:v>72.7</c:v>
                </c:pt>
                <c:pt idx="51">
                  <c:v>72.599999999999994</c:v>
                </c:pt>
                <c:pt idx="52">
                  <c:v>73.2</c:v>
                </c:pt>
                <c:pt idx="53">
                  <c:v>73.599999999999994</c:v>
                </c:pt>
                <c:pt idx="54">
                  <c:v>73.099999999999994</c:v>
                </c:pt>
                <c:pt idx="55">
                  <c:v>73.599999999999994</c:v>
                </c:pt>
                <c:pt idx="56">
                  <c:v>73.5</c:v>
                </c:pt>
                <c:pt idx="57">
                  <c:v>74.2</c:v>
                </c:pt>
                <c:pt idx="58">
                  <c:v>74.5</c:v>
                </c:pt>
                <c:pt idx="59">
                  <c:v>74.400000000000006</c:v>
                </c:pt>
                <c:pt idx="60">
                  <c:v>74.599999999999994</c:v>
                </c:pt>
                <c:pt idx="61">
                  <c:v>75.400000000000006</c:v>
                </c:pt>
                <c:pt idx="62">
                  <c:v>75.8</c:v>
                </c:pt>
                <c:pt idx="63">
                  <c:v>75.7</c:v>
                </c:pt>
                <c:pt idx="64">
                  <c:v>76.2</c:v>
                </c:pt>
                <c:pt idx="65">
                  <c:v>76.5</c:v>
                </c:pt>
                <c:pt idx="66">
                  <c:v>76.900000000000006</c:v>
                </c:pt>
                <c:pt idx="67">
                  <c:v>77.7</c:v>
                </c:pt>
                <c:pt idx="68">
                  <c:v>77.5</c:v>
                </c:pt>
                <c:pt idx="69">
                  <c:v>78.2</c:v>
                </c:pt>
                <c:pt idx="70">
                  <c:v>78.5</c:v>
                </c:pt>
                <c:pt idx="71">
                  <c:v>79.099999999999994</c:v>
                </c:pt>
                <c:pt idx="72">
                  <c:v>79.3</c:v>
                </c:pt>
                <c:pt idx="73">
                  <c:v>79.5</c:v>
                </c:pt>
                <c:pt idx="74">
                  <c:v>79.900000000000006</c:v>
                </c:pt>
                <c:pt idx="75">
                  <c:v>80.400000000000006</c:v>
                </c:pt>
                <c:pt idx="76">
                  <c:v>79.900000000000006</c:v>
                </c:pt>
                <c:pt idx="77">
                  <c:v>79.3</c:v>
                </c:pt>
                <c:pt idx="78">
                  <c:v>79.900000000000006</c:v>
                </c:pt>
                <c:pt idx="79">
                  <c:v>80.400000000000006</c:v>
                </c:pt>
                <c:pt idx="80">
                  <c:v>79.400000000000006</c:v>
                </c:pt>
                <c:pt idx="81">
                  <c:v>78.900000000000006</c:v>
                </c:pt>
                <c:pt idx="82">
                  <c:v>79.900000000000006</c:v>
                </c:pt>
                <c:pt idx="83">
                  <c:v>80.8</c:v>
                </c:pt>
                <c:pt idx="84">
                  <c:v>79.400000000000006</c:v>
                </c:pt>
                <c:pt idx="85">
                  <c:v>78.8</c:v>
                </c:pt>
                <c:pt idx="86">
                  <c:v>79.7</c:v>
                </c:pt>
                <c:pt idx="87">
                  <c:v>81</c:v>
                </c:pt>
                <c:pt idx="88">
                  <c:v>80</c:v>
                </c:pt>
                <c:pt idx="89">
                  <c:v>78.900000000000006</c:v>
                </c:pt>
                <c:pt idx="90">
                  <c:v>80.099999999999994</c:v>
                </c:pt>
                <c:pt idx="91">
                  <c:v>81</c:v>
                </c:pt>
                <c:pt idx="92">
                  <c:v>79.900000000000006</c:v>
                </c:pt>
                <c:pt idx="93">
                  <c:v>78.8</c:v>
                </c:pt>
                <c:pt idx="94">
                  <c:v>79.599999999999994</c:v>
                </c:pt>
                <c:pt idx="95">
                  <c:v>80.8</c:v>
                </c:pt>
                <c:pt idx="96">
                  <c:v>80.5</c:v>
                </c:pt>
                <c:pt idx="97">
                  <c:v>79</c:v>
                </c:pt>
                <c:pt idx="98">
                  <c:v>79.099999999999994</c:v>
                </c:pt>
                <c:pt idx="99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5-4605-8A0B-8B50756524C3}"/>
            </c:ext>
          </c:extLst>
        </c:ser>
        <c:ser>
          <c:idx val="1"/>
          <c:order val="1"/>
          <c:tx>
            <c:strRef>
              <c:f>'0610-a'!$D$1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'0610-a'!$D$2:$D$101</c:f>
              <c:numCache>
                <c:formatCode>General</c:formatCode>
                <c:ptCount val="100"/>
                <c:pt idx="0">
                  <c:v>0</c:v>
                </c:pt>
                <c:pt idx="1">
                  <c:v>87.1</c:v>
                </c:pt>
                <c:pt idx="2">
                  <c:v>98.3</c:v>
                </c:pt>
                <c:pt idx="3">
                  <c:v>99.7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35</c:v>
                </c:pt>
                <c:pt idx="77">
                  <c:v>86.6</c:v>
                </c:pt>
                <c:pt idx="78">
                  <c:v>98.3</c:v>
                </c:pt>
                <c:pt idx="79">
                  <c:v>18.100000000000001</c:v>
                </c:pt>
                <c:pt idx="80">
                  <c:v>62.6</c:v>
                </c:pt>
                <c:pt idx="81">
                  <c:v>95.1</c:v>
                </c:pt>
                <c:pt idx="82">
                  <c:v>99.3</c:v>
                </c:pt>
                <c:pt idx="83">
                  <c:v>12.7</c:v>
                </c:pt>
                <c:pt idx="84">
                  <c:v>50.3</c:v>
                </c:pt>
                <c:pt idx="85">
                  <c:v>93.6</c:v>
                </c:pt>
                <c:pt idx="86">
                  <c:v>99.1</c:v>
                </c:pt>
                <c:pt idx="87">
                  <c:v>21.3</c:v>
                </c:pt>
                <c:pt idx="88">
                  <c:v>2.7</c:v>
                </c:pt>
                <c:pt idx="89">
                  <c:v>88.1</c:v>
                </c:pt>
                <c:pt idx="90">
                  <c:v>79.900000000000006</c:v>
                </c:pt>
                <c:pt idx="91">
                  <c:v>10.199999999999999</c:v>
                </c:pt>
                <c:pt idx="92">
                  <c:v>6.3</c:v>
                </c:pt>
                <c:pt idx="93">
                  <c:v>87.9</c:v>
                </c:pt>
                <c:pt idx="94">
                  <c:v>98.5</c:v>
                </c:pt>
                <c:pt idx="95">
                  <c:v>15.5</c:v>
                </c:pt>
                <c:pt idx="96">
                  <c:v>2</c:v>
                </c:pt>
                <c:pt idx="97">
                  <c:v>75.2</c:v>
                </c:pt>
                <c:pt idx="98">
                  <c:v>96.8</c:v>
                </c:pt>
                <c:pt idx="99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05-4605-8A0B-8B507565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32991"/>
        <c:axId val="1992932031"/>
      </c:lineChart>
      <c:catAx>
        <c:axId val="199293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031"/>
        <c:crosses val="autoZero"/>
        <c:auto val="1"/>
        <c:lblAlgn val="ctr"/>
        <c:lblOffset val="100"/>
        <c:noMultiLvlLbl val="0"/>
      </c:catAx>
      <c:valAx>
        <c:axId val="199293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2.9500855208773793E-2"/>
          <c:y val="5.5405326195267772E-2"/>
          <c:w val="0.96179087193200996"/>
          <c:h val="0.86255850152725944"/>
        </c:manualLayout>
      </c:layout>
      <c:lineChart>
        <c:grouping val="standard"/>
        <c:varyColors val="0"/>
        <c:ser>
          <c:idx val="0"/>
          <c:order val="0"/>
          <c:tx>
            <c:strRef>
              <c:f>'0611-a'!$B$1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'0611-a'!$B$2:$B$100</c:f>
              <c:numCache>
                <c:formatCode>General</c:formatCode>
                <c:ptCount val="99"/>
                <c:pt idx="0">
                  <c:v>21.8</c:v>
                </c:pt>
                <c:pt idx="1">
                  <c:v>24.7</c:v>
                </c:pt>
                <c:pt idx="2">
                  <c:v>28.8</c:v>
                </c:pt>
                <c:pt idx="3">
                  <c:v>32.5</c:v>
                </c:pt>
                <c:pt idx="4">
                  <c:v>35.700000000000003</c:v>
                </c:pt>
                <c:pt idx="5">
                  <c:v>38.4</c:v>
                </c:pt>
                <c:pt idx="6">
                  <c:v>40.200000000000003</c:v>
                </c:pt>
                <c:pt idx="7">
                  <c:v>41.5</c:v>
                </c:pt>
                <c:pt idx="8">
                  <c:v>42.1</c:v>
                </c:pt>
                <c:pt idx="9">
                  <c:v>43.3</c:v>
                </c:pt>
                <c:pt idx="10">
                  <c:v>44.5</c:v>
                </c:pt>
                <c:pt idx="11">
                  <c:v>45.8</c:v>
                </c:pt>
                <c:pt idx="12">
                  <c:v>46.8</c:v>
                </c:pt>
                <c:pt idx="13">
                  <c:v>46.9</c:v>
                </c:pt>
                <c:pt idx="14">
                  <c:v>47.9</c:v>
                </c:pt>
                <c:pt idx="15">
                  <c:v>48.9</c:v>
                </c:pt>
                <c:pt idx="16">
                  <c:v>49.5</c:v>
                </c:pt>
                <c:pt idx="17">
                  <c:v>50.3</c:v>
                </c:pt>
                <c:pt idx="18">
                  <c:v>51.2</c:v>
                </c:pt>
                <c:pt idx="19">
                  <c:v>52.1</c:v>
                </c:pt>
                <c:pt idx="20">
                  <c:v>52.8</c:v>
                </c:pt>
                <c:pt idx="21">
                  <c:v>53</c:v>
                </c:pt>
                <c:pt idx="22">
                  <c:v>53.7</c:v>
                </c:pt>
                <c:pt idx="23">
                  <c:v>54.8</c:v>
                </c:pt>
                <c:pt idx="24">
                  <c:v>55.4</c:v>
                </c:pt>
                <c:pt idx="25">
                  <c:v>56.4</c:v>
                </c:pt>
                <c:pt idx="26">
                  <c:v>57.8</c:v>
                </c:pt>
                <c:pt idx="27">
                  <c:v>57.8</c:v>
                </c:pt>
                <c:pt idx="28">
                  <c:v>57.4</c:v>
                </c:pt>
                <c:pt idx="29">
                  <c:v>58.6</c:v>
                </c:pt>
                <c:pt idx="30">
                  <c:v>57.3</c:v>
                </c:pt>
                <c:pt idx="31">
                  <c:v>59.7</c:v>
                </c:pt>
                <c:pt idx="32">
                  <c:v>62.2</c:v>
                </c:pt>
                <c:pt idx="33">
                  <c:v>63.2</c:v>
                </c:pt>
                <c:pt idx="34">
                  <c:v>64.2</c:v>
                </c:pt>
                <c:pt idx="35">
                  <c:v>63.6</c:v>
                </c:pt>
                <c:pt idx="36">
                  <c:v>64.400000000000006</c:v>
                </c:pt>
                <c:pt idx="37">
                  <c:v>65.2</c:v>
                </c:pt>
                <c:pt idx="38">
                  <c:v>66.400000000000006</c:v>
                </c:pt>
                <c:pt idx="39">
                  <c:v>66.8</c:v>
                </c:pt>
                <c:pt idx="40">
                  <c:v>67.3</c:v>
                </c:pt>
                <c:pt idx="41">
                  <c:v>68.5</c:v>
                </c:pt>
                <c:pt idx="42">
                  <c:v>68.599999999999994</c:v>
                </c:pt>
                <c:pt idx="43">
                  <c:v>68.8</c:v>
                </c:pt>
                <c:pt idx="44">
                  <c:v>69.8</c:v>
                </c:pt>
                <c:pt idx="45">
                  <c:v>70.3</c:v>
                </c:pt>
                <c:pt idx="46">
                  <c:v>70.599999999999994</c:v>
                </c:pt>
                <c:pt idx="47">
                  <c:v>71.2</c:v>
                </c:pt>
                <c:pt idx="48">
                  <c:v>72</c:v>
                </c:pt>
                <c:pt idx="49">
                  <c:v>72.7</c:v>
                </c:pt>
                <c:pt idx="50">
                  <c:v>72.599999999999994</c:v>
                </c:pt>
                <c:pt idx="51">
                  <c:v>73.2</c:v>
                </c:pt>
                <c:pt idx="52">
                  <c:v>73.599999999999994</c:v>
                </c:pt>
                <c:pt idx="53">
                  <c:v>73.099999999999994</c:v>
                </c:pt>
                <c:pt idx="54">
                  <c:v>73.599999999999994</c:v>
                </c:pt>
                <c:pt idx="55">
                  <c:v>73.5</c:v>
                </c:pt>
                <c:pt idx="56">
                  <c:v>74.2</c:v>
                </c:pt>
                <c:pt idx="57">
                  <c:v>74.5</c:v>
                </c:pt>
                <c:pt idx="58">
                  <c:v>74.400000000000006</c:v>
                </c:pt>
                <c:pt idx="59">
                  <c:v>74.599999999999994</c:v>
                </c:pt>
                <c:pt idx="60">
                  <c:v>75.400000000000006</c:v>
                </c:pt>
                <c:pt idx="61">
                  <c:v>75.8</c:v>
                </c:pt>
                <c:pt idx="62">
                  <c:v>75.7</c:v>
                </c:pt>
                <c:pt idx="63">
                  <c:v>76.2</c:v>
                </c:pt>
                <c:pt idx="64">
                  <c:v>76.5</c:v>
                </c:pt>
                <c:pt idx="65">
                  <c:v>76.900000000000006</c:v>
                </c:pt>
                <c:pt idx="66">
                  <c:v>77.7</c:v>
                </c:pt>
                <c:pt idx="67">
                  <c:v>77.5</c:v>
                </c:pt>
                <c:pt idx="68">
                  <c:v>78.2</c:v>
                </c:pt>
                <c:pt idx="69">
                  <c:v>78.5</c:v>
                </c:pt>
                <c:pt idx="70">
                  <c:v>79.099999999999994</c:v>
                </c:pt>
                <c:pt idx="71">
                  <c:v>79.3</c:v>
                </c:pt>
                <c:pt idx="72">
                  <c:v>79.5</c:v>
                </c:pt>
                <c:pt idx="73">
                  <c:v>79.900000000000006</c:v>
                </c:pt>
                <c:pt idx="74">
                  <c:v>80.400000000000006</c:v>
                </c:pt>
                <c:pt idx="75">
                  <c:v>79.900000000000006</c:v>
                </c:pt>
                <c:pt idx="76">
                  <c:v>79.3</c:v>
                </c:pt>
                <c:pt idx="77">
                  <c:v>79.900000000000006</c:v>
                </c:pt>
                <c:pt idx="78">
                  <c:v>80.400000000000006</c:v>
                </c:pt>
                <c:pt idx="79">
                  <c:v>79.400000000000006</c:v>
                </c:pt>
                <c:pt idx="80">
                  <c:v>78.900000000000006</c:v>
                </c:pt>
                <c:pt idx="81">
                  <c:v>79.900000000000006</c:v>
                </c:pt>
                <c:pt idx="82">
                  <c:v>80.8</c:v>
                </c:pt>
                <c:pt idx="83">
                  <c:v>79.400000000000006</c:v>
                </c:pt>
                <c:pt idx="84">
                  <c:v>78.8</c:v>
                </c:pt>
                <c:pt idx="85">
                  <c:v>79.7</c:v>
                </c:pt>
                <c:pt idx="86">
                  <c:v>81</c:v>
                </c:pt>
                <c:pt idx="87">
                  <c:v>80</c:v>
                </c:pt>
                <c:pt idx="88">
                  <c:v>78.900000000000006</c:v>
                </c:pt>
                <c:pt idx="89">
                  <c:v>80.099999999999994</c:v>
                </c:pt>
                <c:pt idx="90">
                  <c:v>81</c:v>
                </c:pt>
                <c:pt idx="91">
                  <c:v>79.900000000000006</c:v>
                </c:pt>
                <c:pt idx="92">
                  <c:v>78.8</c:v>
                </c:pt>
                <c:pt idx="93">
                  <c:v>79.599999999999994</c:v>
                </c:pt>
                <c:pt idx="94">
                  <c:v>80.8</c:v>
                </c:pt>
                <c:pt idx="95">
                  <c:v>80.5</c:v>
                </c:pt>
                <c:pt idx="96">
                  <c:v>79</c:v>
                </c:pt>
                <c:pt idx="97">
                  <c:v>79.099999999999994</c:v>
                </c:pt>
                <c:pt idx="98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13-44B5-872A-DD29E71F063D}"/>
            </c:ext>
          </c:extLst>
        </c:ser>
        <c:ser>
          <c:idx val="1"/>
          <c:order val="1"/>
          <c:tx>
            <c:strRef>
              <c:f>'0611-a'!$C$1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'0611-a'!$C$2:$C$100</c:f>
              <c:numCache>
                <c:formatCode>General</c:formatCode>
                <c:ptCount val="99"/>
                <c:pt idx="0">
                  <c:v>87.1</c:v>
                </c:pt>
                <c:pt idx="1">
                  <c:v>98.3</c:v>
                </c:pt>
                <c:pt idx="2">
                  <c:v>99.7</c:v>
                </c:pt>
                <c:pt idx="3">
                  <c:v>99.9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35</c:v>
                </c:pt>
                <c:pt idx="76">
                  <c:v>86.6</c:v>
                </c:pt>
                <c:pt idx="77">
                  <c:v>98.3</c:v>
                </c:pt>
                <c:pt idx="78">
                  <c:v>18.100000000000001</c:v>
                </c:pt>
                <c:pt idx="79">
                  <c:v>62.6</c:v>
                </c:pt>
                <c:pt idx="80">
                  <c:v>95.1</c:v>
                </c:pt>
                <c:pt idx="81">
                  <c:v>99.3</c:v>
                </c:pt>
                <c:pt idx="82">
                  <c:v>12.7</c:v>
                </c:pt>
                <c:pt idx="83">
                  <c:v>50.3</c:v>
                </c:pt>
                <c:pt idx="84">
                  <c:v>93.6</c:v>
                </c:pt>
                <c:pt idx="85">
                  <c:v>99.1</c:v>
                </c:pt>
                <c:pt idx="86">
                  <c:v>21.3</c:v>
                </c:pt>
                <c:pt idx="87">
                  <c:v>2.7</c:v>
                </c:pt>
                <c:pt idx="88">
                  <c:v>88.1</c:v>
                </c:pt>
                <c:pt idx="89">
                  <c:v>79.900000000000006</c:v>
                </c:pt>
                <c:pt idx="90">
                  <c:v>10.199999999999999</c:v>
                </c:pt>
                <c:pt idx="91">
                  <c:v>6.3</c:v>
                </c:pt>
                <c:pt idx="92">
                  <c:v>87.9</c:v>
                </c:pt>
                <c:pt idx="93">
                  <c:v>98.5</c:v>
                </c:pt>
                <c:pt idx="94">
                  <c:v>15.5</c:v>
                </c:pt>
                <c:pt idx="95">
                  <c:v>2</c:v>
                </c:pt>
                <c:pt idx="96">
                  <c:v>75.2</c:v>
                </c:pt>
                <c:pt idx="97">
                  <c:v>96.8</c:v>
                </c:pt>
                <c:pt idx="98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13-44B5-872A-DD29E71F0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206111"/>
        <c:axId val="1191213791"/>
      </c:lineChart>
      <c:catAx>
        <c:axId val="1191206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13791"/>
        <c:crosses val="autoZero"/>
        <c:auto val="1"/>
        <c:lblAlgn val="ctr"/>
        <c:lblOffset val="100"/>
        <c:noMultiLvlLbl val="0"/>
      </c:catAx>
      <c:valAx>
        <c:axId val="119121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0</xdr:rowOff>
    </xdr:from>
    <xdr:to>
      <xdr:col>20</xdr:col>
      <xdr:colOff>600075</xdr:colOff>
      <xdr:row>36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27E419-6D47-CDAE-09CD-D27F5AB2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0</xdr:row>
      <xdr:rowOff>19050</xdr:rowOff>
    </xdr:from>
    <xdr:to>
      <xdr:col>20</xdr:col>
      <xdr:colOff>581025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DA8F4-157D-DAA7-4987-6356E7F0C3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0</xdr:row>
      <xdr:rowOff>0</xdr:rowOff>
    </xdr:from>
    <xdr:to>
      <xdr:col>18</xdr:col>
      <xdr:colOff>447675</xdr:colOff>
      <xdr:row>33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9E989-4860-4610-51F1-B2CAC8755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52</xdr:row>
      <xdr:rowOff>171450</xdr:rowOff>
    </xdr:from>
    <xdr:to>
      <xdr:col>23</xdr:col>
      <xdr:colOff>28575</xdr:colOff>
      <xdr:row>92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D625A-2807-DC4B-C4E3-E3496D1A9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42</xdr:row>
      <xdr:rowOff>85725</xdr:rowOff>
    </xdr:from>
    <xdr:to>
      <xdr:col>25</xdr:col>
      <xdr:colOff>438150</xdr:colOff>
      <xdr:row>82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0B2D36-CE51-FCD1-B8CD-C3FEE22C2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A6DCA1A3-0316-4793-81E8-7599E14A47D0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1C72004E-F8F9-4003-87C1-93060E8C6A7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FC8CB17C-0FE6-4314-9995-7FD572D953A2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38C53DD-88B3-48D2-BEAC-20940F81A71B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29EB285-D42F-4404-9BF8-E37148867CDC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53098EF-F4F4-40EC-8DCB-866E7E85188D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13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12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11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10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9">
      <calculatedColumnFormula>(logtemperature__6[[#This Row],[seconds]]-348)/60</calculatedColumnFormula>
    </tableColumn>
    <tableColumn id="2" xr3:uid="{EF7145E0-B373-49E0-A880-CE32821D989D}" uniqueName="2" name="temp" queryTableFieldId="2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3BD1F0-4048-499D-8CCC-90676BE0DA8E}" name="logtemperature__7" displayName="logtemperature__7" ref="A1:C140" tableType="queryTable" totalsRowShown="0">
  <autoFilter ref="A1:C140" xr:uid="{E83BD1F0-4048-499D-8CCC-90676BE0DA8E}"/>
  <tableColumns count="3">
    <tableColumn id="1" xr3:uid="{FE922F72-ED3D-4865-9059-6FF172D8D005}" uniqueName="1" name="seconds" queryTableFieldId="1"/>
    <tableColumn id="3" xr3:uid="{3E02E8C9-0F44-4A0B-A573-0C78D34894E4}" uniqueName="3" name="minutes" queryTableFieldId="3" dataDxfId="7">
      <calculatedColumnFormula>(logtemperature__7[[#This Row],[seconds]]-28264)/60</calculatedColumnFormula>
    </tableColumn>
    <tableColumn id="2" xr3:uid="{8AFCE4E4-6890-4093-8323-A5EECC3C2DF7}" uniqueName="2" name="temp/time" queryTableFieldId="2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06F30-E667-4808-A88E-0F356512133B}" name="logtemperature__8" displayName="logtemperature__8" ref="A1:C200" tableType="queryTable" totalsRowShown="0" dataDxfId="5">
  <autoFilter ref="A1:C200" xr:uid="{BE506F30-E667-4808-A88E-0F356512133B}"/>
  <tableColumns count="3">
    <tableColumn id="1" xr3:uid="{4F7EA3D0-E02C-4952-A342-21186EBC5546}" uniqueName="1" name="seconds" queryTableFieldId="1" dataDxfId="4"/>
    <tableColumn id="3" xr3:uid="{7479BE1F-26D5-4F7C-AB69-FCED6185E099}" uniqueName="3" name="minutes" queryTableFieldId="3" dataDxfId="3">
      <calculatedColumnFormula>(logtemperature__8[[#This Row],[seconds]]-66)/60</calculatedColumnFormula>
    </tableColumn>
    <tableColumn id="2" xr3:uid="{47933E36-1CA1-4AC8-A915-07F27609C19E}" uniqueName="2" name="temp" queryTableFieldId="2" dataDxf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74E9EF4-D8BE-4C63-8716-075DC2214CEE}" name="logtemperature__9" displayName="logtemperature__9" ref="A1:D114" tableType="queryTable" totalsRowShown="0">
  <autoFilter ref="A1:D114" xr:uid="{F74E9EF4-D8BE-4C63-8716-075DC2214CEE}"/>
  <tableColumns count="4">
    <tableColumn id="1" xr3:uid="{BCB7A720-F895-4EB5-A6CD-062D498ECADA}" uniqueName="1" name="time" queryTableFieldId="1"/>
    <tableColumn id="4" xr3:uid="{F05D7A80-67F6-4769-805B-034841DD8946}" uniqueName="4" name="minutes" queryTableFieldId="4" dataDxfId="1">
      <calculatedColumnFormula>logtemperature__9[[#This Row],[time]]-13</calculatedColumnFormula>
    </tableColumn>
    <tableColumn id="2" xr3:uid="{C6704A63-09F2-4CAB-9AD6-980098BFC120}" uniqueName="2" name="T" queryTableFieldId="2"/>
    <tableColumn id="3" xr3:uid="{198BD953-7E42-4088-8361-9906D0513F0C}" uniqueName="3" name="PWM" queryTableFieldId="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39C6FE9-B519-4657-BDEA-EAB1E1C05AF6}" name="logtemperature__10" displayName="logtemperature__10" ref="A1:D101" tableType="queryTable" totalsRowShown="0">
  <autoFilter ref="A1:D101" xr:uid="{C39C6FE9-B519-4657-BDEA-EAB1E1C05AF6}"/>
  <tableColumns count="4">
    <tableColumn id="1" xr3:uid="{22D2C13A-7DC6-4B5F-A4A1-1BE324720882}" uniqueName="1" name="time" queryTableFieldId="1"/>
    <tableColumn id="4" xr3:uid="{B8D860D2-D258-4FA4-8513-70F29CB77FB4}" uniqueName="4" name="minutes" queryTableFieldId="4" dataDxfId="0">
      <calculatedColumnFormula>logtemperature__10[[#This Row],[time]]-17</calculatedColumnFormula>
    </tableColumn>
    <tableColumn id="2" xr3:uid="{2329B8A9-1F99-4ECE-8C28-C6404469CA22}" uniqueName="2" name="Temp" queryTableFieldId="2"/>
    <tableColumn id="3" xr3:uid="{2905696F-7591-4F06-B508-0400C02F750E}" uniqueName="3" name="PWM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9592A9-6221-468B-8819-BFBC32965420}" name="logtemperature__11" displayName="logtemperature__11" ref="A1:C100" tableType="queryTable" totalsRowShown="0">
  <autoFilter ref="A1:C100" xr:uid="{869592A9-6221-468B-8819-BFBC32965420}"/>
  <tableColumns count="3">
    <tableColumn id="1" xr3:uid="{97808C7E-8EEA-42E3-B0D0-704A5A4235BE}" uniqueName="1" name="time" queryTableFieldId="1"/>
    <tableColumn id="2" xr3:uid="{AE0274CD-B5BB-4190-B850-9E0D8B889E8C}" uniqueName="2" name="T" queryTableFieldId="2"/>
    <tableColumn id="3" xr3:uid="{107A8D62-5907-4DBB-9A62-874C2F31517F}" uniqueName="3" name="PWM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A69A8DC-155A-40BE-964B-330C4AE7FB65}" name="logtemperature__12" displayName="logtemperature__12" ref="A1:C666" tableType="queryTable" totalsRowShown="0">
  <autoFilter ref="A1:C666" xr:uid="{1A69A8DC-155A-40BE-964B-330C4AE7FB65}"/>
  <tableColumns count="3">
    <tableColumn id="1" xr3:uid="{B723E089-BFA3-414F-9330-C9F2243CF283}" uniqueName="1" name="time" queryTableFieldId="1"/>
    <tableColumn id="2" xr3:uid="{B3D192BF-6E1E-4512-A8F2-8333508A1DF5}" uniqueName="2" name="T" queryTableFieldId="2"/>
    <tableColumn id="3" xr3:uid="{142CC8AD-9B8D-4983-B3A2-3BE19A86C1D2}" uniqueName="3" name="PWM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F739-1190-486A-8214-624DE2DC0AB7}">
  <dimension ref="A1:C140"/>
  <sheetViews>
    <sheetView workbookViewId="0">
      <selection activeCell="W28" sqref="W2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9</v>
      </c>
    </row>
    <row r="2" spans="1:3" x14ac:dyDescent="0.25">
      <c r="A2">
        <v>28264</v>
      </c>
      <c r="B2" s="1">
        <f>(logtemperature__7[[#This Row],[seconds]]-28264)/60</f>
        <v>0</v>
      </c>
      <c r="C2" s="1">
        <v>25.85</v>
      </c>
    </row>
    <row r="3" spans="1:3" x14ac:dyDescent="0.25">
      <c r="A3">
        <v>28274</v>
      </c>
      <c r="B3" s="1">
        <f>(logtemperature__7[[#This Row],[seconds]]-28264)/60</f>
        <v>0.16666666666666666</v>
      </c>
      <c r="C3" s="1">
        <v>25.85</v>
      </c>
    </row>
    <row r="4" spans="1:3" x14ac:dyDescent="0.25">
      <c r="A4">
        <v>28284</v>
      </c>
      <c r="B4" s="1">
        <f>(logtemperature__7[[#This Row],[seconds]]-28264)/60</f>
        <v>0.33333333333333331</v>
      </c>
      <c r="C4" s="1">
        <v>25.8</v>
      </c>
    </row>
    <row r="5" spans="1:3" x14ac:dyDescent="0.25">
      <c r="A5">
        <v>28294</v>
      </c>
      <c r="B5" s="1">
        <f>(logtemperature__7[[#This Row],[seconds]]-28264)/60</f>
        <v>0.5</v>
      </c>
      <c r="C5" s="1">
        <v>25.86</v>
      </c>
    </row>
    <row r="6" spans="1:3" x14ac:dyDescent="0.25">
      <c r="A6">
        <v>28304</v>
      </c>
      <c r="B6" s="1">
        <f>(logtemperature__7[[#This Row],[seconds]]-28264)/60</f>
        <v>0.66666666666666663</v>
      </c>
      <c r="C6" s="1">
        <v>25.82</v>
      </c>
    </row>
    <row r="7" spans="1:3" x14ac:dyDescent="0.25">
      <c r="A7">
        <v>28314</v>
      </c>
      <c r="B7" s="1">
        <f>(logtemperature__7[[#This Row],[seconds]]-28264)/60</f>
        <v>0.83333333333333337</v>
      </c>
      <c r="C7" s="1">
        <v>25.86</v>
      </c>
    </row>
    <row r="8" spans="1:3" x14ac:dyDescent="0.25">
      <c r="A8">
        <v>28324</v>
      </c>
      <c r="B8" s="1">
        <f>(logtemperature__7[[#This Row],[seconds]]-28264)/60</f>
        <v>1</v>
      </c>
      <c r="C8" s="1">
        <v>25.79</v>
      </c>
    </row>
    <row r="9" spans="1:3" x14ac:dyDescent="0.25">
      <c r="A9">
        <v>28334</v>
      </c>
      <c r="B9" s="1">
        <f>(logtemperature__7[[#This Row],[seconds]]-28264)/60</f>
        <v>1.1666666666666667</v>
      </c>
      <c r="C9" s="1">
        <v>25.77</v>
      </c>
    </row>
    <row r="10" spans="1:3" x14ac:dyDescent="0.25">
      <c r="A10">
        <v>28344</v>
      </c>
      <c r="B10" s="1">
        <f>(logtemperature__7[[#This Row],[seconds]]-28264)/60</f>
        <v>1.3333333333333333</v>
      </c>
      <c r="C10" s="1">
        <v>25.79</v>
      </c>
    </row>
    <row r="11" spans="1:3" x14ac:dyDescent="0.25">
      <c r="A11">
        <v>28354</v>
      </c>
      <c r="B11" s="1">
        <f>(logtemperature__7[[#This Row],[seconds]]-28264)/60</f>
        <v>1.5</v>
      </c>
      <c r="C11" s="1">
        <v>25.85</v>
      </c>
    </row>
    <row r="12" spans="1:3" x14ac:dyDescent="0.25">
      <c r="A12">
        <v>28364</v>
      </c>
      <c r="B12" s="1">
        <f>(logtemperature__7[[#This Row],[seconds]]-28264)/60</f>
        <v>1.6666666666666667</v>
      </c>
      <c r="C12" s="1">
        <v>26.52</v>
      </c>
    </row>
    <row r="13" spans="1:3" x14ac:dyDescent="0.25">
      <c r="A13">
        <v>28374</v>
      </c>
      <c r="B13" s="1">
        <f>(logtemperature__7[[#This Row],[seconds]]-28264)/60</f>
        <v>1.8333333333333333</v>
      </c>
      <c r="C13" s="1">
        <v>29.96</v>
      </c>
    </row>
    <row r="14" spans="1:3" x14ac:dyDescent="0.25">
      <c r="A14">
        <v>28384</v>
      </c>
      <c r="B14" s="1">
        <f>(logtemperature__7[[#This Row],[seconds]]-28264)/60</f>
        <v>2</v>
      </c>
      <c r="C14" s="1">
        <v>33.85</v>
      </c>
    </row>
    <row r="15" spans="1:3" x14ac:dyDescent="0.25">
      <c r="A15">
        <v>28394</v>
      </c>
      <c r="B15" s="1">
        <f>(logtemperature__7[[#This Row],[seconds]]-28264)/60</f>
        <v>2.1666666666666665</v>
      </c>
      <c r="C15" s="1">
        <v>36.83</v>
      </c>
    </row>
    <row r="16" spans="1:3" x14ac:dyDescent="0.25">
      <c r="A16">
        <v>28404</v>
      </c>
      <c r="B16" s="1">
        <f>(logtemperature__7[[#This Row],[seconds]]-28264)/60</f>
        <v>2.3333333333333335</v>
      </c>
      <c r="C16" s="1">
        <v>39.659999999999997</v>
      </c>
    </row>
    <row r="17" spans="1:3" x14ac:dyDescent="0.25">
      <c r="A17">
        <v>28414</v>
      </c>
      <c r="B17" s="1">
        <f>(logtemperature__7[[#This Row],[seconds]]-28264)/60</f>
        <v>2.5</v>
      </c>
      <c r="C17" s="1">
        <v>41.64</v>
      </c>
    </row>
    <row r="18" spans="1:3" x14ac:dyDescent="0.25">
      <c r="A18">
        <v>28424</v>
      </c>
      <c r="B18" s="1">
        <f>(logtemperature__7[[#This Row],[seconds]]-28264)/60</f>
        <v>2.6666666666666665</v>
      </c>
      <c r="C18" s="1">
        <v>43.64</v>
      </c>
    </row>
    <row r="19" spans="1:3" x14ac:dyDescent="0.25">
      <c r="A19">
        <v>28434</v>
      </c>
      <c r="B19" s="1">
        <f>(logtemperature__7[[#This Row],[seconds]]-28264)/60</f>
        <v>2.8333333333333335</v>
      </c>
      <c r="C19" s="1">
        <v>45.85</v>
      </c>
    </row>
    <row r="20" spans="1:3" x14ac:dyDescent="0.25">
      <c r="A20">
        <v>28444</v>
      </c>
      <c r="B20" s="1">
        <f>(logtemperature__7[[#This Row],[seconds]]-28264)/60</f>
        <v>3</v>
      </c>
      <c r="C20" s="1">
        <v>47.54</v>
      </c>
    </row>
    <row r="21" spans="1:3" x14ac:dyDescent="0.25">
      <c r="A21">
        <v>28454</v>
      </c>
      <c r="B21" s="1">
        <f>(logtemperature__7[[#This Row],[seconds]]-28264)/60</f>
        <v>3.1666666666666665</v>
      </c>
      <c r="C21" s="1">
        <v>48.58</v>
      </c>
    </row>
    <row r="22" spans="1:3" x14ac:dyDescent="0.25">
      <c r="A22">
        <v>28464</v>
      </c>
      <c r="B22" s="1">
        <f>(logtemperature__7[[#This Row],[seconds]]-28264)/60</f>
        <v>3.3333333333333335</v>
      </c>
      <c r="C22" s="1">
        <v>50.2</v>
      </c>
    </row>
    <row r="23" spans="1:3" x14ac:dyDescent="0.25">
      <c r="A23">
        <v>28474</v>
      </c>
      <c r="B23" s="1">
        <f>(logtemperature__7[[#This Row],[seconds]]-28264)/60</f>
        <v>3.5</v>
      </c>
      <c r="C23" s="1">
        <v>50.93</v>
      </c>
    </row>
    <row r="24" spans="1:3" x14ac:dyDescent="0.25">
      <c r="A24">
        <v>28484</v>
      </c>
      <c r="B24" s="1">
        <f>(logtemperature__7[[#This Row],[seconds]]-28264)/60</f>
        <v>3.6666666666666665</v>
      </c>
      <c r="C24" s="1">
        <v>51.8</v>
      </c>
    </row>
    <row r="25" spans="1:3" x14ac:dyDescent="0.25">
      <c r="A25">
        <v>28494</v>
      </c>
      <c r="B25" s="1">
        <f>(logtemperature__7[[#This Row],[seconds]]-28264)/60</f>
        <v>3.8333333333333335</v>
      </c>
      <c r="C25" s="1">
        <v>52.63</v>
      </c>
    </row>
    <row r="26" spans="1:3" x14ac:dyDescent="0.25">
      <c r="A26">
        <v>28504</v>
      </c>
      <c r="B26" s="1">
        <f>(logtemperature__7[[#This Row],[seconds]]-28264)/60</f>
        <v>4</v>
      </c>
      <c r="C26" s="1">
        <v>53.69</v>
      </c>
    </row>
    <row r="27" spans="1:3" x14ac:dyDescent="0.25">
      <c r="A27">
        <v>28514</v>
      </c>
      <c r="B27" s="1">
        <f>(logtemperature__7[[#This Row],[seconds]]-28264)/60</f>
        <v>4.166666666666667</v>
      </c>
      <c r="C27" s="1">
        <v>54.38</v>
      </c>
    </row>
    <row r="28" spans="1:3" x14ac:dyDescent="0.25">
      <c r="A28">
        <v>28524</v>
      </c>
      <c r="B28" s="1">
        <f>(logtemperature__7[[#This Row],[seconds]]-28264)/60</f>
        <v>4.333333333333333</v>
      </c>
      <c r="C28" s="1">
        <v>55.09</v>
      </c>
    </row>
    <row r="29" spans="1:3" x14ac:dyDescent="0.25">
      <c r="A29">
        <v>28534</v>
      </c>
      <c r="B29" s="1">
        <f>(logtemperature__7[[#This Row],[seconds]]-28264)/60</f>
        <v>4.5</v>
      </c>
      <c r="C29" s="1">
        <v>56.1</v>
      </c>
    </row>
    <row r="30" spans="1:3" x14ac:dyDescent="0.25">
      <c r="A30">
        <v>28544</v>
      </c>
      <c r="B30" s="1">
        <f>(logtemperature__7[[#This Row],[seconds]]-28264)/60</f>
        <v>4.666666666666667</v>
      </c>
      <c r="C30" s="1">
        <v>56.93</v>
      </c>
    </row>
    <row r="31" spans="1:3" x14ac:dyDescent="0.25">
      <c r="A31">
        <v>28554</v>
      </c>
      <c r="B31" s="1">
        <f>(logtemperature__7[[#This Row],[seconds]]-28264)/60</f>
        <v>4.833333333333333</v>
      </c>
      <c r="C31" s="1">
        <v>58.39</v>
      </c>
    </row>
    <row r="32" spans="1:3" x14ac:dyDescent="0.25">
      <c r="A32">
        <v>28564</v>
      </c>
      <c r="B32" s="1">
        <f>(logtemperature__7[[#This Row],[seconds]]-28264)/60</f>
        <v>5</v>
      </c>
      <c r="C32" s="1">
        <v>58.86</v>
      </c>
    </row>
    <row r="33" spans="1:3" x14ac:dyDescent="0.25">
      <c r="A33">
        <v>28574</v>
      </c>
      <c r="B33" s="1">
        <f>(logtemperature__7[[#This Row],[seconds]]-28264)/60</f>
        <v>5.166666666666667</v>
      </c>
      <c r="C33" s="1">
        <v>59.8</v>
      </c>
    </row>
    <row r="34" spans="1:3" x14ac:dyDescent="0.25">
      <c r="A34">
        <v>28584</v>
      </c>
      <c r="B34" s="1">
        <f>(logtemperature__7[[#This Row],[seconds]]-28264)/60</f>
        <v>5.333333333333333</v>
      </c>
      <c r="C34" s="1">
        <v>60.58</v>
      </c>
    </row>
    <row r="35" spans="1:3" x14ac:dyDescent="0.25">
      <c r="A35">
        <v>28594</v>
      </c>
      <c r="B35" s="1">
        <f>(logtemperature__7[[#This Row],[seconds]]-28264)/60</f>
        <v>5.5</v>
      </c>
      <c r="C35" s="1">
        <v>61.02</v>
      </c>
    </row>
    <row r="36" spans="1:3" x14ac:dyDescent="0.25">
      <c r="A36">
        <v>28604</v>
      </c>
      <c r="B36" s="1">
        <f>(logtemperature__7[[#This Row],[seconds]]-28264)/60</f>
        <v>5.666666666666667</v>
      </c>
      <c r="C36" s="1">
        <v>61.57</v>
      </c>
    </row>
    <row r="37" spans="1:3" x14ac:dyDescent="0.25">
      <c r="A37">
        <v>28614</v>
      </c>
      <c r="B37" s="1">
        <f>(logtemperature__7[[#This Row],[seconds]]-28264)/60</f>
        <v>5.833333333333333</v>
      </c>
      <c r="C37" s="1">
        <v>62.18</v>
      </c>
    </row>
    <row r="38" spans="1:3" x14ac:dyDescent="0.25">
      <c r="A38">
        <v>28624</v>
      </c>
      <c r="B38" s="1">
        <f>(logtemperature__7[[#This Row],[seconds]]-28264)/60</f>
        <v>6</v>
      </c>
      <c r="C38" s="1">
        <v>62.09</v>
      </c>
    </row>
    <row r="39" spans="1:3" x14ac:dyDescent="0.25">
      <c r="A39">
        <v>28634</v>
      </c>
      <c r="B39" s="1">
        <f>(logtemperature__7[[#This Row],[seconds]]-28264)/60</f>
        <v>6.166666666666667</v>
      </c>
      <c r="C39" s="1">
        <v>63.57</v>
      </c>
    </row>
    <row r="40" spans="1:3" x14ac:dyDescent="0.25">
      <c r="A40">
        <v>28644</v>
      </c>
      <c r="B40" s="1">
        <f>(logtemperature__7[[#This Row],[seconds]]-28264)/60</f>
        <v>6.333333333333333</v>
      </c>
      <c r="C40" s="1">
        <v>64.22</v>
      </c>
    </row>
    <row r="41" spans="1:3" x14ac:dyDescent="0.25">
      <c r="A41">
        <v>28654</v>
      </c>
      <c r="B41" s="1">
        <f>(logtemperature__7[[#This Row],[seconds]]-28264)/60</f>
        <v>6.5</v>
      </c>
      <c r="C41" s="1">
        <v>64.84</v>
      </c>
    </row>
    <row r="42" spans="1:3" x14ac:dyDescent="0.25">
      <c r="A42">
        <v>28664</v>
      </c>
      <c r="B42" s="1">
        <f>(logtemperature__7[[#This Row],[seconds]]-28264)/60</f>
        <v>6.666666666666667</v>
      </c>
      <c r="C42" s="1">
        <v>65.09</v>
      </c>
    </row>
    <row r="43" spans="1:3" x14ac:dyDescent="0.25">
      <c r="A43">
        <v>28674</v>
      </c>
      <c r="B43" s="1">
        <f>(logtemperature__7[[#This Row],[seconds]]-28264)/60</f>
        <v>6.833333333333333</v>
      </c>
      <c r="C43" s="1">
        <v>65.91</v>
      </c>
    </row>
    <row r="44" spans="1:3" x14ac:dyDescent="0.25">
      <c r="A44">
        <v>28684</v>
      </c>
      <c r="B44" s="1">
        <f>(logtemperature__7[[#This Row],[seconds]]-28264)/60</f>
        <v>7</v>
      </c>
      <c r="C44" s="1">
        <v>66.37</v>
      </c>
    </row>
    <row r="45" spans="1:3" x14ac:dyDescent="0.25">
      <c r="A45">
        <v>28694</v>
      </c>
      <c r="B45" s="1">
        <f>(logtemperature__7[[#This Row],[seconds]]-28264)/60</f>
        <v>7.166666666666667</v>
      </c>
      <c r="C45" s="1">
        <v>66.33</v>
      </c>
    </row>
    <row r="46" spans="1:3" x14ac:dyDescent="0.25">
      <c r="A46">
        <v>28704</v>
      </c>
      <c r="B46" s="1">
        <f>(logtemperature__7[[#This Row],[seconds]]-28264)/60</f>
        <v>7.333333333333333</v>
      </c>
      <c r="C46" s="1">
        <v>66.62</v>
      </c>
    </row>
    <row r="47" spans="1:3" x14ac:dyDescent="0.25">
      <c r="A47">
        <v>28714</v>
      </c>
      <c r="B47" s="1">
        <f>(logtemperature__7[[#This Row],[seconds]]-28264)/60</f>
        <v>7.5</v>
      </c>
      <c r="C47" s="1">
        <v>67.83</v>
      </c>
    </row>
    <row r="48" spans="1:3" x14ac:dyDescent="0.25">
      <c r="A48">
        <v>28724</v>
      </c>
      <c r="B48" s="1">
        <f>(logtemperature__7[[#This Row],[seconds]]-28264)/60</f>
        <v>7.666666666666667</v>
      </c>
      <c r="C48" s="1">
        <v>68.959999999999994</v>
      </c>
    </row>
    <row r="49" spans="1:3" x14ac:dyDescent="0.25">
      <c r="A49">
        <v>28734</v>
      </c>
      <c r="B49" s="1">
        <f>(logtemperature__7[[#This Row],[seconds]]-28264)/60</f>
        <v>7.833333333333333</v>
      </c>
      <c r="C49" s="1">
        <v>68.930000000000007</v>
      </c>
    </row>
    <row r="50" spans="1:3" x14ac:dyDescent="0.25">
      <c r="A50">
        <v>28745</v>
      </c>
      <c r="B50" s="1">
        <f>(logtemperature__7[[#This Row],[seconds]]-28264)/60</f>
        <v>8.0166666666666675</v>
      </c>
      <c r="C50" s="1">
        <v>70.13</v>
      </c>
    </row>
    <row r="51" spans="1:3" x14ac:dyDescent="0.25">
      <c r="A51">
        <v>28755</v>
      </c>
      <c r="B51" s="1">
        <f>(logtemperature__7[[#This Row],[seconds]]-28264)/60</f>
        <v>8.1833333333333336</v>
      </c>
      <c r="C51" s="1">
        <v>71.319999999999993</v>
      </c>
    </row>
    <row r="52" spans="1:3" x14ac:dyDescent="0.25">
      <c r="A52">
        <v>28765</v>
      </c>
      <c r="B52" s="1">
        <f>(logtemperature__7[[#This Row],[seconds]]-28264)/60</f>
        <v>8.35</v>
      </c>
      <c r="C52" s="1">
        <v>71.260000000000005</v>
      </c>
    </row>
    <row r="53" spans="1:3" x14ac:dyDescent="0.25">
      <c r="A53">
        <v>28775</v>
      </c>
      <c r="B53" s="1">
        <f>(logtemperature__7[[#This Row],[seconds]]-28264)/60</f>
        <v>8.5166666666666675</v>
      </c>
      <c r="C53" s="1">
        <v>72</v>
      </c>
    </row>
    <row r="54" spans="1:3" x14ac:dyDescent="0.25">
      <c r="A54">
        <v>28785</v>
      </c>
      <c r="B54" s="1">
        <f>(logtemperature__7[[#This Row],[seconds]]-28264)/60</f>
        <v>8.6833333333333336</v>
      </c>
      <c r="C54" s="1">
        <v>72.209999999999994</v>
      </c>
    </row>
    <row r="55" spans="1:3" x14ac:dyDescent="0.25">
      <c r="A55">
        <v>28795</v>
      </c>
      <c r="B55" s="1">
        <f>(logtemperature__7[[#This Row],[seconds]]-28264)/60</f>
        <v>8.85</v>
      </c>
      <c r="C55" s="1">
        <v>73.680000000000007</v>
      </c>
    </row>
    <row r="56" spans="1:3" x14ac:dyDescent="0.25">
      <c r="A56">
        <v>28805</v>
      </c>
      <c r="B56" s="1">
        <f>(logtemperature__7[[#This Row],[seconds]]-28264)/60</f>
        <v>9.0166666666666675</v>
      </c>
      <c r="C56" s="1">
        <v>74.099999999999994</v>
      </c>
    </row>
    <row r="57" spans="1:3" x14ac:dyDescent="0.25">
      <c r="A57">
        <v>28815</v>
      </c>
      <c r="B57" s="1">
        <f>(logtemperature__7[[#This Row],[seconds]]-28264)/60</f>
        <v>9.1833333333333336</v>
      </c>
      <c r="C57" s="1">
        <v>73.94</v>
      </c>
    </row>
    <row r="58" spans="1:3" x14ac:dyDescent="0.25">
      <c r="A58">
        <v>28825</v>
      </c>
      <c r="B58" s="1">
        <f>(logtemperature__7[[#This Row],[seconds]]-28264)/60</f>
        <v>9.35</v>
      </c>
      <c r="C58" s="1">
        <v>74.849999999999994</v>
      </c>
    </row>
    <row r="59" spans="1:3" x14ac:dyDescent="0.25">
      <c r="A59">
        <v>28835</v>
      </c>
      <c r="B59" s="1">
        <f>(logtemperature__7[[#This Row],[seconds]]-28264)/60</f>
        <v>9.5166666666666675</v>
      </c>
      <c r="C59" s="1">
        <v>74.569999999999993</v>
      </c>
    </row>
    <row r="60" spans="1:3" x14ac:dyDescent="0.25">
      <c r="A60">
        <v>28845</v>
      </c>
      <c r="B60" s="1">
        <f>(logtemperature__7[[#This Row],[seconds]]-28264)/60</f>
        <v>9.6833333333333336</v>
      </c>
      <c r="C60" s="1">
        <v>75.14</v>
      </c>
    </row>
    <row r="61" spans="1:3" x14ac:dyDescent="0.25">
      <c r="A61">
        <v>28855</v>
      </c>
      <c r="B61" s="1">
        <f>(logtemperature__7[[#This Row],[seconds]]-28264)/60</f>
        <v>9.85</v>
      </c>
      <c r="C61" s="1">
        <v>75.25</v>
      </c>
    </row>
    <row r="62" spans="1:3" x14ac:dyDescent="0.25">
      <c r="A62">
        <v>28865</v>
      </c>
      <c r="B62" s="1">
        <f>(logtemperature__7[[#This Row],[seconds]]-28264)/60</f>
        <v>10.016666666666667</v>
      </c>
      <c r="C62" s="1">
        <v>75.66</v>
      </c>
    </row>
    <row r="63" spans="1:3" x14ac:dyDescent="0.25">
      <c r="A63">
        <v>28875</v>
      </c>
      <c r="B63" s="1">
        <f>(logtemperature__7[[#This Row],[seconds]]-28264)/60</f>
        <v>10.183333333333334</v>
      </c>
      <c r="C63" s="1">
        <v>76.67</v>
      </c>
    </row>
    <row r="64" spans="1:3" x14ac:dyDescent="0.25">
      <c r="A64">
        <v>28885</v>
      </c>
      <c r="B64" s="1">
        <f>(logtemperature__7[[#This Row],[seconds]]-28264)/60</f>
        <v>10.35</v>
      </c>
      <c r="C64" s="1">
        <v>77.150000000000006</v>
      </c>
    </row>
    <row r="65" spans="1:3" x14ac:dyDescent="0.25">
      <c r="A65">
        <v>28895</v>
      </c>
      <c r="B65" s="1">
        <f>(logtemperature__7[[#This Row],[seconds]]-28264)/60</f>
        <v>10.516666666666667</v>
      </c>
      <c r="C65" s="1">
        <v>77.930000000000007</v>
      </c>
    </row>
    <row r="66" spans="1:3" x14ac:dyDescent="0.25">
      <c r="A66">
        <v>28905</v>
      </c>
      <c r="B66" s="1">
        <f>(logtemperature__7[[#This Row],[seconds]]-28264)/60</f>
        <v>10.683333333333334</v>
      </c>
      <c r="C66" s="1">
        <v>79.03</v>
      </c>
    </row>
    <row r="67" spans="1:3" x14ac:dyDescent="0.25">
      <c r="A67">
        <v>28915</v>
      </c>
      <c r="B67" s="1">
        <f>(logtemperature__7[[#This Row],[seconds]]-28264)/60</f>
        <v>10.85</v>
      </c>
      <c r="C67" s="1">
        <v>78.760000000000005</v>
      </c>
    </row>
    <row r="68" spans="1:3" x14ac:dyDescent="0.25">
      <c r="A68">
        <v>28925</v>
      </c>
      <c r="B68" s="1">
        <f>(logtemperature__7[[#This Row],[seconds]]-28264)/60</f>
        <v>11.016666666666667</v>
      </c>
      <c r="C68" s="1">
        <v>79.040000000000006</v>
      </c>
    </row>
    <row r="69" spans="1:3" x14ac:dyDescent="0.25">
      <c r="A69">
        <v>28935</v>
      </c>
      <c r="B69" s="1">
        <f>(logtemperature__7[[#This Row],[seconds]]-28264)/60</f>
        <v>11.183333333333334</v>
      </c>
      <c r="C69" s="1">
        <v>79.400000000000006</v>
      </c>
    </row>
    <row r="70" spans="1:3" x14ac:dyDescent="0.25">
      <c r="A70">
        <v>28945</v>
      </c>
      <c r="B70" s="1">
        <f>(logtemperature__7[[#This Row],[seconds]]-28264)/60</f>
        <v>11.35</v>
      </c>
      <c r="C70" s="1">
        <v>79.36</v>
      </c>
    </row>
    <row r="71" spans="1:3" x14ac:dyDescent="0.25">
      <c r="A71">
        <v>28955</v>
      </c>
      <c r="B71" s="1">
        <f>(logtemperature__7[[#This Row],[seconds]]-28264)/60</f>
        <v>11.516666666666667</v>
      </c>
      <c r="C71" s="1">
        <v>80.19</v>
      </c>
    </row>
    <row r="72" spans="1:3" x14ac:dyDescent="0.25">
      <c r="A72">
        <v>28965</v>
      </c>
      <c r="B72" s="1">
        <f>(logtemperature__7[[#This Row],[seconds]]-28264)/60</f>
        <v>11.683333333333334</v>
      </c>
      <c r="C72" s="1">
        <v>81.599999999999994</v>
      </c>
    </row>
    <row r="73" spans="1:3" x14ac:dyDescent="0.25">
      <c r="A73">
        <v>28975</v>
      </c>
      <c r="B73" s="1">
        <f>(logtemperature__7[[#This Row],[seconds]]-28264)/60</f>
        <v>11.85</v>
      </c>
      <c r="C73" s="1">
        <v>81.73</v>
      </c>
    </row>
    <row r="74" spans="1:3" x14ac:dyDescent="0.25">
      <c r="A74">
        <v>28985</v>
      </c>
      <c r="B74" s="1">
        <f>(logtemperature__7[[#This Row],[seconds]]-28264)/60</f>
        <v>12.016666666666667</v>
      </c>
      <c r="C74" s="1">
        <v>82.41</v>
      </c>
    </row>
    <row r="75" spans="1:3" x14ac:dyDescent="0.25">
      <c r="A75">
        <v>28995</v>
      </c>
      <c r="B75" s="1">
        <f>(logtemperature__7[[#This Row],[seconds]]-28264)/60</f>
        <v>12.183333333333334</v>
      </c>
      <c r="C75" s="1">
        <v>83.32</v>
      </c>
    </row>
    <row r="76" spans="1:3" x14ac:dyDescent="0.25">
      <c r="A76">
        <v>29005</v>
      </c>
      <c r="B76" s="1">
        <f>(logtemperature__7[[#This Row],[seconds]]-28264)/60</f>
        <v>12.35</v>
      </c>
      <c r="C76" s="1">
        <v>82.54</v>
      </c>
    </row>
    <row r="77" spans="1:3" x14ac:dyDescent="0.25">
      <c r="A77">
        <v>29015</v>
      </c>
      <c r="B77" s="1">
        <f>(logtemperature__7[[#This Row],[seconds]]-28264)/60</f>
        <v>12.516666666666667</v>
      </c>
      <c r="C77" s="1">
        <v>83.27</v>
      </c>
    </row>
    <row r="78" spans="1:3" x14ac:dyDescent="0.25">
      <c r="A78">
        <v>29025</v>
      </c>
      <c r="B78" s="1">
        <f>(logtemperature__7[[#This Row],[seconds]]-28264)/60</f>
        <v>12.683333333333334</v>
      </c>
      <c r="C78" s="1">
        <v>83.75</v>
      </c>
    </row>
    <row r="79" spans="1:3" x14ac:dyDescent="0.25">
      <c r="A79">
        <v>29035</v>
      </c>
      <c r="B79" s="1">
        <f>(logtemperature__7[[#This Row],[seconds]]-28264)/60</f>
        <v>12.85</v>
      </c>
      <c r="C79" s="1">
        <v>83.78</v>
      </c>
    </row>
    <row r="80" spans="1:3" x14ac:dyDescent="0.25">
      <c r="A80">
        <v>29045</v>
      </c>
      <c r="B80" s="1">
        <f>(logtemperature__7[[#This Row],[seconds]]-28264)/60</f>
        <v>13.016666666666667</v>
      </c>
      <c r="C80" s="1">
        <v>84.59</v>
      </c>
    </row>
    <row r="81" spans="1:3" x14ac:dyDescent="0.25">
      <c r="A81">
        <v>29055</v>
      </c>
      <c r="B81" s="1">
        <f>(logtemperature__7[[#This Row],[seconds]]-28264)/60</f>
        <v>13.183333333333334</v>
      </c>
      <c r="C81" s="1">
        <v>85.11</v>
      </c>
    </row>
    <row r="82" spans="1:3" x14ac:dyDescent="0.25">
      <c r="A82">
        <v>29065</v>
      </c>
      <c r="B82" s="1">
        <f>(logtemperature__7[[#This Row],[seconds]]-28264)/60</f>
        <v>13.35</v>
      </c>
      <c r="C82" s="1">
        <v>85.19</v>
      </c>
    </row>
    <row r="83" spans="1:3" x14ac:dyDescent="0.25">
      <c r="A83">
        <v>29075</v>
      </c>
      <c r="B83" s="1">
        <f>(logtemperature__7[[#This Row],[seconds]]-28264)/60</f>
        <v>13.516666666666667</v>
      </c>
      <c r="C83" s="1">
        <v>85.55</v>
      </c>
    </row>
    <row r="84" spans="1:3" x14ac:dyDescent="0.25">
      <c r="A84">
        <v>29085</v>
      </c>
      <c r="B84" s="1">
        <f>(logtemperature__7[[#This Row],[seconds]]-28264)/60</f>
        <v>13.683333333333334</v>
      </c>
      <c r="C84" s="1">
        <v>86.12</v>
      </c>
    </row>
    <row r="85" spans="1:3" x14ac:dyDescent="0.25">
      <c r="A85">
        <v>29095</v>
      </c>
      <c r="B85" s="1">
        <f>(logtemperature__7[[#This Row],[seconds]]-28264)/60</f>
        <v>13.85</v>
      </c>
      <c r="C85" s="1">
        <v>86.64</v>
      </c>
    </row>
    <row r="86" spans="1:3" x14ac:dyDescent="0.25">
      <c r="A86">
        <v>29105</v>
      </c>
      <c r="B86" s="1">
        <f>(logtemperature__7[[#This Row],[seconds]]-28264)/60</f>
        <v>14.016666666666667</v>
      </c>
      <c r="C86" s="1">
        <v>87.24</v>
      </c>
    </row>
    <row r="87" spans="1:3" x14ac:dyDescent="0.25">
      <c r="A87">
        <v>29115</v>
      </c>
      <c r="B87" s="1">
        <f>(logtemperature__7[[#This Row],[seconds]]-28264)/60</f>
        <v>14.183333333333334</v>
      </c>
      <c r="C87" s="1">
        <v>87.05</v>
      </c>
    </row>
    <row r="88" spans="1:3" x14ac:dyDescent="0.25">
      <c r="A88">
        <v>29125</v>
      </c>
      <c r="B88" s="1">
        <f>(logtemperature__7[[#This Row],[seconds]]-28264)/60</f>
        <v>14.35</v>
      </c>
      <c r="C88" s="1">
        <v>86.99</v>
      </c>
    </row>
    <row r="89" spans="1:3" x14ac:dyDescent="0.25">
      <c r="A89">
        <v>29135</v>
      </c>
      <c r="B89" s="1">
        <f>(logtemperature__7[[#This Row],[seconds]]-28264)/60</f>
        <v>14.516666666666667</v>
      </c>
      <c r="C89" s="1">
        <v>87.09</v>
      </c>
    </row>
    <row r="90" spans="1:3" x14ac:dyDescent="0.25">
      <c r="A90">
        <v>29145</v>
      </c>
      <c r="B90" s="1">
        <f>(logtemperature__7[[#This Row],[seconds]]-28264)/60</f>
        <v>14.683333333333334</v>
      </c>
      <c r="C90" s="1">
        <v>87.38</v>
      </c>
    </row>
    <row r="91" spans="1:3" x14ac:dyDescent="0.25">
      <c r="A91">
        <v>29155</v>
      </c>
      <c r="B91" s="1">
        <f>(logtemperature__7[[#This Row],[seconds]]-28264)/60</f>
        <v>14.85</v>
      </c>
      <c r="C91" s="1">
        <v>87.63</v>
      </c>
    </row>
    <row r="92" spans="1:3" x14ac:dyDescent="0.25">
      <c r="A92">
        <v>29165</v>
      </c>
      <c r="B92" s="1">
        <f>(logtemperature__7[[#This Row],[seconds]]-28264)/60</f>
        <v>15.016666666666667</v>
      </c>
      <c r="C92" s="1">
        <v>88.16</v>
      </c>
    </row>
    <row r="93" spans="1:3" x14ac:dyDescent="0.25">
      <c r="A93">
        <v>29175</v>
      </c>
      <c r="B93" s="1">
        <f>(logtemperature__7[[#This Row],[seconds]]-28264)/60</f>
        <v>15.183333333333334</v>
      </c>
      <c r="C93" s="1">
        <v>88.23</v>
      </c>
    </row>
    <row r="94" spans="1:3" x14ac:dyDescent="0.25">
      <c r="A94">
        <v>29185</v>
      </c>
      <c r="B94" s="1">
        <f>(logtemperature__7[[#This Row],[seconds]]-28264)/60</f>
        <v>15.35</v>
      </c>
      <c r="C94" s="1">
        <v>88.92</v>
      </c>
    </row>
    <row r="95" spans="1:3" x14ac:dyDescent="0.25">
      <c r="A95">
        <v>29195</v>
      </c>
      <c r="B95" s="1">
        <f>(logtemperature__7[[#This Row],[seconds]]-28264)/60</f>
        <v>15.516666666666667</v>
      </c>
      <c r="C95" s="1">
        <v>89.61</v>
      </c>
    </row>
    <row r="96" spans="1:3" x14ac:dyDescent="0.25">
      <c r="A96">
        <v>29205</v>
      </c>
      <c r="B96" s="1">
        <f>(logtemperature__7[[#This Row],[seconds]]-28264)/60</f>
        <v>15.683333333333334</v>
      </c>
      <c r="C96" s="1">
        <v>89.52</v>
      </c>
    </row>
    <row r="97" spans="1:3" x14ac:dyDescent="0.25">
      <c r="A97">
        <v>29215</v>
      </c>
      <c r="B97" s="1">
        <f>(logtemperature__7[[#This Row],[seconds]]-28264)/60</f>
        <v>15.85</v>
      </c>
      <c r="C97" s="1">
        <v>89.37</v>
      </c>
    </row>
    <row r="98" spans="1:3" x14ac:dyDescent="0.25">
      <c r="A98">
        <v>29226</v>
      </c>
      <c r="B98" s="1">
        <f>(logtemperature__7[[#This Row],[seconds]]-28264)/60</f>
        <v>16.033333333333335</v>
      </c>
      <c r="C98" s="1">
        <v>89.61</v>
      </c>
    </row>
    <row r="99" spans="1:3" x14ac:dyDescent="0.25">
      <c r="A99">
        <v>29236</v>
      </c>
      <c r="B99" s="1">
        <f>(logtemperature__7[[#This Row],[seconds]]-28264)/60</f>
        <v>16.2</v>
      </c>
      <c r="C99" s="1">
        <v>89.78</v>
      </c>
    </row>
    <row r="100" spans="1:3" x14ac:dyDescent="0.25">
      <c r="A100">
        <v>29246</v>
      </c>
      <c r="B100" s="1">
        <f>(logtemperature__7[[#This Row],[seconds]]-28264)/60</f>
        <v>16.366666666666667</v>
      </c>
      <c r="C100" s="1">
        <v>90.51</v>
      </c>
    </row>
    <row r="101" spans="1:3" x14ac:dyDescent="0.25">
      <c r="A101">
        <v>29256</v>
      </c>
      <c r="B101" s="1">
        <f>(logtemperature__7[[#This Row],[seconds]]-28264)/60</f>
        <v>16.533333333333335</v>
      </c>
      <c r="C101" s="1">
        <v>91.32</v>
      </c>
    </row>
    <row r="102" spans="1:3" x14ac:dyDescent="0.25">
      <c r="A102">
        <v>29266</v>
      </c>
      <c r="B102" s="1">
        <f>(logtemperature__7[[#This Row],[seconds]]-28264)/60</f>
        <v>16.7</v>
      </c>
      <c r="C102" s="1">
        <v>91.69</v>
      </c>
    </row>
    <row r="103" spans="1:3" x14ac:dyDescent="0.25">
      <c r="A103">
        <v>29276</v>
      </c>
      <c r="B103" s="1">
        <f>(logtemperature__7[[#This Row],[seconds]]-28264)/60</f>
        <v>16.866666666666667</v>
      </c>
      <c r="C103" s="1">
        <v>91.88</v>
      </c>
    </row>
    <row r="104" spans="1:3" x14ac:dyDescent="0.25">
      <c r="A104">
        <v>29286</v>
      </c>
      <c r="B104" s="1">
        <f>(logtemperature__7[[#This Row],[seconds]]-28264)/60</f>
        <v>17.033333333333335</v>
      </c>
      <c r="C104" s="1">
        <v>92.54</v>
      </c>
    </row>
    <row r="105" spans="1:3" x14ac:dyDescent="0.25">
      <c r="A105">
        <v>29296</v>
      </c>
      <c r="B105" s="1">
        <f>(logtemperature__7[[#This Row],[seconds]]-28264)/60</f>
        <v>17.2</v>
      </c>
      <c r="C105" s="1">
        <v>92.95</v>
      </c>
    </row>
    <row r="106" spans="1:3" x14ac:dyDescent="0.25">
      <c r="A106">
        <v>29306</v>
      </c>
      <c r="B106" s="1">
        <f>(logtemperature__7[[#This Row],[seconds]]-28264)/60</f>
        <v>17.366666666666667</v>
      </c>
      <c r="C106" s="1">
        <v>92.99</v>
      </c>
    </row>
    <row r="107" spans="1:3" x14ac:dyDescent="0.25">
      <c r="A107">
        <v>29316</v>
      </c>
      <c r="B107" s="1">
        <f>(logtemperature__7[[#This Row],[seconds]]-28264)/60</f>
        <v>17.533333333333335</v>
      </c>
      <c r="C107" s="1">
        <v>92.28</v>
      </c>
    </row>
    <row r="108" spans="1:3" x14ac:dyDescent="0.25">
      <c r="A108">
        <v>29326</v>
      </c>
      <c r="B108" s="1">
        <f>(logtemperature__7[[#This Row],[seconds]]-28264)/60</f>
        <v>17.7</v>
      </c>
      <c r="C108" s="1">
        <v>92.47</v>
      </c>
    </row>
    <row r="109" spans="1:3" x14ac:dyDescent="0.25">
      <c r="A109">
        <v>29336</v>
      </c>
      <c r="B109" s="1">
        <f>(logtemperature__7[[#This Row],[seconds]]-28264)/60</f>
        <v>17.866666666666667</v>
      </c>
      <c r="C109" s="1">
        <v>93.02</v>
      </c>
    </row>
    <row r="110" spans="1:3" x14ac:dyDescent="0.25">
      <c r="A110">
        <v>29346</v>
      </c>
      <c r="B110" s="1">
        <f>(logtemperature__7[[#This Row],[seconds]]-28264)/60</f>
        <v>18.033333333333335</v>
      </c>
      <c r="C110" s="1">
        <v>92.99</v>
      </c>
    </row>
    <row r="111" spans="1:3" x14ac:dyDescent="0.25">
      <c r="A111">
        <v>29356</v>
      </c>
      <c r="B111" s="1">
        <f>(logtemperature__7[[#This Row],[seconds]]-28264)/60</f>
        <v>18.2</v>
      </c>
      <c r="C111" s="1">
        <v>93.85</v>
      </c>
    </row>
    <row r="112" spans="1:3" x14ac:dyDescent="0.25">
      <c r="A112">
        <v>29366</v>
      </c>
      <c r="B112" s="1">
        <f>(logtemperature__7[[#This Row],[seconds]]-28264)/60</f>
        <v>18.366666666666667</v>
      </c>
      <c r="C112" s="1">
        <v>94.32</v>
      </c>
    </row>
    <row r="113" spans="1:3" x14ac:dyDescent="0.25">
      <c r="A113">
        <v>29376</v>
      </c>
      <c r="B113" s="1">
        <f>(logtemperature__7[[#This Row],[seconds]]-28264)/60</f>
        <v>18.533333333333335</v>
      </c>
      <c r="C113" s="1">
        <v>94.52</v>
      </c>
    </row>
    <row r="114" spans="1:3" x14ac:dyDescent="0.25">
      <c r="A114">
        <v>29386</v>
      </c>
      <c r="B114" s="1">
        <f>(logtemperature__7[[#This Row],[seconds]]-28264)/60</f>
        <v>18.7</v>
      </c>
      <c r="C114" s="1">
        <v>93.87</v>
      </c>
    </row>
    <row r="115" spans="1:3" x14ac:dyDescent="0.25">
      <c r="A115">
        <v>29396</v>
      </c>
      <c r="B115" s="1">
        <f>(logtemperature__7[[#This Row],[seconds]]-28264)/60</f>
        <v>18.866666666666667</v>
      </c>
      <c r="C115" s="1">
        <v>94.25</v>
      </c>
    </row>
    <row r="116" spans="1:3" x14ac:dyDescent="0.25">
      <c r="A116">
        <v>29406</v>
      </c>
      <c r="B116" s="1">
        <f>(logtemperature__7[[#This Row],[seconds]]-28264)/60</f>
        <v>19.033333333333335</v>
      </c>
      <c r="C116" s="1">
        <v>95.02</v>
      </c>
    </row>
    <row r="117" spans="1:3" x14ac:dyDescent="0.25">
      <c r="A117">
        <v>29416</v>
      </c>
      <c r="B117" s="1">
        <f>(logtemperature__7[[#This Row],[seconds]]-28264)/60</f>
        <v>19.2</v>
      </c>
      <c r="C117" s="1">
        <v>95.13</v>
      </c>
    </row>
    <row r="118" spans="1:3" x14ac:dyDescent="0.25">
      <c r="A118">
        <v>29426</v>
      </c>
      <c r="B118" s="1">
        <f>(logtemperature__7[[#This Row],[seconds]]-28264)/60</f>
        <v>19.366666666666667</v>
      </c>
      <c r="C118" s="1">
        <v>95.56</v>
      </c>
    </row>
    <row r="119" spans="1:3" x14ac:dyDescent="0.25">
      <c r="A119">
        <v>29436</v>
      </c>
      <c r="B119" s="1">
        <f>(logtemperature__7[[#This Row],[seconds]]-28264)/60</f>
        <v>19.533333333333335</v>
      </c>
      <c r="C119" s="1">
        <v>96.15</v>
      </c>
    </row>
    <row r="120" spans="1:3" x14ac:dyDescent="0.25">
      <c r="A120">
        <v>29446</v>
      </c>
      <c r="B120" s="1">
        <f>(logtemperature__7[[#This Row],[seconds]]-28264)/60</f>
        <v>19.7</v>
      </c>
      <c r="C120" s="1">
        <v>96.6</v>
      </c>
    </row>
    <row r="121" spans="1:3" x14ac:dyDescent="0.25">
      <c r="A121">
        <v>29456</v>
      </c>
      <c r="B121" s="1">
        <f>(logtemperature__7[[#This Row],[seconds]]-28264)/60</f>
        <v>19.866666666666667</v>
      </c>
      <c r="C121" s="1">
        <v>96.63</v>
      </c>
    </row>
    <row r="122" spans="1:3" x14ac:dyDescent="0.25">
      <c r="A122">
        <v>29466</v>
      </c>
      <c r="B122" s="1">
        <f>(logtemperature__7[[#This Row],[seconds]]-28264)/60</f>
        <v>20.033333333333335</v>
      </c>
      <c r="C122" s="1">
        <v>97</v>
      </c>
    </row>
    <row r="123" spans="1:3" x14ac:dyDescent="0.25">
      <c r="A123">
        <v>29476</v>
      </c>
      <c r="B123" s="1">
        <f>(logtemperature__7[[#This Row],[seconds]]-28264)/60</f>
        <v>20.2</v>
      </c>
      <c r="C123" s="1">
        <v>97.41</v>
      </c>
    </row>
    <row r="124" spans="1:3" x14ac:dyDescent="0.25">
      <c r="A124">
        <v>29486</v>
      </c>
      <c r="B124" s="1">
        <f>(logtemperature__7[[#This Row],[seconds]]-28264)/60</f>
        <v>20.366666666666667</v>
      </c>
      <c r="C124" s="1">
        <v>97.44</v>
      </c>
    </row>
    <row r="125" spans="1:3" x14ac:dyDescent="0.25">
      <c r="A125">
        <v>29496</v>
      </c>
      <c r="B125" s="1">
        <f>(logtemperature__7[[#This Row],[seconds]]-28264)/60</f>
        <v>20.533333333333335</v>
      </c>
      <c r="C125" s="1">
        <v>97.71</v>
      </c>
    </row>
    <row r="126" spans="1:3" x14ac:dyDescent="0.25">
      <c r="A126">
        <v>29506</v>
      </c>
      <c r="B126" s="1">
        <f>(logtemperature__7[[#This Row],[seconds]]-28264)/60</f>
        <v>20.7</v>
      </c>
      <c r="C126" s="1">
        <v>97.94</v>
      </c>
    </row>
    <row r="127" spans="1:3" x14ac:dyDescent="0.25">
      <c r="A127">
        <v>29516</v>
      </c>
      <c r="B127" s="1">
        <f>(logtemperature__7[[#This Row],[seconds]]-28264)/60</f>
        <v>20.866666666666667</v>
      </c>
      <c r="C127" s="1">
        <v>99.06</v>
      </c>
    </row>
    <row r="128" spans="1:3" x14ac:dyDescent="0.25">
      <c r="A128">
        <v>29526</v>
      </c>
      <c r="B128" s="1">
        <f>(logtemperature__7[[#This Row],[seconds]]-28264)/60</f>
        <v>21.033333333333335</v>
      </c>
      <c r="C128" s="1">
        <v>98.56</v>
      </c>
    </row>
    <row r="129" spans="1:3" x14ac:dyDescent="0.25">
      <c r="A129">
        <v>29536</v>
      </c>
      <c r="B129" s="1">
        <f>(logtemperature__7[[#This Row],[seconds]]-28264)/60</f>
        <v>21.2</v>
      </c>
      <c r="C129" s="1">
        <v>98.82</v>
      </c>
    </row>
    <row r="130" spans="1:3" x14ac:dyDescent="0.25">
      <c r="A130">
        <v>29546</v>
      </c>
      <c r="B130" s="1">
        <f>(logtemperature__7[[#This Row],[seconds]]-28264)/60</f>
        <v>21.366666666666667</v>
      </c>
      <c r="C130" s="1">
        <v>99.46</v>
      </c>
    </row>
    <row r="131" spans="1:3" x14ac:dyDescent="0.25">
      <c r="A131">
        <v>29556</v>
      </c>
      <c r="B131" s="1">
        <f>(logtemperature__7[[#This Row],[seconds]]-28264)/60</f>
        <v>21.533333333333335</v>
      </c>
      <c r="C131" s="1">
        <v>99.71</v>
      </c>
    </row>
    <row r="132" spans="1:3" x14ac:dyDescent="0.25">
      <c r="A132">
        <v>29566</v>
      </c>
      <c r="B132" s="1">
        <f>(logtemperature__7[[#This Row],[seconds]]-28264)/60</f>
        <v>21.7</v>
      </c>
      <c r="C132" s="1">
        <v>99.12</v>
      </c>
    </row>
    <row r="133" spans="1:3" x14ac:dyDescent="0.25">
      <c r="A133">
        <v>29576</v>
      </c>
      <c r="B133" s="1">
        <f>(logtemperature__7[[#This Row],[seconds]]-28264)/60</f>
        <v>21.866666666666667</v>
      </c>
      <c r="C133" s="1">
        <v>99.38</v>
      </c>
    </row>
    <row r="134" spans="1:3" x14ac:dyDescent="0.25">
      <c r="A134">
        <v>29586</v>
      </c>
      <c r="B134" s="1">
        <f>(logtemperature__7[[#This Row],[seconds]]-28264)/60</f>
        <v>22.033333333333335</v>
      </c>
      <c r="C134" s="1">
        <v>99.5</v>
      </c>
    </row>
    <row r="135" spans="1:3" x14ac:dyDescent="0.25">
      <c r="A135">
        <v>29596</v>
      </c>
      <c r="B135" s="1">
        <f>(logtemperature__7[[#This Row],[seconds]]-28264)/60</f>
        <v>22.2</v>
      </c>
      <c r="C135" s="1">
        <v>99.66</v>
      </c>
    </row>
    <row r="136" spans="1:3" x14ac:dyDescent="0.25">
      <c r="A136">
        <v>29606</v>
      </c>
      <c r="B136" s="1">
        <f>(logtemperature__7[[#This Row],[seconds]]-28264)/60</f>
        <v>22.366666666666667</v>
      </c>
      <c r="C136" s="1">
        <v>99.54</v>
      </c>
    </row>
    <row r="137" spans="1:3" x14ac:dyDescent="0.25">
      <c r="A137">
        <v>29616</v>
      </c>
      <c r="B137" s="1">
        <f>(logtemperature__7[[#This Row],[seconds]]-28264)/60</f>
        <v>22.533333333333335</v>
      </c>
      <c r="C137" s="1">
        <v>99.98</v>
      </c>
    </row>
    <row r="138" spans="1:3" x14ac:dyDescent="0.25">
      <c r="A138">
        <v>29626</v>
      </c>
      <c r="B138" s="1">
        <f>(logtemperature__7[[#This Row],[seconds]]-28264)/60</f>
        <v>22.7</v>
      </c>
      <c r="C138" s="1">
        <v>100.83</v>
      </c>
    </row>
    <row r="139" spans="1:3" x14ac:dyDescent="0.25">
      <c r="A139">
        <v>29636</v>
      </c>
      <c r="B139" s="1">
        <f>(logtemperature__7[[#This Row],[seconds]]-28264)/60</f>
        <v>22.866666666666667</v>
      </c>
      <c r="C139" s="1">
        <v>100.65</v>
      </c>
    </row>
    <row r="140" spans="1:3" x14ac:dyDescent="0.25">
      <c r="A140">
        <v>29646</v>
      </c>
      <c r="B140" s="1">
        <f>(logtemperature__7[[#This Row],[seconds]]-28264)/60</f>
        <v>23.033333333333335</v>
      </c>
      <c r="C140" s="1">
        <v>99.51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ADB9-A701-4743-A834-A1C2B2198B26}">
  <dimension ref="A1:C201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 s="1">
        <v>66</v>
      </c>
      <c r="B2" s="1">
        <f>(logtemperature__8[[#This Row],[seconds]]-66)/60</f>
        <v>0</v>
      </c>
      <c r="C2" s="1">
        <v>23.82</v>
      </c>
    </row>
    <row r="3" spans="1:3" x14ac:dyDescent="0.25">
      <c r="A3" s="1">
        <v>76</v>
      </c>
      <c r="B3" s="1">
        <f>(logtemperature__8[[#This Row],[seconds]]-66)/60</f>
        <v>0.16666666666666666</v>
      </c>
      <c r="C3" s="1">
        <v>23.87</v>
      </c>
    </row>
    <row r="4" spans="1:3" x14ac:dyDescent="0.25">
      <c r="A4" s="1">
        <v>86</v>
      </c>
      <c r="B4" s="1">
        <f>(logtemperature__8[[#This Row],[seconds]]-66)/60</f>
        <v>0.33333333333333331</v>
      </c>
      <c r="C4" s="1">
        <v>23.85</v>
      </c>
    </row>
    <row r="5" spans="1:3" x14ac:dyDescent="0.25">
      <c r="A5" s="1">
        <v>96</v>
      </c>
      <c r="B5" s="1">
        <f>(logtemperature__8[[#This Row],[seconds]]-66)/60</f>
        <v>0.5</v>
      </c>
      <c r="C5" s="1">
        <v>24.02</v>
      </c>
    </row>
    <row r="6" spans="1:3" x14ac:dyDescent="0.25">
      <c r="A6" s="1">
        <v>106</v>
      </c>
      <c r="B6" s="1">
        <f>(logtemperature__8[[#This Row],[seconds]]-66)/60</f>
        <v>0.66666666666666663</v>
      </c>
      <c r="C6" s="1">
        <v>24.14</v>
      </c>
    </row>
    <row r="7" spans="1:3" x14ac:dyDescent="0.25">
      <c r="A7" s="1">
        <v>116</v>
      </c>
      <c r="B7" s="1">
        <f>(logtemperature__8[[#This Row],[seconds]]-66)/60</f>
        <v>0.83333333333333337</v>
      </c>
      <c r="C7" s="1">
        <v>24.51</v>
      </c>
    </row>
    <row r="8" spans="1:3" x14ac:dyDescent="0.25">
      <c r="A8" s="1">
        <v>126</v>
      </c>
      <c r="B8" s="1">
        <f>(logtemperature__8[[#This Row],[seconds]]-66)/60</f>
        <v>1</v>
      </c>
      <c r="C8" s="1">
        <v>26.66</v>
      </c>
    </row>
    <row r="9" spans="1:3" x14ac:dyDescent="0.25">
      <c r="A9" s="1">
        <v>136</v>
      </c>
      <c r="B9" s="1">
        <f>(logtemperature__8[[#This Row],[seconds]]-66)/60</f>
        <v>1.1666666666666667</v>
      </c>
      <c r="C9" s="1">
        <v>30.51</v>
      </c>
    </row>
    <row r="10" spans="1:3" x14ac:dyDescent="0.25">
      <c r="A10" s="1">
        <v>146</v>
      </c>
      <c r="B10" s="1">
        <f>(logtemperature__8[[#This Row],[seconds]]-66)/60</f>
        <v>1.3333333333333333</v>
      </c>
      <c r="C10" s="1">
        <v>33.94</v>
      </c>
    </row>
    <row r="11" spans="1:3" x14ac:dyDescent="0.25">
      <c r="A11" s="1">
        <v>156</v>
      </c>
      <c r="B11" s="1">
        <f>(logtemperature__8[[#This Row],[seconds]]-66)/60</f>
        <v>1.5</v>
      </c>
      <c r="C11" s="1">
        <v>36.58</v>
      </c>
    </row>
    <row r="12" spans="1:3" x14ac:dyDescent="0.25">
      <c r="A12" s="1">
        <v>166</v>
      </c>
      <c r="B12" s="1">
        <f>(logtemperature__8[[#This Row],[seconds]]-66)/60</f>
        <v>1.6666666666666667</v>
      </c>
      <c r="C12" s="1">
        <v>38.69</v>
      </c>
    </row>
    <row r="13" spans="1:3" x14ac:dyDescent="0.25">
      <c r="A13" s="1">
        <v>176</v>
      </c>
      <c r="B13" s="1">
        <f>(logtemperature__8[[#This Row],[seconds]]-66)/60</f>
        <v>1.8333333333333333</v>
      </c>
      <c r="C13" s="1">
        <v>40.11</v>
      </c>
    </row>
    <row r="14" spans="1:3" x14ac:dyDescent="0.25">
      <c r="A14" s="1">
        <v>186</v>
      </c>
      <c r="B14" s="1">
        <f>(logtemperature__8[[#This Row],[seconds]]-66)/60</f>
        <v>2</v>
      </c>
      <c r="C14" s="1">
        <v>41.4</v>
      </c>
    </row>
    <row r="15" spans="1:3" x14ac:dyDescent="0.25">
      <c r="A15" s="1">
        <v>196</v>
      </c>
      <c r="B15" s="1">
        <f>(logtemperature__8[[#This Row],[seconds]]-66)/60</f>
        <v>2.1666666666666665</v>
      </c>
      <c r="C15" s="1">
        <v>43.29</v>
      </c>
    </row>
    <row r="16" spans="1:3" x14ac:dyDescent="0.25">
      <c r="A16" s="1">
        <v>206</v>
      </c>
      <c r="B16" s="1">
        <f>(logtemperature__8[[#This Row],[seconds]]-66)/60</f>
        <v>2.3333333333333335</v>
      </c>
      <c r="C16" s="1">
        <v>44.4</v>
      </c>
    </row>
    <row r="17" spans="1:3" x14ac:dyDescent="0.25">
      <c r="A17" s="1">
        <v>216</v>
      </c>
      <c r="B17" s="1">
        <f>(logtemperature__8[[#This Row],[seconds]]-66)/60</f>
        <v>2.5</v>
      </c>
      <c r="C17" s="1">
        <v>46.37</v>
      </c>
    </row>
    <row r="18" spans="1:3" x14ac:dyDescent="0.25">
      <c r="A18" s="1">
        <v>226</v>
      </c>
      <c r="B18" s="1">
        <f>(logtemperature__8[[#This Row],[seconds]]-66)/60</f>
        <v>2.6666666666666665</v>
      </c>
      <c r="C18" s="1">
        <v>45.76</v>
      </c>
    </row>
    <row r="19" spans="1:3" x14ac:dyDescent="0.25">
      <c r="A19" s="1">
        <v>236</v>
      </c>
      <c r="B19" s="1">
        <f>(logtemperature__8[[#This Row],[seconds]]-66)/60</f>
        <v>2.8333333333333335</v>
      </c>
      <c r="C19" s="1">
        <v>47.42</v>
      </c>
    </row>
    <row r="20" spans="1:3" x14ac:dyDescent="0.25">
      <c r="A20" s="1">
        <v>246</v>
      </c>
      <c r="B20" s="1">
        <f>(logtemperature__8[[#This Row],[seconds]]-66)/60</f>
        <v>3</v>
      </c>
      <c r="C20" s="1">
        <v>49.44</v>
      </c>
    </row>
    <row r="21" spans="1:3" x14ac:dyDescent="0.25">
      <c r="A21" s="1">
        <v>256</v>
      </c>
      <c r="B21" s="1">
        <f>(logtemperature__8[[#This Row],[seconds]]-66)/60</f>
        <v>3.1666666666666665</v>
      </c>
      <c r="C21" s="1">
        <v>50.43</v>
      </c>
    </row>
    <row r="22" spans="1:3" x14ac:dyDescent="0.25">
      <c r="A22" s="1">
        <v>266</v>
      </c>
      <c r="B22" s="1">
        <f>(logtemperature__8[[#This Row],[seconds]]-66)/60</f>
        <v>3.3333333333333335</v>
      </c>
      <c r="C22" s="1">
        <v>51.19</v>
      </c>
    </row>
    <row r="23" spans="1:3" x14ac:dyDescent="0.25">
      <c r="A23" s="1">
        <v>276</v>
      </c>
      <c r="B23" s="1">
        <f>(logtemperature__8[[#This Row],[seconds]]-66)/60</f>
        <v>3.5</v>
      </c>
      <c r="C23" s="1">
        <v>52.46</v>
      </c>
    </row>
    <row r="24" spans="1:3" x14ac:dyDescent="0.25">
      <c r="A24" s="1">
        <v>287</v>
      </c>
      <c r="B24" s="1">
        <f>(logtemperature__8[[#This Row],[seconds]]-66)/60</f>
        <v>3.6833333333333331</v>
      </c>
      <c r="C24" s="1">
        <v>52.26</v>
      </c>
    </row>
    <row r="25" spans="1:3" x14ac:dyDescent="0.25">
      <c r="A25" s="1">
        <v>297</v>
      </c>
      <c r="B25" s="1">
        <f>(logtemperature__8[[#This Row],[seconds]]-66)/60</f>
        <v>3.85</v>
      </c>
      <c r="C25" s="1">
        <v>54.14</v>
      </c>
    </row>
    <row r="26" spans="1:3" x14ac:dyDescent="0.25">
      <c r="A26" s="1">
        <v>307</v>
      </c>
      <c r="B26" s="1">
        <f>(logtemperature__8[[#This Row],[seconds]]-66)/60</f>
        <v>4.0166666666666666</v>
      </c>
      <c r="C26" s="1">
        <v>54.37</v>
      </c>
    </row>
    <row r="27" spans="1:3" x14ac:dyDescent="0.25">
      <c r="A27" s="1">
        <v>317</v>
      </c>
      <c r="B27" s="1">
        <f>(logtemperature__8[[#This Row],[seconds]]-66)/60</f>
        <v>4.1833333333333336</v>
      </c>
      <c r="C27" s="1">
        <v>53.97</v>
      </c>
    </row>
    <row r="28" spans="1:3" x14ac:dyDescent="0.25">
      <c r="A28" s="1">
        <v>327</v>
      </c>
      <c r="B28" s="1">
        <f>(logtemperature__8[[#This Row],[seconds]]-66)/60</f>
        <v>4.3499999999999996</v>
      </c>
      <c r="C28" s="1">
        <v>54.98</v>
      </c>
    </row>
    <row r="29" spans="1:3" x14ac:dyDescent="0.25">
      <c r="A29" s="1">
        <v>337</v>
      </c>
      <c r="B29" s="1">
        <f>(logtemperature__8[[#This Row],[seconds]]-66)/60</f>
        <v>4.5166666666666666</v>
      </c>
      <c r="C29" s="1">
        <v>55.06</v>
      </c>
    </row>
    <row r="30" spans="1:3" x14ac:dyDescent="0.25">
      <c r="A30" s="1">
        <v>347</v>
      </c>
      <c r="B30" s="1">
        <f>(logtemperature__8[[#This Row],[seconds]]-66)/60</f>
        <v>4.6833333333333336</v>
      </c>
      <c r="C30" s="1">
        <v>56.19</v>
      </c>
    </row>
    <row r="31" spans="1:3" x14ac:dyDescent="0.25">
      <c r="A31" s="1">
        <v>357</v>
      </c>
      <c r="B31" s="1">
        <f>(logtemperature__8[[#This Row],[seconds]]-66)/60</f>
        <v>4.8499999999999996</v>
      </c>
      <c r="C31" s="1">
        <v>56.23</v>
      </c>
    </row>
    <row r="32" spans="1:3" x14ac:dyDescent="0.25">
      <c r="A32" s="1">
        <v>367</v>
      </c>
      <c r="B32" s="1">
        <f>(logtemperature__8[[#This Row],[seconds]]-66)/60</f>
        <v>5.0166666666666666</v>
      </c>
      <c r="C32" s="1">
        <v>57.59</v>
      </c>
    </row>
    <row r="33" spans="1:3" x14ac:dyDescent="0.25">
      <c r="A33" s="1">
        <v>377</v>
      </c>
      <c r="B33" s="1">
        <f>(logtemperature__8[[#This Row],[seconds]]-66)/60</f>
        <v>5.1833333333333336</v>
      </c>
      <c r="C33" s="1">
        <v>58.06</v>
      </c>
    </row>
    <row r="34" spans="1:3" x14ac:dyDescent="0.25">
      <c r="A34" s="1">
        <v>387</v>
      </c>
      <c r="B34" s="1">
        <f>(logtemperature__8[[#This Row],[seconds]]-66)/60</f>
        <v>5.35</v>
      </c>
      <c r="C34" s="1">
        <v>58.41</v>
      </c>
    </row>
    <row r="35" spans="1:3" x14ac:dyDescent="0.25">
      <c r="A35" s="1">
        <v>397</v>
      </c>
      <c r="B35" s="1">
        <f>(logtemperature__8[[#This Row],[seconds]]-66)/60</f>
        <v>5.5166666666666666</v>
      </c>
      <c r="C35" s="1">
        <v>59.54</v>
      </c>
    </row>
    <row r="36" spans="1:3" x14ac:dyDescent="0.25">
      <c r="A36" s="1">
        <v>407</v>
      </c>
      <c r="B36" s="1">
        <f>(logtemperature__8[[#This Row],[seconds]]-66)/60</f>
        <v>5.6833333333333336</v>
      </c>
      <c r="C36" s="1">
        <v>60.24</v>
      </c>
    </row>
    <row r="37" spans="1:3" x14ac:dyDescent="0.25">
      <c r="A37" s="1">
        <v>417</v>
      </c>
      <c r="B37" s="1">
        <f>(logtemperature__8[[#This Row],[seconds]]-66)/60</f>
        <v>5.85</v>
      </c>
      <c r="C37" s="1">
        <v>62.2</v>
      </c>
    </row>
    <row r="38" spans="1:3" x14ac:dyDescent="0.25">
      <c r="A38" s="1">
        <v>427</v>
      </c>
      <c r="B38" s="1">
        <f>(logtemperature__8[[#This Row],[seconds]]-66)/60</f>
        <v>6.0166666666666666</v>
      </c>
      <c r="C38" s="1">
        <v>62.54</v>
      </c>
    </row>
    <row r="39" spans="1:3" x14ac:dyDescent="0.25">
      <c r="A39" s="1">
        <v>437</v>
      </c>
      <c r="B39" s="1">
        <f>(logtemperature__8[[#This Row],[seconds]]-66)/60</f>
        <v>6.1833333333333336</v>
      </c>
      <c r="C39" s="1">
        <v>63.64</v>
      </c>
    </row>
    <row r="40" spans="1:3" x14ac:dyDescent="0.25">
      <c r="A40" s="1">
        <v>447</v>
      </c>
      <c r="B40" s="1">
        <f>(logtemperature__8[[#This Row],[seconds]]-66)/60</f>
        <v>6.35</v>
      </c>
      <c r="C40" s="1">
        <v>64.040000000000006</v>
      </c>
    </row>
    <row r="41" spans="1:3" x14ac:dyDescent="0.25">
      <c r="A41" s="1">
        <v>457</v>
      </c>
      <c r="B41" s="1">
        <f>(logtemperature__8[[#This Row],[seconds]]-66)/60</f>
        <v>6.5166666666666666</v>
      </c>
      <c r="C41" s="1">
        <v>64.010000000000005</v>
      </c>
    </row>
    <row r="42" spans="1:3" x14ac:dyDescent="0.25">
      <c r="A42" s="1">
        <v>467</v>
      </c>
      <c r="B42" s="1">
        <f>(logtemperature__8[[#This Row],[seconds]]-66)/60</f>
        <v>6.6833333333333336</v>
      </c>
      <c r="C42" s="1">
        <v>64.98</v>
      </c>
    </row>
    <row r="43" spans="1:3" x14ac:dyDescent="0.25">
      <c r="A43" s="1">
        <v>477</v>
      </c>
      <c r="B43" s="1">
        <f>(logtemperature__8[[#This Row],[seconds]]-66)/60</f>
        <v>6.85</v>
      </c>
      <c r="C43" s="1">
        <v>66.069999999999993</v>
      </c>
    </row>
    <row r="44" spans="1:3" x14ac:dyDescent="0.25">
      <c r="A44" s="1">
        <v>487</v>
      </c>
      <c r="B44" s="1">
        <f>(logtemperature__8[[#This Row],[seconds]]-66)/60</f>
        <v>7.0166666666666666</v>
      </c>
      <c r="C44" s="1">
        <v>64.66</v>
      </c>
    </row>
    <row r="45" spans="1:3" x14ac:dyDescent="0.25">
      <c r="A45" s="1">
        <v>497</v>
      </c>
      <c r="B45" s="1">
        <f>(logtemperature__8[[#This Row],[seconds]]-66)/60</f>
        <v>7.1833333333333336</v>
      </c>
      <c r="C45" s="1">
        <v>64.959999999999994</v>
      </c>
    </row>
    <row r="46" spans="1:3" x14ac:dyDescent="0.25">
      <c r="A46" s="1">
        <v>507</v>
      </c>
      <c r="B46" s="1">
        <f>(logtemperature__8[[#This Row],[seconds]]-66)/60</f>
        <v>7.35</v>
      </c>
      <c r="C46" s="1">
        <v>65.53</v>
      </c>
    </row>
    <row r="47" spans="1:3" x14ac:dyDescent="0.25">
      <c r="A47" s="1">
        <v>517</v>
      </c>
      <c r="B47" s="1">
        <f>(logtemperature__8[[#This Row],[seconds]]-66)/60</f>
        <v>7.5166666666666666</v>
      </c>
      <c r="C47" s="1">
        <v>65.540000000000006</v>
      </c>
    </row>
    <row r="48" spans="1:3" x14ac:dyDescent="0.25">
      <c r="A48" s="1">
        <v>527</v>
      </c>
      <c r="B48" s="1">
        <f>(logtemperature__8[[#This Row],[seconds]]-66)/60</f>
        <v>7.6833333333333336</v>
      </c>
      <c r="C48" s="1">
        <v>67.849999999999994</v>
      </c>
    </row>
    <row r="49" spans="1:3" x14ac:dyDescent="0.25">
      <c r="A49" s="1">
        <v>537</v>
      </c>
      <c r="B49" s="1">
        <f>(logtemperature__8[[#This Row],[seconds]]-66)/60</f>
        <v>7.85</v>
      </c>
      <c r="C49" s="1">
        <v>67.38</v>
      </c>
    </row>
    <row r="50" spans="1:3" x14ac:dyDescent="0.25">
      <c r="A50" s="1">
        <v>547</v>
      </c>
      <c r="B50" s="1">
        <f>(logtemperature__8[[#This Row],[seconds]]-66)/60</f>
        <v>8.0166666666666675</v>
      </c>
      <c r="C50" s="1">
        <v>68.41</v>
      </c>
    </row>
    <row r="51" spans="1:3" x14ac:dyDescent="0.25">
      <c r="A51" s="1">
        <v>557</v>
      </c>
      <c r="B51" s="1">
        <f>(logtemperature__8[[#This Row],[seconds]]-66)/60</f>
        <v>8.1833333333333336</v>
      </c>
      <c r="C51" s="1">
        <v>69.06</v>
      </c>
    </row>
    <row r="52" spans="1:3" x14ac:dyDescent="0.25">
      <c r="A52" s="1">
        <v>567</v>
      </c>
      <c r="B52" s="1">
        <f>(logtemperature__8[[#This Row],[seconds]]-66)/60</f>
        <v>8.35</v>
      </c>
      <c r="C52" s="1">
        <v>70.59</v>
      </c>
    </row>
    <row r="53" spans="1:3" x14ac:dyDescent="0.25">
      <c r="A53" s="1">
        <v>577</v>
      </c>
      <c r="B53" s="1">
        <f>(logtemperature__8[[#This Row],[seconds]]-66)/60</f>
        <v>8.5166666666666675</v>
      </c>
      <c r="C53" s="1">
        <v>71.540000000000006</v>
      </c>
    </row>
    <row r="54" spans="1:3" x14ac:dyDescent="0.25">
      <c r="A54" s="1">
        <v>587</v>
      </c>
      <c r="B54" s="1">
        <f>(logtemperature__8[[#This Row],[seconds]]-66)/60</f>
        <v>8.6833333333333336</v>
      </c>
      <c r="C54" s="1">
        <v>72.31</v>
      </c>
    </row>
    <row r="55" spans="1:3" x14ac:dyDescent="0.25">
      <c r="A55" s="1">
        <v>597</v>
      </c>
      <c r="B55" s="1">
        <f>(logtemperature__8[[#This Row],[seconds]]-66)/60</f>
        <v>8.85</v>
      </c>
      <c r="C55" s="1">
        <v>73.33</v>
      </c>
    </row>
    <row r="56" spans="1:3" x14ac:dyDescent="0.25">
      <c r="A56" s="1">
        <v>607</v>
      </c>
      <c r="B56" s="1">
        <f>(logtemperature__8[[#This Row],[seconds]]-66)/60</f>
        <v>9.0166666666666675</v>
      </c>
      <c r="C56" s="1">
        <v>72.22</v>
      </c>
    </row>
    <row r="57" spans="1:3" x14ac:dyDescent="0.25">
      <c r="A57" s="1">
        <v>617</v>
      </c>
      <c r="B57" s="1">
        <f>(logtemperature__8[[#This Row],[seconds]]-66)/60</f>
        <v>9.1833333333333336</v>
      </c>
      <c r="C57" s="1">
        <v>72.66</v>
      </c>
    </row>
    <row r="58" spans="1:3" x14ac:dyDescent="0.25">
      <c r="A58" s="1">
        <v>627</v>
      </c>
      <c r="B58" s="1">
        <f>(logtemperature__8[[#This Row],[seconds]]-66)/60</f>
        <v>9.35</v>
      </c>
      <c r="C58" s="1">
        <v>73.14</v>
      </c>
    </row>
    <row r="59" spans="1:3" x14ac:dyDescent="0.25">
      <c r="A59" s="1">
        <v>637</v>
      </c>
      <c r="B59" s="1">
        <f>(logtemperature__8[[#This Row],[seconds]]-66)/60</f>
        <v>9.5166666666666675</v>
      </c>
      <c r="C59" s="1">
        <v>74.27</v>
      </c>
    </row>
    <row r="60" spans="1:3" x14ac:dyDescent="0.25">
      <c r="A60" s="1">
        <v>647</v>
      </c>
      <c r="B60" s="1">
        <f>(logtemperature__8[[#This Row],[seconds]]-66)/60</f>
        <v>9.6833333333333336</v>
      </c>
      <c r="C60" s="1">
        <v>75.11</v>
      </c>
    </row>
    <row r="61" spans="1:3" x14ac:dyDescent="0.25">
      <c r="A61" s="1">
        <v>657</v>
      </c>
      <c r="B61" s="1">
        <f>(logtemperature__8[[#This Row],[seconds]]-66)/60</f>
        <v>9.85</v>
      </c>
      <c r="C61" s="1">
        <v>74.7</v>
      </c>
    </row>
    <row r="62" spans="1:3" x14ac:dyDescent="0.25">
      <c r="A62" s="1">
        <v>667</v>
      </c>
      <c r="B62" s="1">
        <f>(logtemperature__8[[#This Row],[seconds]]-66)/60</f>
        <v>10.016666666666667</v>
      </c>
      <c r="C62" s="1">
        <v>75.66</v>
      </c>
    </row>
    <row r="63" spans="1:3" x14ac:dyDescent="0.25">
      <c r="A63" s="1">
        <v>677</v>
      </c>
      <c r="B63" s="1">
        <f>(logtemperature__8[[#This Row],[seconds]]-66)/60</f>
        <v>10.183333333333334</v>
      </c>
      <c r="C63" s="1">
        <v>74.73</v>
      </c>
    </row>
    <row r="64" spans="1:3" x14ac:dyDescent="0.25">
      <c r="A64" s="1">
        <v>687</v>
      </c>
      <c r="B64" s="1">
        <f>(logtemperature__8[[#This Row],[seconds]]-66)/60</f>
        <v>10.35</v>
      </c>
      <c r="C64" s="1">
        <v>75.7</v>
      </c>
    </row>
    <row r="65" spans="1:3" x14ac:dyDescent="0.25">
      <c r="A65" s="1">
        <v>697</v>
      </c>
      <c r="B65" s="1">
        <f>(logtemperature__8[[#This Row],[seconds]]-66)/60</f>
        <v>10.516666666666667</v>
      </c>
      <c r="C65" s="1">
        <v>76.819999999999993</v>
      </c>
    </row>
    <row r="66" spans="1:3" x14ac:dyDescent="0.25">
      <c r="A66" s="1">
        <v>707</v>
      </c>
      <c r="B66" s="1">
        <f>(logtemperature__8[[#This Row],[seconds]]-66)/60</f>
        <v>10.683333333333334</v>
      </c>
      <c r="C66" s="1">
        <v>76</v>
      </c>
    </row>
    <row r="67" spans="1:3" x14ac:dyDescent="0.25">
      <c r="A67" s="1">
        <v>717</v>
      </c>
      <c r="B67" s="1">
        <f>(logtemperature__8[[#This Row],[seconds]]-66)/60</f>
        <v>10.85</v>
      </c>
      <c r="C67" s="1">
        <v>75.09</v>
      </c>
    </row>
    <row r="68" spans="1:3" x14ac:dyDescent="0.25">
      <c r="A68" s="1">
        <v>727</v>
      </c>
      <c r="B68" s="1">
        <f>(logtemperature__8[[#This Row],[seconds]]-66)/60</f>
        <v>11.016666666666667</v>
      </c>
      <c r="C68" s="1">
        <v>74.510000000000005</v>
      </c>
    </row>
    <row r="69" spans="1:3" x14ac:dyDescent="0.25">
      <c r="A69" s="1">
        <v>737</v>
      </c>
      <c r="B69" s="1">
        <f>(logtemperature__8[[#This Row],[seconds]]-66)/60</f>
        <v>11.183333333333334</v>
      </c>
      <c r="C69" s="1">
        <v>75.959999999999994</v>
      </c>
    </row>
    <row r="70" spans="1:3" x14ac:dyDescent="0.25">
      <c r="A70" s="1">
        <v>747</v>
      </c>
      <c r="B70" s="1">
        <f>(logtemperature__8[[#This Row],[seconds]]-66)/60</f>
        <v>11.35</v>
      </c>
      <c r="C70" s="1">
        <v>77.47</v>
      </c>
    </row>
    <row r="71" spans="1:3" x14ac:dyDescent="0.25">
      <c r="A71" s="1">
        <v>757</v>
      </c>
      <c r="B71" s="1">
        <f>(logtemperature__8[[#This Row],[seconds]]-66)/60</f>
        <v>11.516666666666667</v>
      </c>
      <c r="C71" s="1">
        <v>77.88</v>
      </c>
    </row>
    <row r="72" spans="1:3" x14ac:dyDescent="0.25">
      <c r="A72" s="1">
        <v>768</v>
      </c>
      <c r="B72" s="1">
        <f>(logtemperature__8[[#This Row],[seconds]]-66)/60</f>
        <v>11.7</v>
      </c>
      <c r="C72" s="1">
        <v>78.069999999999993</v>
      </c>
    </row>
    <row r="73" spans="1:3" x14ac:dyDescent="0.25">
      <c r="A73" s="1">
        <v>778</v>
      </c>
      <c r="B73" s="1">
        <f>(logtemperature__8[[#This Row],[seconds]]-66)/60</f>
        <v>11.866666666666667</v>
      </c>
      <c r="C73" s="1">
        <v>78.63</v>
      </c>
    </row>
    <row r="74" spans="1:3" x14ac:dyDescent="0.25">
      <c r="A74" s="1">
        <v>788</v>
      </c>
      <c r="B74" s="1">
        <f>(logtemperature__8[[#This Row],[seconds]]-66)/60</f>
        <v>12.033333333333333</v>
      </c>
      <c r="C74" s="1">
        <v>78.569999999999993</v>
      </c>
    </row>
    <row r="75" spans="1:3" x14ac:dyDescent="0.25">
      <c r="A75" s="1">
        <v>798</v>
      </c>
      <c r="B75" s="1">
        <f>(logtemperature__8[[#This Row],[seconds]]-66)/60</f>
        <v>12.2</v>
      </c>
      <c r="C75" s="1">
        <v>79.98</v>
      </c>
    </row>
    <row r="76" spans="1:3" x14ac:dyDescent="0.25">
      <c r="A76" s="1">
        <v>808</v>
      </c>
      <c r="B76" s="1">
        <f>(logtemperature__8[[#This Row],[seconds]]-66)/60</f>
        <v>12.366666666666667</v>
      </c>
      <c r="C76" s="1">
        <v>81.25</v>
      </c>
    </row>
    <row r="77" spans="1:3" x14ac:dyDescent="0.25">
      <c r="A77" s="1">
        <v>818</v>
      </c>
      <c r="B77" s="1">
        <f>(logtemperature__8[[#This Row],[seconds]]-66)/60</f>
        <v>12.533333333333333</v>
      </c>
      <c r="C77" s="1">
        <v>80.28</v>
      </c>
    </row>
    <row r="78" spans="1:3" x14ac:dyDescent="0.25">
      <c r="A78" s="1">
        <v>828</v>
      </c>
      <c r="B78" s="1">
        <f>(logtemperature__8[[#This Row],[seconds]]-66)/60</f>
        <v>12.7</v>
      </c>
      <c r="C78" s="1">
        <v>81.53</v>
      </c>
    </row>
    <row r="79" spans="1:3" x14ac:dyDescent="0.25">
      <c r="A79" s="1">
        <v>838</v>
      </c>
      <c r="B79" s="1">
        <f>(logtemperature__8[[#This Row],[seconds]]-66)/60</f>
        <v>12.866666666666667</v>
      </c>
      <c r="C79" s="1">
        <v>80.03</v>
      </c>
    </row>
    <row r="80" spans="1:3" x14ac:dyDescent="0.25">
      <c r="A80" s="1">
        <v>848</v>
      </c>
      <c r="B80" s="1">
        <f>(logtemperature__8[[#This Row],[seconds]]-66)/60</f>
        <v>13.033333333333333</v>
      </c>
      <c r="C80" s="1">
        <v>80.72</v>
      </c>
    </row>
    <row r="81" spans="1:3" x14ac:dyDescent="0.25">
      <c r="A81" s="1">
        <v>858</v>
      </c>
      <c r="B81" s="1">
        <f>(logtemperature__8[[#This Row],[seconds]]-66)/60</f>
        <v>13.2</v>
      </c>
      <c r="C81" s="1">
        <v>81.38</v>
      </c>
    </row>
    <row r="82" spans="1:3" x14ac:dyDescent="0.25">
      <c r="A82" s="1">
        <v>868</v>
      </c>
      <c r="B82" s="1">
        <f>(logtemperature__8[[#This Row],[seconds]]-66)/60</f>
        <v>13.366666666666667</v>
      </c>
      <c r="C82" s="1">
        <v>82.45</v>
      </c>
    </row>
    <row r="83" spans="1:3" x14ac:dyDescent="0.25">
      <c r="A83" s="1">
        <v>878</v>
      </c>
      <c r="B83" s="1">
        <f>(logtemperature__8[[#This Row],[seconds]]-66)/60</f>
        <v>13.533333333333333</v>
      </c>
      <c r="C83" s="1">
        <v>82.05</v>
      </c>
    </row>
    <row r="84" spans="1:3" x14ac:dyDescent="0.25">
      <c r="A84" s="1">
        <v>888</v>
      </c>
      <c r="B84" s="1">
        <f>(logtemperature__8[[#This Row],[seconds]]-66)/60</f>
        <v>13.7</v>
      </c>
      <c r="C84" s="1">
        <v>82.17</v>
      </c>
    </row>
    <row r="85" spans="1:3" x14ac:dyDescent="0.25">
      <c r="A85" s="1">
        <v>898</v>
      </c>
      <c r="B85" s="1">
        <f>(logtemperature__8[[#This Row],[seconds]]-66)/60</f>
        <v>13.866666666666667</v>
      </c>
      <c r="C85" s="1">
        <v>82.33</v>
      </c>
    </row>
    <row r="86" spans="1:3" x14ac:dyDescent="0.25">
      <c r="A86" s="1">
        <v>908</v>
      </c>
      <c r="B86" s="1">
        <f>(logtemperature__8[[#This Row],[seconds]]-66)/60</f>
        <v>14.033333333333333</v>
      </c>
      <c r="C86" s="1">
        <v>82.63</v>
      </c>
    </row>
    <row r="87" spans="1:3" x14ac:dyDescent="0.25">
      <c r="A87" s="1">
        <v>918</v>
      </c>
      <c r="B87" s="1">
        <f>(logtemperature__8[[#This Row],[seconds]]-66)/60</f>
        <v>14.2</v>
      </c>
      <c r="C87" s="1">
        <v>83.61</v>
      </c>
    </row>
    <row r="88" spans="1:3" x14ac:dyDescent="0.25">
      <c r="A88" s="1">
        <v>928</v>
      </c>
      <c r="B88" s="1">
        <f>(logtemperature__8[[#This Row],[seconds]]-66)/60</f>
        <v>14.366666666666667</v>
      </c>
      <c r="C88" s="1">
        <v>84.3</v>
      </c>
    </row>
    <row r="89" spans="1:3" x14ac:dyDescent="0.25">
      <c r="A89" s="1">
        <v>938</v>
      </c>
      <c r="B89" s="1">
        <f>(logtemperature__8[[#This Row],[seconds]]-66)/60</f>
        <v>14.533333333333333</v>
      </c>
      <c r="C89" s="1">
        <v>84.2</v>
      </c>
    </row>
    <row r="90" spans="1:3" x14ac:dyDescent="0.25">
      <c r="A90" s="1">
        <v>948</v>
      </c>
      <c r="B90" s="1">
        <f>(logtemperature__8[[#This Row],[seconds]]-66)/60</f>
        <v>14.7</v>
      </c>
      <c r="C90" s="1">
        <v>83.97</v>
      </c>
    </row>
    <row r="91" spans="1:3" x14ac:dyDescent="0.25">
      <c r="A91" s="1">
        <v>958</v>
      </c>
      <c r="B91" s="1">
        <f>(logtemperature__8[[#This Row],[seconds]]-66)/60</f>
        <v>14.866666666666667</v>
      </c>
      <c r="C91" s="1">
        <v>84.94</v>
      </c>
    </row>
    <row r="92" spans="1:3" x14ac:dyDescent="0.25">
      <c r="A92" s="1">
        <v>968</v>
      </c>
      <c r="B92" s="1">
        <f>(logtemperature__8[[#This Row],[seconds]]-66)/60</f>
        <v>15.033333333333333</v>
      </c>
      <c r="C92" s="1">
        <v>84.44</v>
      </c>
    </row>
    <row r="93" spans="1:3" x14ac:dyDescent="0.25">
      <c r="A93" s="1">
        <v>978</v>
      </c>
      <c r="B93" s="1">
        <f>(logtemperature__8[[#This Row],[seconds]]-66)/60</f>
        <v>15.2</v>
      </c>
      <c r="C93" s="1">
        <v>86.36</v>
      </c>
    </row>
    <row r="94" spans="1:3" x14ac:dyDescent="0.25">
      <c r="A94" s="1">
        <v>988</v>
      </c>
      <c r="B94" s="1">
        <f>(logtemperature__8[[#This Row],[seconds]]-66)/60</f>
        <v>15.366666666666667</v>
      </c>
      <c r="C94" s="1">
        <v>84.27</v>
      </c>
    </row>
    <row r="95" spans="1:3" x14ac:dyDescent="0.25">
      <c r="A95" s="1">
        <v>998</v>
      </c>
      <c r="B95" s="1">
        <f>(logtemperature__8[[#This Row],[seconds]]-66)/60</f>
        <v>15.533333333333333</v>
      </c>
      <c r="C95" s="1">
        <v>85.09</v>
      </c>
    </row>
    <row r="96" spans="1:3" x14ac:dyDescent="0.25">
      <c r="A96" s="1">
        <v>1008</v>
      </c>
      <c r="B96" s="1">
        <f>(logtemperature__8[[#This Row],[seconds]]-66)/60</f>
        <v>15.7</v>
      </c>
      <c r="C96" s="1">
        <v>86.6</v>
      </c>
    </row>
    <row r="97" spans="1:3" x14ac:dyDescent="0.25">
      <c r="A97" s="1">
        <v>1018</v>
      </c>
      <c r="B97" s="1">
        <f>(logtemperature__8[[#This Row],[seconds]]-66)/60</f>
        <v>15.866666666666667</v>
      </c>
      <c r="C97" s="1">
        <v>86.67</v>
      </c>
    </row>
    <row r="98" spans="1:3" x14ac:dyDescent="0.25">
      <c r="A98" s="1">
        <v>1028</v>
      </c>
      <c r="B98" s="1">
        <f>(logtemperature__8[[#This Row],[seconds]]-66)/60</f>
        <v>16.033333333333335</v>
      </c>
      <c r="C98" s="1">
        <v>87.06</v>
      </c>
    </row>
    <row r="99" spans="1:3" x14ac:dyDescent="0.25">
      <c r="A99" s="1">
        <v>1038</v>
      </c>
      <c r="B99" s="1">
        <f>(logtemperature__8[[#This Row],[seconds]]-66)/60</f>
        <v>16.2</v>
      </c>
      <c r="C99" s="1">
        <v>86.49</v>
      </c>
    </row>
    <row r="100" spans="1:3" x14ac:dyDescent="0.25">
      <c r="A100" s="1">
        <v>1048</v>
      </c>
      <c r="B100" s="1">
        <f>(logtemperature__8[[#This Row],[seconds]]-66)/60</f>
        <v>16.366666666666667</v>
      </c>
      <c r="C100" s="1">
        <v>86.28</v>
      </c>
    </row>
    <row r="101" spans="1:3" x14ac:dyDescent="0.25">
      <c r="A101" s="1">
        <v>1058</v>
      </c>
      <c r="B101" s="1">
        <f>(logtemperature__8[[#This Row],[seconds]]-66)/60</f>
        <v>16.533333333333335</v>
      </c>
      <c r="C101" s="1">
        <v>87.31</v>
      </c>
    </row>
    <row r="102" spans="1:3" x14ac:dyDescent="0.25">
      <c r="A102" s="1">
        <v>1068</v>
      </c>
      <c r="B102" s="1">
        <f>(logtemperature__8[[#This Row],[seconds]]-66)/60</f>
        <v>16.7</v>
      </c>
      <c r="C102" s="1">
        <v>87.12</v>
      </c>
    </row>
    <row r="103" spans="1:3" x14ac:dyDescent="0.25">
      <c r="A103" s="1">
        <v>1078</v>
      </c>
      <c r="B103" s="1">
        <f>(logtemperature__8[[#This Row],[seconds]]-66)/60</f>
        <v>16.866666666666667</v>
      </c>
      <c r="C103" s="1">
        <v>88.5</v>
      </c>
    </row>
    <row r="104" spans="1:3" x14ac:dyDescent="0.25">
      <c r="A104" s="1">
        <v>1088</v>
      </c>
      <c r="B104" s="1">
        <f>(logtemperature__8[[#This Row],[seconds]]-66)/60</f>
        <v>17.033333333333335</v>
      </c>
      <c r="C104" s="1">
        <v>88.63</v>
      </c>
    </row>
    <row r="105" spans="1:3" x14ac:dyDescent="0.25">
      <c r="A105" s="1">
        <v>1098</v>
      </c>
      <c r="B105" s="1">
        <f>(logtemperature__8[[#This Row],[seconds]]-66)/60</f>
        <v>17.2</v>
      </c>
      <c r="C105" s="1">
        <v>89.53</v>
      </c>
    </row>
    <row r="106" spans="1:3" x14ac:dyDescent="0.25">
      <c r="A106" s="1">
        <v>1108</v>
      </c>
      <c r="B106" s="1">
        <f>(logtemperature__8[[#This Row],[seconds]]-66)/60</f>
        <v>17.366666666666667</v>
      </c>
      <c r="C106" s="1">
        <v>89.95</v>
      </c>
    </row>
    <row r="107" spans="1:3" x14ac:dyDescent="0.25">
      <c r="A107" s="1">
        <v>1118</v>
      </c>
      <c r="B107" s="1">
        <f>(logtemperature__8[[#This Row],[seconds]]-66)/60</f>
        <v>17.533333333333335</v>
      </c>
      <c r="C107" s="1">
        <v>89.65</v>
      </c>
    </row>
    <row r="108" spans="1:3" x14ac:dyDescent="0.25">
      <c r="A108" s="1">
        <v>1128</v>
      </c>
      <c r="B108" s="1">
        <f>(logtemperature__8[[#This Row],[seconds]]-66)/60</f>
        <v>17.7</v>
      </c>
      <c r="C108" s="1">
        <v>90.49</v>
      </c>
    </row>
    <row r="109" spans="1:3" x14ac:dyDescent="0.25">
      <c r="A109" s="1">
        <v>1138</v>
      </c>
      <c r="B109" s="1">
        <f>(logtemperature__8[[#This Row],[seconds]]-66)/60</f>
        <v>17.866666666666667</v>
      </c>
      <c r="C109" s="1">
        <v>90.33</v>
      </c>
    </row>
    <row r="110" spans="1:3" x14ac:dyDescent="0.25">
      <c r="A110" s="1">
        <v>1148</v>
      </c>
      <c r="B110" s="1">
        <f>(logtemperature__8[[#This Row],[seconds]]-66)/60</f>
        <v>18.033333333333335</v>
      </c>
      <c r="C110" s="1">
        <v>90.46</v>
      </c>
    </row>
    <row r="111" spans="1:3" x14ac:dyDescent="0.25">
      <c r="A111" s="1">
        <v>1158</v>
      </c>
      <c r="B111" s="1">
        <f>(logtemperature__8[[#This Row],[seconds]]-66)/60</f>
        <v>18.2</v>
      </c>
      <c r="C111" s="1">
        <v>90.47</v>
      </c>
    </row>
    <row r="112" spans="1:3" x14ac:dyDescent="0.25">
      <c r="A112" s="1">
        <v>1168</v>
      </c>
      <c r="B112" s="1">
        <f>(logtemperature__8[[#This Row],[seconds]]-66)/60</f>
        <v>18.366666666666667</v>
      </c>
      <c r="C112" s="1">
        <v>90.92</v>
      </c>
    </row>
    <row r="113" spans="1:3" x14ac:dyDescent="0.25">
      <c r="A113" s="1">
        <v>1178</v>
      </c>
      <c r="B113" s="1">
        <f>(logtemperature__8[[#This Row],[seconds]]-66)/60</f>
        <v>18.533333333333335</v>
      </c>
      <c r="C113" s="1">
        <v>91.62</v>
      </c>
    </row>
    <row r="114" spans="1:3" x14ac:dyDescent="0.25">
      <c r="A114" s="1">
        <v>1188</v>
      </c>
      <c r="B114" s="1">
        <f>(logtemperature__8[[#This Row],[seconds]]-66)/60</f>
        <v>18.7</v>
      </c>
      <c r="C114" s="1">
        <v>90.03</v>
      </c>
    </row>
    <row r="115" spans="1:3" x14ac:dyDescent="0.25">
      <c r="A115" s="1">
        <v>1198</v>
      </c>
      <c r="B115" s="1">
        <f>(logtemperature__8[[#This Row],[seconds]]-66)/60</f>
        <v>18.866666666666667</v>
      </c>
      <c r="C115" s="1">
        <v>90.97</v>
      </c>
    </row>
    <row r="116" spans="1:3" x14ac:dyDescent="0.25">
      <c r="A116" s="1">
        <v>1208</v>
      </c>
      <c r="B116" s="1">
        <f>(logtemperature__8[[#This Row],[seconds]]-66)/60</f>
        <v>19.033333333333335</v>
      </c>
      <c r="C116" s="1">
        <v>92.67</v>
      </c>
    </row>
    <row r="117" spans="1:3" x14ac:dyDescent="0.25">
      <c r="A117" s="1">
        <v>1218</v>
      </c>
      <c r="B117" s="1">
        <f>(logtemperature__8[[#This Row],[seconds]]-66)/60</f>
        <v>19.2</v>
      </c>
      <c r="C117" s="1">
        <v>92.32</v>
      </c>
    </row>
    <row r="118" spans="1:3" x14ac:dyDescent="0.25">
      <c r="A118" s="1">
        <v>1228</v>
      </c>
      <c r="B118" s="1">
        <f>(logtemperature__8[[#This Row],[seconds]]-66)/60</f>
        <v>19.366666666666667</v>
      </c>
      <c r="C118" s="1">
        <v>92.36</v>
      </c>
    </row>
    <row r="119" spans="1:3" x14ac:dyDescent="0.25">
      <c r="A119" s="1">
        <v>1238</v>
      </c>
      <c r="B119" s="1">
        <f>(logtemperature__8[[#This Row],[seconds]]-66)/60</f>
        <v>19.533333333333335</v>
      </c>
      <c r="C119" s="1">
        <v>93.33</v>
      </c>
    </row>
    <row r="120" spans="1:3" x14ac:dyDescent="0.25">
      <c r="A120" s="1">
        <v>1248</v>
      </c>
      <c r="B120" s="1">
        <f>(logtemperature__8[[#This Row],[seconds]]-66)/60</f>
        <v>19.7</v>
      </c>
      <c r="C120" s="1">
        <v>94.24</v>
      </c>
    </row>
    <row r="121" spans="1:3" x14ac:dyDescent="0.25">
      <c r="A121" s="1">
        <v>1259</v>
      </c>
      <c r="B121" s="1">
        <f>(logtemperature__8[[#This Row],[seconds]]-66)/60</f>
        <v>19.883333333333333</v>
      </c>
      <c r="C121" s="1">
        <v>93.94</v>
      </c>
    </row>
    <row r="122" spans="1:3" x14ac:dyDescent="0.25">
      <c r="A122" s="1">
        <v>1269</v>
      </c>
      <c r="B122" s="1">
        <f>(logtemperature__8[[#This Row],[seconds]]-66)/60</f>
        <v>20.05</v>
      </c>
      <c r="C122" s="1">
        <v>93.85</v>
      </c>
    </row>
    <row r="123" spans="1:3" x14ac:dyDescent="0.25">
      <c r="A123" s="1">
        <v>1279</v>
      </c>
      <c r="B123" s="1">
        <f>(logtemperature__8[[#This Row],[seconds]]-66)/60</f>
        <v>20.216666666666665</v>
      </c>
      <c r="C123" s="1">
        <v>94.42</v>
      </c>
    </row>
    <row r="124" spans="1:3" x14ac:dyDescent="0.25">
      <c r="A124" s="1">
        <v>1289</v>
      </c>
      <c r="B124" s="1">
        <f>(logtemperature__8[[#This Row],[seconds]]-66)/60</f>
        <v>20.383333333333333</v>
      </c>
      <c r="C124" s="1">
        <v>94.07</v>
      </c>
    </row>
    <row r="125" spans="1:3" x14ac:dyDescent="0.25">
      <c r="A125" s="1">
        <v>1299</v>
      </c>
      <c r="B125" s="1">
        <f>(logtemperature__8[[#This Row],[seconds]]-66)/60</f>
        <v>20.55</v>
      </c>
      <c r="C125" s="1">
        <v>94.75</v>
      </c>
    </row>
    <row r="126" spans="1:3" x14ac:dyDescent="0.25">
      <c r="A126" s="1">
        <v>1309</v>
      </c>
      <c r="B126" s="1">
        <f>(logtemperature__8[[#This Row],[seconds]]-66)/60</f>
        <v>20.716666666666665</v>
      </c>
      <c r="C126" s="1">
        <v>95.46</v>
      </c>
    </row>
    <row r="127" spans="1:3" x14ac:dyDescent="0.25">
      <c r="A127" s="1">
        <v>1319</v>
      </c>
      <c r="B127" s="1">
        <f>(logtemperature__8[[#This Row],[seconds]]-66)/60</f>
        <v>20.883333333333333</v>
      </c>
      <c r="C127" s="1">
        <v>94.46</v>
      </c>
    </row>
    <row r="128" spans="1:3" x14ac:dyDescent="0.25">
      <c r="A128" s="1">
        <v>1329</v>
      </c>
      <c r="B128" s="1">
        <f>(logtemperature__8[[#This Row],[seconds]]-66)/60</f>
        <v>21.05</v>
      </c>
      <c r="C128" s="1">
        <v>94.83</v>
      </c>
    </row>
    <row r="129" spans="1:3" x14ac:dyDescent="0.25">
      <c r="A129" s="1">
        <v>1339</v>
      </c>
      <c r="B129" s="1">
        <f>(logtemperature__8[[#This Row],[seconds]]-66)/60</f>
        <v>21.216666666666665</v>
      </c>
      <c r="C129" s="1">
        <v>95.36</v>
      </c>
    </row>
    <row r="130" spans="1:3" x14ac:dyDescent="0.25">
      <c r="A130" s="1">
        <v>1349</v>
      </c>
      <c r="B130" s="1">
        <f>(logtemperature__8[[#This Row],[seconds]]-66)/60</f>
        <v>21.383333333333333</v>
      </c>
      <c r="C130" s="1">
        <v>95.81</v>
      </c>
    </row>
    <row r="131" spans="1:3" x14ac:dyDescent="0.25">
      <c r="A131" s="1">
        <v>1359</v>
      </c>
      <c r="B131" s="1">
        <f>(logtemperature__8[[#This Row],[seconds]]-66)/60</f>
        <v>21.55</v>
      </c>
      <c r="C131" s="1">
        <v>95.97</v>
      </c>
    </row>
    <row r="132" spans="1:3" x14ac:dyDescent="0.25">
      <c r="A132" s="1">
        <v>1369</v>
      </c>
      <c r="B132" s="1">
        <f>(logtemperature__8[[#This Row],[seconds]]-66)/60</f>
        <v>21.716666666666665</v>
      </c>
      <c r="C132" s="1">
        <v>96.52</v>
      </c>
    </row>
    <row r="133" spans="1:3" x14ac:dyDescent="0.25">
      <c r="A133" s="1">
        <v>1379</v>
      </c>
      <c r="B133" s="1">
        <f>(logtemperature__8[[#This Row],[seconds]]-66)/60</f>
        <v>21.883333333333333</v>
      </c>
      <c r="C133" s="1">
        <v>96.09</v>
      </c>
    </row>
    <row r="134" spans="1:3" x14ac:dyDescent="0.25">
      <c r="A134" s="1">
        <v>1389</v>
      </c>
      <c r="B134" s="1">
        <f>(logtemperature__8[[#This Row],[seconds]]-66)/60</f>
        <v>22.05</v>
      </c>
      <c r="C134" s="1">
        <v>96.72</v>
      </c>
    </row>
    <row r="135" spans="1:3" x14ac:dyDescent="0.25">
      <c r="A135" s="1">
        <v>1399</v>
      </c>
      <c r="B135" s="1">
        <f>(logtemperature__8[[#This Row],[seconds]]-66)/60</f>
        <v>22.216666666666665</v>
      </c>
      <c r="C135" s="1">
        <v>96.69</v>
      </c>
    </row>
    <row r="136" spans="1:3" x14ac:dyDescent="0.25">
      <c r="A136" s="1">
        <v>1409</v>
      </c>
      <c r="B136" s="1">
        <f>(logtemperature__8[[#This Row],[seconds]]-66)/60</f>
        <v>22.383333333333333</v>
      </c>
      <c r="C136" s="1">
        <v>97.57</v>
      </c>
    </row>
    <row r="137" spans="1:3" x14ac:dyDescent="0.25">
      <c r="A137" s="1">
        <v>1419</v>
      </c>
      <c r="B137" s="1">
        <f>(logtemperature__8[[#This Row],[seconds]]-66)/60</f>
        <v>22.55</v>
      </c>
      <c r="C137" s="1">
        <v>98.47</v>
      </c>
    </row>
    <row r="138" spans="1:3" x14ac:dyDescent="0.25">
      <c r="A138" s="1">
        <v>1429</v>
      </c>
      <c r="B138" s="1">
        <f>(logtemperature__8[[#This Row],[seconds]]-66)/60</f>
        <v>22.716666666666665</v>
      </c>
      <c r="C138" s="1">
        <v>97.33</v>
      </c>
    </row>
    <row r="139" spans="1:3" x14ac:dyDescent="0.25">
      <c r="A139" s="1">
        <v>1439</v>
      </c>
      <c r="B139" s="1">
        <f>(logtemperature__8[[#This Row],[seconds]]-66)/60</f>
        <v>22.883333333333333</v>
      </c>
      <c r="C139" s="1">
        <v>98.01</v>
      </c>
    </row>
    <row r="140" spans="1:3" x14ac:dyDescent="0.25">
      <c r="A140" s="1">
        <v>1449</v>
      </c>
      <c r="B140" s="1">
        <f>(logtemperature__8[[#This Row],[seconds]]-66)/60</f>
        <v>23.05</v>
      </c>
      <c r="C140" s="1">
        <v>97.39</v>
      </c>
    </row>
    <row r="141" spans="1:3" x14ac:dyDescent="0.25">
      <c r="A141" s="1">
        <v>1459</v>
      </c>
      <c r="B141" s="1">
        <f>(logtemperature__8[[#This Row],[seconds]]-66)/60</f>
        <v>23.216666666666665</v>
      </c>
      <c r="C141" s="1">
        <v>98.72</v>
      </c>
    </row>
    <row r="142" spans="1:3" x14ac:dyDescent="0.25">
      <c r="A142" s="1">
        <v>1469</v>
      </c>
      <c r="B142" s="1">
        <f>(logtemperature__8[[#This Row],[seconds]]-66)/60</f>
        <v>23.383333333333333</v>
      </c>
      <c r="C142" s="1">
        <v>99.31</v>
      </c>
    </row>
    <row r="143" spans="1:3" x14ac:dyDescent="0.25">
      <c r="A143" s="1">
        <v>1479</v>
      </c>
      <c r="B143" s="1">
        <f>(logtemperature__8[[#This Row],[seconds]]-66)/60</f>
        <v>23.55</v>
      </c>
      <c r="C143" s="1">
        <v>99.15</v>
      </c>
    </row>
    <row r="144" spans="1:3" x14ac:dyDescent="0.25">
      <c r="A144" s="1">
        <v>1489</v>
      </c>
      <c r="B144" s="1">
        <f>(logtemperature__8[[#This Row],[seconds]]-66)/60</f>
        <v>23.716666666666665</v>
      </c>
      <c r="C144" s="1">
        <v>100</v>
      </c>
    </row>
    <row r="145" spans="1:3" x14ac:dyDescent="0.25">
      <c r="A145" s="1">
        <v>1499</v>
      </c>
      <c r="B145" s="1">
        <f>(logtemperature__8[[#This Row],[seconds]]-66)/60</f>
        <v>23.883333333333333</v>
      </c>
      <c r="C145" s="1">
        <v>100.39</v>
      </c>
    </row>
    <row r="146" spans="1:3" x14ac:dyDescent="0.25">
      <c r="A146" s="1">
        <v>1509</v>
      </c>
      <c r="B146" s="1">
        <f>(logtemperature__8[[#This Row],[seconds]]-66)/60</f>
        <v>24.05</v>
      </c>
      <c r="C146" s="1">
        <v>100.98</v>
      </c>
    </row>
    <row r="147" spans="1:3" x14ac:dyDescent="0.25">
      <c r="A147" s="1">
        <v>1519</v>
      </c>
      <c r="B147" s="1">
        <f>(logtemperature__8[[#This Row],[seconds]]-66)/60</f>
        <v>24.216666666666665</v>
      </c>
      <c r="C147" s="1">
        <v>99.86</v>
      </c>
    </row>
    <row r="148" spans="1:3" x14ac:dyDescent="0.25">
      <c r="A148" s="1">
        <v>1529</v>
      </c>
      <c r="B148" s="1">
        <f>(logtemperature__8[[#This Row],[seconds]]-66)/60</f>
        <v>24.383333333333333</v>
      </c>
      <c r="C148" s="1">
        <v>100.1</v>
      </c>
    </row>
    <row r="149" spans="1:3" x14ac:dyDescent="0.25">
      <c r="A149" s="1">
        <v>1539</v>
      </c>
      <c r="B149" s="1">
        <f>(logtemperature__8[[#This Row],[seconds]]-66)/60</f>
        <v>24.55</v>
      </c>
      <c r="C149" s="1">
        <v>100.76</v>
      </c>
    </row>
    <row r="150" spans="1:3" x14ac:dyDescent="0.25">
      <c r="A150" s="1">
        <v>1549</v>
      </c>
      <c r="B150" s="1">
        <f>(logtemperature__8[[#This Row],[seconds]]-66)/60</f>
        <v>24.716666666666665</v>
      </c>
      <c r="C150" s="1">
        <v>101.11</v>
      </c>
    </row>
    <row r="151" spans="1:3" x14ac:dyDescent="0.25">
      <c r="A151" s="1">
        <v>1559</v>
      </c>
      <c r="B151" s="1">
        <f>(logtemperature__8[[#This Row],[seconds]]-66)/60</f>
        <v>24.883333333333333</v>
      </c>
      <c r="C151" s="1">
        <v>101.25</v>
      </c>
    </row>
    <row r="152" spans="1:3" x14ac:dyDescent="0.25">
      <c r="A152" s="1">
        <v>1569</v>
      </c>
      <c r="B152" s="1">
        <f>(logtemperature__8[[#This Row],[seconds]]-66)/60</f>
        <v>25.05</v>
      </c>
      <c r="C152" s="1">
        <v>101.55</v>
      </c>
    </row>
    <row r="153" spans="1:3" x14ac:dyDescent="0.25">
      <c r="A153" s="1">
        <v>1579</v>
      </c>
      <c r="B153" s="1">
        <f>(logtemperature__8[[#This Row],[seconds]]-66)/60</f>
        <v>25.216666666666665</v>
      </c>
      <c r="C153" s="1">
        <v>102.39</v>
      </c>
    </row>
    <row r="154" spans="1:3" x14ac:dyDescent="0.25">
      <c r="A154" s="1">
        <v>1589</v>
      </c>
      <c r="B154" s="1">
        <f>(logtemperature__8[[#This Row],[seconds]]-66)/60</f>
        <v>25.383333333333333</v>
      </c>
      <c r="C154" s="1">
        <v>100.52</v>
      </c>
    </row>
    <row r="155" spans="1:3" x14ac:dyDescent="0.25">
      <c r="A155" s="1">
        <v>1599</v>
      </c>
      <c r="B155" s="1">
        <f>(logtemperature__8[[#This Row],[seconds]]-66)/60</f>
        <v>25.55</v>
      </c>
      <c r="C155" s="1">
        <v>99.92</v>
      </c>
    </row>
    <row r="156" spans="1:3" x14ac:dyDescent="0.25">
      <c r="A156" s="1">
        <v>1609</v>
      </c>
      <c r="B156" s="1">
        <f>(logtemperature__8[[#This Row],[seconds]]-66)/60</f>
        <v>25.716666666666665</v>
      </c>
      <c r="C156" s="1">
        <v>101.5</v>
      </c>
    </row>
    <row r="157" spans="1:3" x14ac:dyDescent="0.25">
      <c r="A157" s="1">
        <v>1619</v>
      </c>
      <c r="B157" s="1">
        <f>(logtemperature__8[[#This Row],[seconds]]-66)/60</f>
        <v>25.883333333333333</v>
      </c>
      <c r="C157" s="1">
        <v>102.28</v>
      </c>
    </row>
    <row r="158" spans="1:3" x14ac:dyDescent="0.25">
      <c r="A158" s="1">
        <v>1629</v>
      </c>
      <c r="B158" s="1">
        <f>(logtemperature__8[[#This Row],[seconds]]-66)/60</f>
        <v>26.05</v>
      </c>
      <c r="C158" s="1">
        <v>102.94</v>
      </c>
    </row>
    <row r="159" spans="1:3" x14ac:dyDescent="0.25">
      <c r="A159" s="1">
        <v>1639</v>
      </c>
      <c r="B159" s="1">
        <f>(logtemperature__8[[#This Row],[seconds]]-66)/60</f>
        <v>26.216666666666665</v>
      </c>
      <c r="C159" s="1">
        <v>103.79</v>
      </c>
    </row>
    <row r="160" spans="1:3" x14ac:dyDescent="0.25">
      <c r="A160" s="1">
        <v>1649</v>
      </c>
      <c r="B160" s="1">
        <f>(logtemperature__8[[#This Row],[seconds]]-66)/60</f>
        <v>26.383333333333333</v>
      </c>
      <c r="C160" s="1">
        <v>103.26</v>
      </c>
    </row>
    <row r="161" spans="1:3" x14ac:dyDescent="0.25">
      <c r="A161" s="1">
        <v>1659</v>
      </c>
      <c r="B161" s="1">
        <f>(logtemperature__8[[#This Row],[seconds]]-66)/60</f>
        <v>26.55</v>
      </c>
      <c r="C161" s="1">
        <v>103.25</v>
      </c>
    </row>
    <row r="162" spans="1:3" x14ac:dyDescent="0.25">
      <c r="A162" s="1">
        <v>1669</v>
      </c>
      <c r="B162" s="1">
        <f>(logtemperature__8[[#This Row],[seconds]]-66)/60</f>
        <v>26.716666666666665</v>
      </c>
      <c r="C162" s="1">
        <v>103.48</v>
      </c>
    </row>
    <row r="163" spans="1:3" x14ac:dyDescent="0.25">
      <c r="A163" s="1">
        <v>1679</v>
      </c>
      <c r="B163" s="1">
        <f>(logtemperature__8[[#This Row],[seconds]]-66)/60</f>
        <v>26.883333333333333</v>
      </c>
      <c r="C163" s="1">
        <v>103.6</v>
      </c>
    </row>
    <row r="164" spans="1:3" x14ac:dyDescent="0.25">
      <c r="A164" s="1">
        <v>1689</v>
      </c>
      <c r="B164" s="1">
        <f>(logtemperature__8[[#This Row],[seconds]]-66)/60</f>
        <v>27.05</v>
      </c>
      <c r="C164" s="1">
        <v>104.75</v>
      </c>
    </row>
    <row r="165" spans="1:3" x14ac:dyDescent="0.25">
      <c r="A165" s="1">
        <v>1699</v>
      </c>
      <c r="B165" s="1">
        <f>(logtemperature__8[[#This Row],[seconds]]-66)/60</f>
        <v>27.216666666666665</v>
      </c>
      <c r="C165" s="1">
        <v>104.1</v>
      </c>
    </row>
    <row r="166" spans="1:3" x14ac:dyDescent="0.25">
      <c r="A166" s="1">
        <v>1709</v>
      </c>
      <c r="B166" s="1">
        <f>(logtemperature__8[[#This Row],[seconds]]-66)/60</f>
        <v>27.383333333333333</v>
      </c>
      <c r="C166" s="1">
        <v>104.52</v>
      </c>
    </row>
    <row r="167" spans="1:3" x14ac:dyDescent="0.25">
      <c r="A167" s="1">
        <v>1719</v>
      </c>
      <c r="B167" s="1">
        <f>(logtemperature__8[[#This Row],[seconds]]-66)/60</f>
        <v>27.55</v>
      </c>
      <c r="C167" s="1">
        <v>103.91</v>
      </c>
    </row>
    <row r="168" spans="1:3" x14ac:dyDescent="0.25">
      <c r="A168" s="1">
        <v>1729</v>
      </c>
      <c r="B168" s="1">
        <f>(logtemperature__8[[#This Row],[seconds]]-66)/60</f>
        <v>27.716666666666665</v>
      </c>
      <c r="C168" s="1">
        <v>103.42</v>
      </c>
    </row>
    <row r="169" spans="1:3" x14ac:dyDescent="0.25">
      <c r="A169" s="1">
        <v>1739</v>
      </c>
      <c r="B169" s="1">
        <f>(logtemperature__8[[#This Row],[seconds]]-66)/60</f>
        <v>27.883333333333333</v>
      </c>
      <c r="C169" s="1">
        <v>103.84</v>
      </c>
    </row>
    <row r="170" spans="1:3" x14ac:dyDescent="0.25">
      <c r="A170" s="1">
        <v>1750</v>
      </c>
      <c r="B170" s="1">
        <f>(logtemperature__8[[#This Row],[seconds]]-66)/60</f>
        <v>28.066666666666666</v>
      </c>
      <c r="C170" s="1">
        <v>104.61</v>
      </c>
    </row>
    <row r="171" spans="1:3" x14ac:dyDescent="0.25">
      <c r="A171" s="1">
        <v>1760</v>
      </c>
      <c r="B171" s="1">
        <f>(logtemperature__8[[#This Row],[seconds]]-66)/60</f>
        <v>28.233333333333334</v>
      </c>
      <c r="C171" s="1">
        <v>104.84</v>
      </c>
    </row>
    <row r="172" spans="1:3" x14ac:dyDescent="0.25">
      <c r="A172" s="1">
        <v>1770</v>
      </c>
      <c r="B172" s="1">
        <f>(logtemperature__8[[#This Row],[seconds]]-66)/60</f>
        <v>28.4</v>
      </c>
      <c r="C172" s="1">
        <v>103.25</v>
      </c>
    </row>
    <row r="173" spans="1:3" x14ac:dyDescent="0.25">
      <c r="A173" s="1">
        <v>1780</v>
      </c>
      <c r="B173" s="1">
        <f>(logtemperature__8[[#This Row],[seconds]]-66)/60</f>
        <v>28.566666666666666</v>
      </c>
      <c r="C173" s="1">
        <v>104.34</v>
      </c>
    </row>
    <row r="174" spans="1:3" x14ac:dyDescent="0.25">
      <c r="A174" s="1">
        <v>1790</v>
      </c>
      <c r="B174" s="1">
        <f>(logtemperature__8[[#This Row],[seconds]]-66)/60</f>
        <v>28.733333333333334</v>
      </c>
      <c r="C174" s="1">
        <v>105.6</v>
      </c>
    </row>
    <row r="175" spans="1:3" x14ac:dyDescent="0.25">
      <c r="A175" s="1">
        <v>1800</v>
      </c>
      <c r="B175" s="1">
        <f>(logtemperature__8[[#This Row],[seconds]]-66)/60</f>
        <v>28.9</v>
      </c>
      <c r="C175" s="1">
        <v>105.14</v>
      </c>
    </row>
    <row r="176" spans="1:3" x14ac:dyDescent="0.25">
      <c r="A176" s="1">
        <v>1810</v>
      </c>
      <c r="B176" s="1">
        <f>(logtemperature__8[[#This Row],[seconds]]-66)/60</f>
        <v>29.066666666666666</v>
      </c>
      <c r="C176" s="1">
        <v>105.01</v>
      </c>
    </row>
    <row r="177" spans="1:3" x14ac:dyDescent="0.25">
      <c r="A177" s="1">
        <v>1820</v>
      </c>
      <c r="B177" s="1">
        <f>(logtemperature__8[[#This Row],[seconds]]-66)/60</f>
        <v>29.233333333333334</v>
      </c>
      <c r="C177" s="1">
        <v>104.85</v>
      </c>
    </row>
    <row r="178" spans="1:3" x14ac:dyDescent="0.25">
      <c r="A178" s="1">
        <v>1830</v>
      </c>
      <c r="B178" s="1">
        <f>(logtemperature__8[[#This Row],[seconds]]-66)/60</f>
        <v>29.4</v>
      </c>
      <c r="C178" s="1">
        <v>105.92</v>
      </c>
    </row>
    <row r="179" spans="1:3" x14ac:dyDescent="0.25">
      <c r="A179" s="1">
        <v>1840</v>
      </c>
      <c r="B179" s="1">
        <f>(logtemperature__8[[#This Row],[seconds]]-66)/60</f>
        <v>29.566666666666666</v>
      </c>
      <c r="C179" s="1">
        <v>106.9</v>
      </c>
    </row>
    <row r="180" spans="1:3" x14ac:dyDescent="0.25">
      <c r="A180" s="1">
        <v>1850</v>
      </c>
      <c r="B180" s="1">
        <f>(logtemperature__8[[#This Row],[seconds]]-66)/60</f>
        <v>29.733333333333334</v>
      </c>
      <c r="C180" s="1">
        <v>107.31</v>
      </c>
    </row>
    <row r="181" spans="1:3" x14ac:dyDescent="0.25">
      <c r="A181" s="1">
        <v>1860</v>
      </c>
      <c r="B181" s="1">
        <f>(logtemperature__8[[#This Row],[seconds]]-66)/60</f>
        <v>29.9</v>
      </c>
      <c r="C181" s="1">
        <v>107.3</v>
      </c>
    </row>
    <row r="182" spans="1:3" x14ac:dyDescent="0.25">
      <c r="A182" s="1">
        <v>1870</v>
      </c>
      <c r="B182" s="1">
        <f>(logtemperature__8[[#This Row],[seconds]]-66)/60</f>
        <v>30.066666666666666</v>
      </c>
      <c r="C182" s="1">
        <v>106.42</v>
      </c>
    </row>
    <row r="183" spans="1:3" x14ac:dyDescent="0.25">
      <c r="A183" s="1">
        <v>1880</v>
      </c>
      <c r="B183" s="1">
        <f>(logtemperature__8[[#This Row],[seconds]]-66)/60</f>
        <v>30.233333333333334</v>
      </c>
      <c r="C183" s="1">
        <v>106.48</v>
      </c>
    </row>
    <row r="184" spans="1:3" x14ac:dyDescent="0.25">
      <c r="A184" s="1">
        <v>1890</v>
      </c>
      <c r="B184" s="1">
        <f>(logtemperature__8[[#This Row],[seconds]]-66)/60</f>
        <v>30.4</v>
      </c>
      <c r="C184" s="1">
        <v>107.19</v>
      </c>
    </row>
    <row r="185" spans="1:3" x14ac:dyDescent="0.25">
      <c r="A185" s="1">
        <v>1900</v>
      </c>
      <c r="B185" s="1">
        <f>(logtemperature__8[[#This Row],[seconds]]-66)/60</f>
        <v>30.566666666666666</v>
      </c>
      <c r="C185" s="1">
        <v>107</v>
      </c>
    </row>
    <row r="186" spans="1:3" x14ac:dyDescent="0.25">
      <c r="A186" s="1">
        <v>1910</v>
      </c>
      <c r="B186" s="1">
        <f>(logtemperature__8[[#This Row],[seconds]]-66)/60</f>
        <v>30.733333333333334</v>
      </c>
      <c r="C186" s="1">
        <v>106.65</v>
      </c>
    </row>
    <row r="187" spans="1:3" x14ac:dyDescent="0.25">
      <c r="A187" s="1">
        <v>1920</v>
      </c>
      <c r="B187" s="1">
        <f>(logtemperature__8[[#This Row],[seconds]]-66)/60</f>
        <v>30.9</v>
      </c>
      <c r="C187" s="1">
        <v>107.57</v>
      </c>
    </row>
    <row r="188" spans="1:3" x14ac:dyDescent="0.25">
      <c r="A188" s="1">
        <v>1930</v>
      </c>
      <c r="B188" s="1">
        <f>(logtemperature__8[[#This Row],[seconds]]-66)/60</f>
        <v>31.066666666666666</v>
      </c>
      <c r="C188" s="1">
        <v>107.72</v>
      </c>
    </row>
    <row r="189" spans="1:3" x14ac:dyDescent="0.25">
      <c r="A189" s="1">
        <v>1940</v>
      </c>
      <c r="B189" s="1">
        <f>(logtemperature__8[[#This Row],[seconds]]-66)/60</f>
        <v>31.233333333333334</v>
      </c>
      <c r="C189" s="1">
        <v>107.89</v>
      </c>
    </row>
    <row r="190" spans="1:3" x14ac:dyDescent="0.25">
      <c r="A190" s="1">
        <v>1950</v>
      </c>
      <c r="B190" s="1">
        <f>(logtemperature__8[[#This Row],[seconds]]-66)/60</f>
        <v>31.4</v>
      </c>
      <c r="C190" s="1">
        <v>108.09</v>
      </c>
    </row>
    <row r="191" spans="1:3" x14ac:dyDescent="0.25">
      <c r="A191" s="1">
        <v>1960</v>
      </c>
      <c r="B191" s="1">
        <f>(logtemperature__8[[#This Row],[seconds]]-66)/60</f>
        <v>31.566666666666666</v>
      </c>
      <c r="C191" s="1">
        <v>108.99</v>
      </c>
    </row>
    <row r="192" spans="1:3" x14ac:dyDescent="0.25">
      <c r="A192" s="1">
        <v>1970</v>
      </c>
      <c r="B192" s="1">
        <f>(logtemperature__8[[#This Row],[seconds]]-66)/60</f>
        <v>31.733333333333334</v>
      </c>
      <c r="C192" s="1">
        <v>108.91</v>
      </c>
    </row>
    <row r="193" spans="1:3" x14ac:dyDescent="0.25">
      <c r="A193" s="1">
        <v>1980</v>
      </c>
      <c r="B193" s="1">
        <f>(logtemperature__8[[#This Row],[seconds]]-66)/60</f>
        <v>31.9</v>
      </c>
      <c r="C193" s="1">
        <v>108.65</v>
      </c>
    </row>
    <row r="194" spans="1:3" x14ac:dyDescent="0.25">
      <c r="A194" s="1">
        <v>1990</v>
      </c>
      <c r="B194" s="1">
        <f>(logtemperature__8[[#This Row],[seconds]]-66)/60</f>
        <v>32.06666666666667</v>
      </c>
      <c r="C194" s="1">
        <v>108.64</v>
      </c>
    </row>
    <row r="195" spans="1:3" x14ac:dyDescent="0.25">
      <c r="A195" s="1">
        <v>2000</v>
      </c>
      <c r="B195" s="1">
        <f>(logtemperature__8[[#This Row],[seconds]]-66)/60</f>
        <v>32.233333333333334</v>
      </c>
      <c r="C195" s="1">
        <v>108.58</v>
      </c>
    </row>
    <row r="196" spans="1:3" x14ac:dyDescent="0.25">
      <c r="A196" s="1">
        <v>2010</v>
      </c>
      <c r="B196" s="1">
        <f>(logtemperature__8[[#This Row],[seconds]]-66)/60</f>
        <v>32.4</v>
      </c>
      <c r="C196" s="1">
        <v>109.23</v>
      </c>
    </row>
    <row r="197" spans="1:3" x14ac:dyDescent="0.25">
      <c r="A197" s="1">
        <v>2020</v>
      </c>
      <c r="B197" s="1">
        <f>(logtemperature__8[[#This Row],[seconds]]-66)/60</f>
        <v>32.56666666666667</v>
      </c>
      <c r="C197" s="1">
        <v>109.2</v>
      </c>
    </row>
    <row r="198" spans="1:3" x14ac:dyDescent="0.25">
      <c r="A198" s="1">
        <v>2030</v>
      </c>
      <c r="B198" s="1">
        <f>(logtemperature__8[[#This Row],[seconds]]-66)/60</f>
        <v>32.733333333333334</v>
      </c>
      <c r="C198" s="1">
        <v>109.95</v>
      </c>
    </row>
    <row r="199" spans="1:3" x14ac:dyDescent="0.25">
      <c r="A199" s="1">
        <v>2040</v>
      </c>
      <c r="B199" s="1">
        <f>(logtemperature__8[[#This Row],[seconds]]-66)/60</f>
        <v>32.9</v>
      </c>
      <c r="C199" s="1">
        <v>110</v>
      </c>
    </row>
    <row r="200" spans="1:3" x14ac:dyDescent="0.25">
      <c r="A200" s="1">
        <v>2050</v>
      </c>
      <c r="B200" s="1">
        <f>(logtemperature__8[[#This Row],[seconds]]-66)/60</f>
        <v>33.06666666666667</v>
      </c>
      <c r="C200" s="1">
        <v>110.14</v>
      </c>
    </row>
    <row r="201" spans="1:3" x14ac:dyDescent="0.25">
      <c r="A201" s="1"/>
      <c r="B201" s="1"/>
      <c r="C201" s="1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3AC28-95C2-4975-B3E6-7AA7C28F8296}">
  <dimension ref="A1:D114"/>
  <sheetViews>
    <sheetView workbookViewId="0">
      <selection activeCell="O8" sqref="O8"/>
    </sheetView>
  </sheetViews>
  <sheetFormatPr defaultRowHeight="15" x14ac:dyDescent="0.25"/>
  <cols>
    <col min="1" max="1" width="7.42578125" bestFit="1" customWidth="1"/>
    <col min="2" max="2" width="7.42578125" customWidth="1"/>
    <col min="3" max="3" width="5" bestFit="1" customWidth="1"/>
    <col min="4" max="4" width="7.85546875" bestFit="1" customWidth="1"/>
  </cols>
  <sheetData>
    <row r="1" spans="1:4" x14ac:dyDescent="0.25">
      <c r="A1" t="s">
        <v>5</v>
      </c>
      <c r="B1" t="s">
        <v>7</v>
      </c>
      <c r="C1" t="s">
        <v>10</v>
      </c>
      <c r="D1" t="s">
        <v>11</v>
      </c>
    </row>
    <row r="2" spans="1:4" x14ac:dyDescent="0.25">
      <c r="A2">
        <v>13</v>
      </c>
      <c r="B2">
        <f>logtemperature__9[[#This Row],[time]]-13</f>
        <v>0</v>
      </c>
      <c r="C2">
        <v>24.1</v>
      </c>
      <c r="D2">
        <v>18.5</v>
      </c>
    </row>
    <row r="3" spans="1:4" x14ac:dyDescent="0.25">
      <c r="A3">
        <v>13</v>
      </c>
      <c r="B3">
        <f>logtemperature__9[[#This Row],[time]]-13</f>
        <v>0</v>
      </c>
      <c r="C3">
        <v>24.1</v>
      </c>
      <c r="D3">
        <v>89.5</v>
      </c>
    </row>
    <row r="4" spans="1:4" x14ac:dyDescent="0.25">
      <c r="A4">
        <v>13</v>
      </c>
      <c r="B4">
        <f>logtemperature__9[[#This Row],[time]]-13</f>
        <v>0</v>
      </c>
      <c r="C4">
        <v>24.2</v>
      </c>
      <c r="D4">
        <v>98.6</v>
      </c>
    </row>
    <row r="5" spans="1:4" x14ac:dyDescent="0.25">
      <c r="A5">
        <v>14</v>
      </c>
      <c r="B5">
        <f>logtemperature__9[[#This Row],[time]]-13</f>
        <v>1</v>
      </c>
      <c r="C5">
        <v>28.2</v>
      </c>
      <c r="D5">
        <v>99.8</v>
      </c>
    </row>
    <row r="6" spans="1:4" x14ac:dyDescent="0.25">
      <c r="A6">
        <v>14</v>
      </c>
      <c r="B6">
        <f>logtemperature__9[[#This Row],[time]]-13</f>
        <v>1</v>
      </c>
      <c r="C6">
        <v>33.200000000000003</v>
      </c>
      <c r="D6">
        <v>99.9</v>
      </c>
    </row>
    <row r="7" spans="1:4" x14ac:dyDescent="0.25">
      <c r="A7">
        <v>14</v>
      </c>
      <c r="B7">
        <f>logtemperature__9[[#This Row],[time]]-13</f>
        <v>1</v>
      </c>
      <c r="C7">
        <v>36</v>
      </c>
      <c r="D7">
        <v>99.9</v>
      </c>
    </row>
    <row r="8" spans="1:4" x14ac:dyDescent="0.25">
      <c r="A8">
        <v>14</v>
      </c>
      <c r="B8">
        <f>logtemperature__9[[#This Row],[time]]-13</f>
        <v>1</v>
      </c>
      <c r="C8">
        <v>38.200000000000003</v>
      </c>
      <c r="D8">
        <v>99.9</v>
      </c>
    </row>
    <row r="9" spans="1:4" x14ac:dyDescent="0.25">
      <c r="A9">
        <v>14</v>
      </c>
      <c r="B9">
        <f>logtemperature__9[[#This Row],[time]]-13</f>
        <v>1</v>
      </c>
      <c r="C9">
        <v>39.700000000000003</v>
      </c>
      <c r="D9">
        <v>99.9</v>
      </c>
    </row>
    <row r="10" spans="1:4" x14ac:dyDescent="0.25">
      <c r="A10">
        <v>14</v>
      </c>
      <c r="B10">
        <f>logtemperature__9[[#This Row],[time]]-13</f>
        <v>1</v>
      </c>
      <c r="C10">
        <v>41.2</v>
      </c>
      <c r="D10">
        <v>99.9</v>
      </c>
    </row>
    <row r="11" spans="1:4" x14ac:dyDescent="0.25">
      <c r="A11">
        <v>15</v>
      </c>
      <c r="B11">
        <f>logtemperature__9[[#This Row],[time]]-13</f>
        <v>2</v>
      </c>
      <c r="C11">
        <v>42.4</v>
      </c>
      <c r="D11">
        <v>99.9</v>
      </c>
    </row>
    <row r="12" spans="1:4" x14ac:dyDescent="0.25">
      <c r="A12">
        <v>15</v>
      </c>
      <c r="B12">
        <f>logtemperature__9[[#This Row],[time]]-13</f>
        <v>2</v>
      </c>
      <c r="C12">
        <v>43</v>
      </c>
      <c r="D12">
        <v>99.9</v>
      </c>
    </row>
    <row r="13" spans="1:4" x14ac:dyDescent="0.25">
      <c r="A13">
        <v>15</v>
      </c>
      <c r="B13">
        <f>logtemperature__9[[#This Row],[time]]-13</f>
        <v>2</v>
      </c>
      <c r="C13">
        <v>44.2</v>
      </c>
      <c r="D13">
        <v>99.9</v>
      </c>
    </row>
    <row r="14" spans="1:4" x14ac:dyDescent="0.25">
      <c r="A14">
        <v>15</v>
      </c>
      <c r="B14">
        <f>logtemperature__9[[#This Row],[time]]-13</f>
        <v>2</v>
      </c>
      <c r="C14">
        <v>44.7</v>
      </c>
      <c r="D14">
        <v>99.9</v>
      </c>
    </row>
    <row r="15" spans="1:4" x14ac:dyDescent="0.25">
      <c r="A15">
        <v>15</v>
      </c>
      <c r="B15">
        <f>logtemperature__9[[#This Row],[time]]-13</f>
        <v>2</v>
      </c>
      <c r="C15">
        <v>45.9</v>
      </c>
      <c r="D15">
        <v>99.9</v>
      </c>
    </row>
    <row r="16" spans="1:4" x14ac:dyDescent="0.25">
      <c r="A16">
        <v>15</v>
      </c>
      <c r="B16">
        <f>logtemperature__9[[#This Row],[time]]-13</f>
        <v>2</v>
      </c>
      <c r="C16">
        <v>46.4</v>
      </c>
      <c r="D16">
        <v>99.9</v>
      </c>
    </row>
    <row r="17" spans="1:4" x14ac:dyDescent="0.25">
      <c r="A17">
        <v>16</v>
      </c>
      <c r="B17">
        <f>logtemperature__9[[#This Row],[time]]-13</f>
        <v>3</v>
      </c>
      <c r="C17">
        <v>47.2</v>
      </c>
      <c r="D17">
        <v>99.9</v>
      </c>
    </row>
    <row r="18" spans="1:4" x14ac:dyDescent="0.25">
      <c r="A18">
        <v>16</v>
      </c>
      <c r="B18">
        <f>logtemperature__9[[#This Row],[time]]-13</f>
        <v>3</v>
      </c>
      <c r="C18">
        <v>47.8</v>
      </c>
      <c r="D18">
        <v>99.9</v>
      </c>
    </row>
    <row r="19" spans="1:4" x14ac:dyDescent="0.25">
      <c r="A19">
        <v>16</v>
      </c>
      <c r="B19">
        <f>logtemperature__9[[#This Row],[time]]-13</f>
        <v>3</v>
      </c>
      <c r="C19">
        <v>48.6</v>
      </c>
      <c r="D19">
        <v>99.9</v>
      </c>
    </row>
    <row r="20" spans="1:4" x14ac:dyDescent="0.25">
      <c r="A20">
        <v>16</v>
      </c>
      <c r="B20">
        <f>logtemperature__9[[#This Row],[time]]-13</f>
        <v>3</v>
      </c>
      <c r="C20">
        <v>49.3</v>
      </c>
      <c r="D20">
        <v>99.9</v>
      </c>
    </row>
    <row r="21" spans="1:4" x14ac:dyDescent="0.25">
      <c r="A21">
        <v>16</v>
      </c>
      <c r="B21">
        <f>logtemperature__9[[#This Row],[time]]-13</f>
        <v>3</v>
      </c>
      <c r="C21">
        <v>49.6</v>
      </c>
      <c r="D21">
        <v>99.9</v>
      </c>
    </row>
    <row r="22" spans="1:4" x14ac:dyDescent="0.25">
      <c r="A22">
        <v>16</v>
      </c>
      <c r="B22">
        <f>logtemperature__9[[#This Row],[time]]-13</f>
        <v>3</v>
      </c>
      <c r="C22">
        <v>50.4</v>
      </c>
      <c r="D22">
        <v>99.9</v>
      </c>
    </row>
    <row r="23" spans="1:4" x14ac:dyDescent="0.25">
      <c r="A23">
        <v>17</v>
      </c>
      <c r="B23">
        <f>logtemperature__9[[#This Row],[time]]-13</f>
        <v>4</v>
      </c>
      <c r="C23">
        <v>51.2</v>
      </c>
      <c r="D23">
        <v>99.9</v>
      </c>
    </row>
    <row r="24" spans="1:4" x14ac:dyDescent="0.25">
      <c r="A24">
        <v>17</v>
      </c>
      <c r="B24">
        <f>logtemperature__9[[#This Row],[time]]-13</f>
        <v>4</v>
      </c>
      <c r="C24">
        <v>51.6</v>
      </c>
      <c r="D24">
        <v>99.9</v>
      </c>
    </row>
    <row r="25" spans="1:4" x14ac:dyDescent="0.25">
      <c r="A25">
        <v>17</v>
      </c>
      <c r="B25">
        <f>logtemperature__9[[#This Row],[time]]-13</f>
        <v>4</v>
      </c>
      <c r="C25">
        <v>52.2</v>
      </c>
      <c r="D25">
        <v>99.9</v>
      </c>
    </row>
    <row r="26" spans="1:4" x14ac:dyDescent="0.25">
      <c r="A26">
        <v>17</v>
      </c>
      <c r="B26">
        <f>logtemperature__9[[#This Row],[time]]-13</f>
        <v>4</v>
      </c>
      <c r="C26">
        <v>52.5</v>
      </c>
      <c r="D26">
        <v>99.9</v>
      </c>
    </row>
    <row r="27" spans="1:4" x14ac:dyDescent="0.25">
      <c r="A27">
        <v>17</v>
      </c>
      <c r="B27">
        <f>logtemperature__9[[#This Row],[time]]-13</f>
        <v>4</v>
      </c>
      <c r="C27">
        <v>53.1</v>
      </c>
      <c r="D27">
        <v>99.9</v>
      </c>
    </row>
    <row r="28" spans="1:4" x14ac:dyDescent="0.25">
      <c r="A28">
        <v>17</v>
      </c>
      <c r="B28">
        <f>logtemperature__9[[#This Row],[time]]-13</f>
        <v>4</v>
      </c>
      <c r="C28">
        <v>54.1</v>
      </c>
      <c r="D28">
        <v>99.9</v>
      </c>
    </row>
    <row r="29" spans="1:4" x14ac:dyDescent="0.25">
      <c r="A29">
        <v>18</v>
      </c>
      <c r="B29">
        <f>logtemperature__9[[#This Row],[time]]-13</f>
        <v>5</v>
      </c>
      <c r="C29">
        <v>53.7</v>
      </c>
      <c r="D29">
        <v>99.9</v>
      </c>
    </row>
    <row r="30" spans="1:4" x14ac:dyDescent="0.25">
      <c r="A30">
        <v>18</v>
      </c>
      <c r="B30">
        <f>logtemperature__9[[#This Row],[time]]-13</f>
        <v>5</v>
      </c>
      <c r="C30">
        <v>53.9</v>
      </c>
      <c r="D30">
        <v>99.9</v>
      </c>
    </row>
    <row r="31" spans="1:4" x14ac:dyDescent="0.25">
      <c r="A31">
        <v>18</v>
      </c>
      <c r="B31">
        <f>logtemperature__9[[#This Row],[time]]-13</f>
        <v>5</v>
      </c>
      <c r="C31">
        <v>55.4</v>
      </c>
      <c r="D31">
        <v>99.9</v>
      </c>
    </row>
    <row r="32" spans="1:4" x14ac:dyDescent="0.25">
      <c r="A32">
        <v>18</v>
      </c>
      <c r="B32">
        <f>logtemperature__9[[#This Row],[time]]-13</f>
        <v>5</v>
      </c>
      <c r="C32">
        <v>55.8</v>
      </c>
      <c r="D32">
        <v>99.9</v>
      </c>
    </row>
    <row r="33" spans="1:4" x14ac:dyDescent="0.25">
      <c r="A33">
        <v>18</v>
      </c>
      <c r="B33">
        <f>logtemperature__9[[#This Row],[time]]-13</f>
        <v>5</v>
      </c>
      <c r="C33">
        <v>56.7</v>
      </c>
      <c r="D33">
        <v>99.9</v>
      </c>
    </row>
    <row r="34" spans="1:4" x14ac:dyDescent="0.25">
      <c r="A34">
        <v>18</v>
      </c>
      <c r="B34">
        <f>logtemperature__9[[#This Row],[time]]-13</f>
        <v>5</v>
      </c>
      <c r="C34">
        <v>56.4</v>
      </c>
      <c r="D34">
        <v>99.9</v>
      </c>
    </row>
    <row r="35" spans="1:4" x14ac:dyDescent="0.25">
      <c r="A35">
        <v>19</v>
      </c>
      <c r="B35">
        <f>logtemperature__9[[#This Row],[time]]-13</f>
        <v>6</v>
      </c>
      <c r="C35">
        <v>57.2</v>
      </c>
      <c r="D35">
        <v>99.9</v>
      </c>
    </row>
    <row r="36" spans="1:4" x14ac:dyDescent="0.25">
      <c r="A36">
        <v>19</v>
      </c>
      <c r="B36">
        <f>logtemperature__9[[#This Row],[time]]-13</f>
        <v>6</v>
      </c>
      <c r="C36">
        <v>57.3</v>
      </c>
      <c r="D36">
        <v>99.9</v>
      </c>
    </row>
    <row r="37" spans="1:4" x14ac:dyDescent="0.25">
      <c r="A37">
        <v>19</v>
      </c>
      <c r="B37">
        <f>logtemperature__9[[#This Row],[time]]-13</f>
        <v>6</v>
      </c>
      <c r="C37">
        <v>57.8</v>
      </c>
      <c r="D37">
        <v>99.9</v>
      </c>
    </row>
    <row r="38" spans="1:4" x14ac:dyDescent="0.25">
      <c r="A38">
        <v>19</v>
      </c>
      <c r="B38">
        <f>logtemperature__9[[#This Row],[time]]-13</f>
        <v>6</v>
      </c>
      <c r="C38">
        <v>58.2</v>
      </c>
      <c r="D38">
        <v>99.9</v>
      </c>
    </row>
    <row r="39" spans="1:4" x14ac:dyDescent="0.25">
      <c r="A39">
        <v>19</v>
      </c>
      <c r="B39">
        <f>logtemperature__9[[#This Row],[time]]-13</f>
        <v>6</v>
      </c>
      <c r="C39">
        <v>58.3</v>
      </c>
      <c r="D39">
        <v>99.9</v>
      </c>
    </row>
    <row r="40" spans="1:4" x14ac:dyDescent="0.25">
      <c r="A40">
        <v>19</v>
      </c>
      <c r="B40">
        <f>logtemperature__9[[#This Row],[time]]-13</f>
        <v>6</v>
      </c>
      <c r="C40">
        <v>58.8</v>
      </c>
      <c r="D40">
        <v>99.9</v>
      </c>
    </row>
    <row r="41" spans="1:4" x14ac:dyDescent="0.25">
      <c r="A41">
        <v>20</v>
      </c>
      <c r="B41">
        <f>logtemperature__9[[#This Row],[time]]-13</f>
        <v>7</v>
      </c>
      <c r="C41">
        <v>59.4</v>
      </c>
      <c r="D41">
        <v>99.9</v>
      </c>
    </row>
    <row r="42" spans="1:4" x14ac:dyDescent="0.25">
      <c r="A42">
        <v>20</v>
      </c>
      <c r="B42">
        <f>logtemperature__9[[#This Row],[time]]-13</f>
        <v>7</v>
      </c>
      <c r="C42">
        <v>59.7</v>
      </c>
      <c r="D42">
        <v>99.9</v>
      </c>
    </row>
    <row r="43" spans="1:4" x14ac:dyDescent="0.25">
      <c r="A43">
        <v>20</v>
      </c>
      <c r="B43">
        <f>logtemperature__9[[#This Row],[time]]-13</f>
        <v>7</v>
      </c>
      <c r="C43">
        <v>59.6</v>
      </c>
      <c r="D43">
        <v>99.9</v>
      </c>
    </row>
    <row r="44" spans="1:4" x14ac:dyDescent="0.25">
      <c r="A44">
        <v>20</v>
      </c>
      <c r="B44">
        <f>logtemperature__9[[#This Row],[time]]-13</f>
        <v>7</v>
      </c>
      <c r="C44">
        <v>59.8</v>
      </c>
      <c r="D44">
        <v>99.9</v>
      </c>
    </row>
    <row r="45" spans="1:4" x14ac:dyDescent="0.25">
      <c r="A45">
        <v>20</v>
      </c>
      <c r="B45">
        <f>logtemperature__9[[#This Row],[time]]-13</f>
        <v>7</v>
      </c>
      <c r="C45">
        <v>59.5</v>
      </c>
      <c r="D45">
        <v>99.9</v>
      </c>
    </row>
    <row r="46" spans="1:4" x14ac:dyDescent="0.25">
      <c r="A46">
        <v>20</v>
      </c>
      <c r="B46">
        <f>logtemperature__9[[#This Row],[time]]-13</f>
        <v>7</v>
      </c>
      <c r="C46">
        <v>59.9</v>
      </c>
      <c r="D46">
        <v>99.9</v>
      </c>
    </row>
    <row r="47" spans="1:4" x14ac:dyDescent="0.25">
      <c r="A47">
        <v>21</v>
      </c>
      <c r="B47">
        <f>logtemperature__9[[#This Row],[time]]-13</f>
        <v>8</v>
      </c>
      <c r="C47">
        <v>60.9</v>
      </c>
      <c r="D47">
        <v>99.9</v>
      </c>
    </row>
    <row r="48" spans="1:4" x14ac:dyDescent="0.25">
      <c r="A48">
        <v>21</v>
      </c>
      <c r="B48">
        <f>logtemperature__9[[#This Row],[time]]-13</f>
        <v>8</v>
      </c>
      <c r="C48">
        <v>61.5</v>
      </c>
      <c r="D48">
        <v>99.9</v>
      </c>
    </row>
    <row r="49" spans="1:4" x14ac:dyDescent="0.25">
      <c r="A49">
        <v>21</v>
      </c>
      <c r="B49">
        <f>logtemperature__9[[#This Row],[time]]-13</f>
        <v>8</v>
      </c>
      <c r="C49">
        <v>61.9</v>
      </c>
      <c r="D49">
        <v>99.9</v>
      </c>
    </row>
    <row r="50" spans="1:4" x14ac:dyDescent="0.25">
      <c r="A50">
        <v>21</v>
      </c>
      <c r="B50">
        <f>logtemperature__9[[#This Row],[time]]-13</f>
        <v>8</v>
      </c>
      <c r="C50">
        <v>61.9</v>
      </c>
      <c r="D50">
        <v>99.9</v>
      </c>
    </row>
    <row r="51" spans="1:4" x14ac:dyDescent="0.25">
      <c r="A51">
        <v>21</v>
      </c>
      <c r="B51">
        <f>logtemperature__9[[#This Row],[time]]-13</f>
        <v>8</v>
      </c>
      <c r="C51">
        <v>62.5</v>
      </c>
      <c r="D51">
        <v>99.9</v>
      </c>
    </row>
    <row r="52" spans="1:4" x14ac:dyDescent="0.25">
      <c r="A52">
        <v>21</v>
      </c>
      <c r="B52">
        <f>logtemperature__9[[#This Row],[time]]-13</f>
        <v>8</v>
      </c>
      <c r="C52">
        <v>62.6</v>
      </c>
      <c r="D52">
        <v>99.9</v>
      </c>
    </row>
    <row r="53" spans="1:4" x14ac:dyDescent="0.25">
      <c r="A53">
        <v>22</v>
      </c>
      <c r="B53">
        <f>logtemperature__9[[#This Row],[time]]-13</f>
        <v>9</v>
      </c>
      <c r="C53">
        <v>62.8</v>
      </c>
      <c r="D53">
        <v>99.9</v>
      </c>
    </row>
    <row r="54" spans="1:4" x14ac:dyDescent="0.25">
      <c r="A54">
        <v>22</v>
      </c>
      <c r="B54">
        <f>logtemperature__9[[#This Row],[time]]-13</f>
        <v>9</v>
      </c>
      <c r="C54">
        <v>63.2</v>
      </c>
      <c r="D54">
        <v>99.9</v>
      </c>
    </row>
    <row r="55" spans="1:4" x14ac:dyDescent="0.25">
      <c r="A55">
        <v>22</v>
      </c>
      <c r="B55">
        <f>logtemperature__9[[#This Row],[time]]-13</f>
        <v>9</v>
      </c>
      <c r="C55">
        <v>63.2</v>
      </c>
      <c r="D55">
        <v>99.9</v>
      </c>
    </row>
    <row r="56" spans="1:4" x14ac:dyDescent="0.25">
      <c r="A56">
        <v>22</v>
      </c>
      <c r="B56">
        <f>logtemperature__9[[#This Row],[time]]-13</f>
        <v>9</v>
      </c>
      <c r="C56">
        <v>63.8</v>
      </c>
      <c r="D56">
        <v>99.9</v>
      </c>
    </row>
    <row r="57" spans="1:4" x14ac:dyDescent="0.25">
      <c r="A57">
        <v>22</v>
      </c>
      <c r="B57">
        <f>logtemperature__9[[#This Row],[time]]-13</f>
        <v>9</v>
      </c>
      <c r="C57">
        <v>64.3</v>
      </c>
      <c r="D57">
        <v>99.9</v>
      </c>
    </row>
    <row r="58" spans="1:4" x14ac:dyDescent="0.25">
      <c r="A58">
        <v>22</v>
      </c>
      <c r="B58">
        <f>logtemperature__9[[#This Row],[time]]-13</f>
        <v>9</v>
      </c>
      <c r="C58">
        <v>64.5</v>
      </c>
      <c r="D58">
        <v>99.9</v>
      </c>
    </row>
    <row r="59" spans="1:4" x14ac:dyDescent="0.25">
      <c r="A59">
        <v>23</v>
      </c>
      <c r="B59">
        <f>logtemperature__9[[#This Row],[time]]-13</f>
        <v>10</v>
      </c>
      <c r="C59">
        <v>64.8</v>
      </c>
      <c r="D59">
        <v>99.9</v>
      </c>
    </row>
    <row r="60" spans="1:4" x14ac:dyDescent="0.25">
      <c r="A60">
        <v>23</v>
      </c>
      <c r="B60">
        <f>logtemperature__9[[#This Row],[time]]-13</f>
        <v>10</v>
      </c>
      <c r="C60">
        <v>65.599999999999994</v>
      </c>
      <c r="D60">
        <v>99.9</v>
      </c>
    </row>
    <row r="61" spans="1:4" x14ac:dyDescent="0.25">
      <c r="A61">
        <v>23</v>
      </c>
      <c r="B61">
        <f>logtemperature__9[[#This Row],[time]]-13</f>
        <v>10</v>
      </c>
      <c r="C61">
        <v>66.400000000000006</v>
      </c>
      <c r="D61">
        <v>99.9</v>
      </c>
    </row>
    <row r="62" spans="1:4" x14ac:dyDescent="0.25">
      <c r="A62">
        <v>23</v>
      </c>
      <c r="B62">
        <f>logtemperature__9[[#This Row],[time]]-13</f>
        <v>10</v>
      </c>
      <c r="C62">
        <v>66.599999999999994</v>
      </c>
      <c r="D62">
        <v>99.9</v>
      </c>
    </row>
    <row r="63" spans="1:4" x14ac:dyDescent="0.25">
      <c r="A63">
        <v>23</v>
      </c>
      <c r="B63">
        <f>logtemperature__9[[#This Row],[time]]-13</f>
        <v>10</v>
      </c>
      <c r="C63">
        <v>67</v>
      </c>
      <c r="D63">
        <v>99.9</v>
      </c>
    </row>
    <row r="64" spans="1:4" x14ac:dyDescent="0.25">
      <c r="A64">
        <v>23</v>
      </c>
      <c r="B64">
        <f>logtemperature__9[[#This Row],[time]]-13</f>
        <v>10</v>
      </c>
      <c r="C64">
        <v>66.7</v>
      </c>
      <c r="D64">
        <v>99.9</v>
      </c>
    </row>
    <row r="65" spans="1:4" x14ac:dyDescent="0.25">
      <c r="A65">
        <v>24</v>
      </c>
      <c r="B65">
        <f>logtemperature__9[[#This Row],[time]]-13</f>
        <v>11</v>
      </c>
      <c r="C65">
        <v>67.5</v>
      </c>
      <c r="D65">
        <v>99.9</v>
      </c>
    </row>
    <row r="66" spans="1:4" x14ac:dyDescent="0.25">
      <c r="A66">
        <v>24</v>
      </c>
      <c r="B66">
        <f>logtemperature__9[[#This Row],[time]]-13</f>
        <v>11</v>
      </c>
      <c r="C66">
        <v>67.5</v>
      </c>
      <c r="D66">
        <v>99.9</v>
      </c>
    </row>
    <row r="67" spans="1:4" x14ac:dyDescent="0.25">
      <c r="A67">
        <v>24</v>
      </c>
      <c r="B67">
        <f>logtemperature__9[[#This Row],[time]]-13</f>
        <v>11</v>
      </c>
      <c r="C67">
        <v>68.400000000000006</v>
      </c>
      <c r="D67">
        <v>99.9</v>
      </c>
    </row>
    <row r="68" spans="1:4" x14ac:dyDescent="0.25">
      <c r="A68">
        <v>24</v>
      </c>
      <c r="B68">
        <f>logtemperature__9[[#This Row],[time]]-13</f>
        <v>11</v>
      </c>
      <c r="C68">
        <v>68</v>
      </c>
      <c r="D68">
        <v>99.9</v>
      </c>
    </row>
    <row r="69" spans="1:4" x14ac:dyDescent="0.25">
      <c r="A69">
        <v>24</v>
      </c>
      <c r="B69">
        <f>logtemperature__9[[#This Row],[time]]-13</f>
        <v>11</v>
      </c>
      <c r="C69">
        <v>67.8</v>
      </c>
      <c r="D69">
        <v>99.9</v>
      </c>
    </row>
    <row r="70" spans="1:4" x14ac:dyDescent="0.25">
      <c r="A70">
        <v>24</v>
      </c>
      <c r="B70">
        <f>logtemperature__9[[#This Row],[time]]-13</f>
        <v>11</v>
      </c>
      <c r="C70">
        <v>68.8</v>
      </c>
      <c r="D70">
        <v>99.9</v>
      </c>
    </row>
    <row r="71" spans="1:4" x14ac:dyDescent="0.25">
      <c r="A71">
        <v>25</v>
      </c>
      <c r="B71">
        <f>logtemperature__9[[#This Row],[time]]-13</f>
        <v>12</v>
      </c>
      <c r="C71">
        <v>69.400000000000006</v>
      </c>
      <c r="D71">
        <v>99.9</v>
      </c>
    </row>
    <row r="72" spans="1:4" x14ac:dyDescent="0.25">
      <c r="A72">
        <v>25</v>
      </c>
      <c r="B72">
        <f>logtemperature__9[[#This Row],[time]]-13</f>
        <v>12</v>
      </c>
      <c r="C72">
        <v>69.7</v>
      </c>
      <c r="D72">
        <v>99.9</v>
      </c>
    </row>
    <row r="73" spans="1:4" x14ac:dyDescent="0.25">
      <c r="A73">
        <v>25</v>
      </c>
      <c r="B73">
        <f>logtemperature__9[[#This Row],[time]]-13</f>
        <v>12</v>
      </c>
      <c r="C73">
        <v>69.5</v>
      </c>
      <c r="D73">
        <v>99.9</v>
      </c>
    </row>
    <row r="74" spans="1:4" x14ac:dyDescent="0.25">
      <c r="A74">
        <v>25</v>
      </c>
      <c r="B74">
        <f>logtemperature__9[[#This Row],[time]]-13</f>
        <v>12</v>
      </c>
      <c r="C74">
        <v>69.900000000000006</v>
      </c>
      <c r="D74">
        <v>99.9</v>
      </c>
    </row>
    <row r="75" spans="1:4" x14ac:dyDescent="0.25">
      <c r="A75">
        <v>25</v>
      </c>
      <c r="B75">
        <f>logtemperature__9[[#This Row],[time]]-13</f>
        <v>12</v>
      </c>
      <c r="C75">
        <v>70.099999999999994</v>
      </c>
      <c r="D75">
        <v>99.9</v>
      </c>
    </row>
    <row r="76" spans="1:4" x14ac:dyDescent="0.25">
      <c r="A76">
        <v>25</v>
      </c>
      <c r="B76">
        <f>logtemperature__9[[#This Row],[time]]-13</f>
        <v>12</v>
      </c>
      <c r="C76">
        <v>70.900000000000006</v>
      </c>
      <c r="D76">
        <v>99.9</v>
      </c>
    </row>
    <row r="77" spans="1:4" x14ac:dyDescent="0.25">
      <c r="A77">
        <v>26</v>
      </c>
      <c r="B77">
        <f>logtemperature__9[[#This Row],[time]]-13</f>
        <v>13</v>
      </c>
      <c r="C77">
        <v>70.5</v>
      </c>
      <c r="D77">
        <v>99.9</v>
      </c>
    </row>
    <row r="78" spans="1:4" x14ac:dyDescent="0.25">
      <c r="A78">
        <v>26</v>
      </c>
      <c r="B78">
        <f>logtemperature__9[[#This Row],[time]]-13</f>
        <v>13</v>
      </c>
      <c r="C78">
        <v>70.599999999999994</v>
      </c>
      <c r="D78">
        <v>99.9</v>
      </c>
    </row>
    <row r="79" spans="1:4" x14ac:dyDescent="0.25">
      <c r="A79">
        <v>26</v>
      </c>
      <c r="B79">
        <f>logtemperature__9[[#This Row],[time]]-13</f>
        <v>13</v>
      </c>
      <c r="C79">
        <v>70.5</v>
      </c>
      <c r="D79">
        <v>99.9</v>
      </c>
    </row>
    <row r="80" spans="1:4" x14ac:dyDescent="0.25">
      <c r="A80">
        <v>26</v>
      </c>
      <c r="B80">
        <f>logtemperature__9[[#This Row],[time]]-13</f>
        <v>13</v>
      </c>
      <c r="C80">
        <v>71.8</v>
      </c>
      <c r="D80">
        <v>99.9</v>
      </c>
    </row>
    <row r="81" spans="1:4" x14ac:dyDescent="0.25">
      <c r="A81">
        <v>26</v>
      </c>
      <c r="B81">
        <f>logtemperature__9[[#This Row],[time]]-13</f>
        <v>13</v>
      </c>
      <c r="C81">
        <v>72.5</v>
      </c>
      <c r="D81">
        <v>99.9</v>
      </c>
    </row>
    <row r="82" spans="1:4" x14ac:dyDescent="0.25">
      <c r="A82">
        <v>26</v>
      </c>
      <c r="B82">
        <f>logtemperature__9[[#This Row],[time]]-13</f>
        <v>13</v>
      </c>
      <c r="C82">
        <v>72.599999999999994</v>
      </c>
      <c r="D82">
        <v>99.9</v>
      </c>
    </row>
    <row r="83" spans="1:4" x14ac:dyDescent="0.25">
      <c r="A83">
        <v>27</v>
      </c>
      <c r="B83">
        <f>logtemperature__9[[#This Row],[time]]-13</f>
        <v>14</v>
      </c>
      <c r="C83">
        <v>71.900000000000006</v>
      </c>
      <c r="D83">
        <v>99.9</v>
      </c>
    </row>
    <row r="84" spans="1:4" x14ac:dyDescent="0.25">
      <c r="A84">
        <v>27</v>
      </c>
      <c r="B84">
        <f>logtemperature__9[[#This Row],[time]]-13</f>
        <v>14</v>
      </c>
      <c r="C84">
        <v>72.599999999999994</v>
      </c>
      <c r="D84">
        <v>99.9</v>
      </c>
    </row>
    <row r="85" spans="1:4" x14ac:dyDescent="0.25">
      <c r="A85">
        <v>27</v>
      </c>
      <c r="B85">
        <f>logtemperature__9[[#This Row],[time]]-13</f>
        <v>14</v>
      </c>
      <c r="C85">
        <v>73.099999999999994</v>
      </c>
      <c r="D85">
        <v>99.9</v>
      </c>
    </row>
    <row r="86" spans="1:4" x14ac:dyDescent="0.25">
      <c r="A86">
        <v>27</v>
      </c>
      <c r="B86">
        <f>logtemperature__9[[#This Row],[time]]-13</f>
        <v>14</v>
      </c>
      <c r="C86">
        <v>73.099999999999994</v>
      </c>
      <c r="D86">
        <v>99.9</v>
      </c>
    </row>
    <row r="87" spans="1:4" x14ac:dyDescent="0.25">
      <c r="A87">
        <v>27</v>
      </c>
      <c r="B87">
        <f>logtemperature__9[[#This Row],[time]]-13</f>
        <v>14</v>
      </c>
      <c r="C87">
        <v>73.400000000000006</v>
      </c>
      <c r="D87">
        <v>99.9</v>
      </c>
    </row>
    <row r="88" spans="1:4" x14ac:dyDescent="0.25">
      <c r="A88">
        <v>27</v>
      </c>
      <c r="B88">
        <f>logtemperature__9[[#This Row],[time]]-13</f>
        <v>14</v>
      </c>
      <c r="C88">
        <v>73.5</v>
      </c>
      <c r="D88">
        <v>99.9</v>
      </c>
    </row>
    <row r="89" spans="1:4" x14ac:dyDescent="0.25">
      <c r="A89">
        <v>28</v>
      </c>
      <c r="B89">
        <f>logtemperature__9[[#This Row],[time]]-13</f>
        <v>15</v>
      </c>
      <c r="C89">
        <v>74.099999999999994</v>
      </c>
      <c r="D89">
        <v>99.9</v>
      </c>
    </row>
    <row r="90" spans="1:4" x14ac:dyDescent="0.25">
      <c r="A90">
        <v>28</v>
      </c>
      <c r="B90">
        <f>logtemperature__9[[#This Row],[time]]-13</f>
        <v>15</v>
      </c>
      <c r="C90">
        <v>74.2</v>
      </c>
      <c r="D90">
        <v>99.9</v>
      </c>
    </row>
    <row r="91" spans="1:4" x14ac:dyDescent="0.25">
      <c r="A91">
        <v>28</v>
      </c>
      <c r="B91">
        <f>logtemperature__9[[#This Row],[time]]-13</f>
        <v>15</v>
      </c>
      <c r="C91">
        <v>74.5</v>
      </c>
      <c r="D91">
        <v>99.9</v>
      </c>
    </row>
    <row r="92" spans="1:4" x14ac:dyDescent="0.25">
      <c r="A92">
        <v>28</v>
      </c>
      <c r="B92">
        <f>logtemperature__9[[#This Row],[time]]-13</f>
        <v>15</v>
      </c>
      <c r="C92">
        <v>74.900000000000006</v>
      </c>
      <c r="D92">
        <v>99.9</v>
      </c>
    </row>
    <row r="93" spans="1:4" x14ac:dyDescent="0.25">
      <c r="A93">
        <v>28</v>
      </c>
      <c r="B93">
        <f>logtemperature__9[[#This Row],[time]]-13</f>
        <v>15</v>
      </c>
      <c r="C93">
        <v>75.2</v>
      </c>
      <c r="D93">
        <v>99.9</v>
      </c>
    </row>
    <row r="94" spans="1:4" x14ac:dyDescent="0.25">
      <c r="A94">
        <v>28</v>
      </c>
      <c r="B94">
        <f>logtemperature__9[[#This Row],[time]]-13</f>
        <v>15</v>
      </c>
      <c r="C94">
        <v>75.2</v>
      </c>
      <c r="D94">
        <v>99.9</v>
      </c>
    </row>
    <row r="95" spans="1:4" x14ac:dyDescent="0.25">
      <c r="A95">
        <v>29</v>
      </c>
      <c r="B95">
        <f>logtemperature__9[[#This Row],[time]]-13</f>
        <v>16</v>
      </c>
      <c r="C95">
        <v>75.8</v>
      </c>
      <c r="D95">
        <v>99.9</v>
      </c>
    </row>
    <row r="96" spans="1:4" x14ac:dyDescent="0.25">
      <c r="A96">
        <v>29</v>
      </c>
      <c r="B96">
        <f>logtemperature__9[[#This Row],[time]]-13</f>
        <v>16</v>
      </c>
      <c r="C96">
        <v>76.099999999999994</v>
      </c>
      <c r="D96">
        <v>99.9</v>
      </c>
    </row>
    <row r="97" spans="1:4" x14ac:dyDescent="0.25">
      <c r="A97">
        <v>29</v>
      </c>
      <c r="B97">
        <f>logtemperature__9[[#This Row],[time]]-13</f>
        <v>16</v>
      </c>
      <c r="C97">
        <v>76.3</v>
      </c>
      <c r="D97">
        <v>99.9</v>
      </c>
    </row>
    <row r="98" spans="1:4" x14ac:dyDescent="0.25">
      <c r="A98">
        <v>29</v>
      </c>
      <c r="B98">
        <f>logtemperature__9[[#This Row],[time]]-13</f>
        <v>16</v>
      </c>
      <c r="C98">
        <v>76.400000000000006</v>
      </c>
      <c r="D98">
        <v>99.9</v>
      </c>
    </row>
    <row r="99" spans="1:4" x14ac:dyDescent="0.25">
      <c r="A99">
        <v>29</v>
      </c>
      <c r="B99">
        <f>logtemperature__9[[#This Row],[time]]-13</f>
        <v>16</v>
      </c>
      <c r="C99">
        <v>76.2</v>
      </c>
      <c r="D99">
        <v>99.9</v>
      </c>
    </row>
    <row r="100" spans="1:4" x14ac:dyDescent="0.25">
      <c r="A100">
        <v>29</v>
      </c>
      <c r="B100">
        <f>logtemperature__9[[#This Row],[time]]-13</f>
        <v>16</v>
      </c>
      <c r="C100">
        <v>76.7</v>
      </c>
      <c r="D100">
        <v>99.9</v>
      </c>
    </row>
    <row r="101" spans="1:4" x14ac:dyDescent="0.25">
      <c r="A101">
        <v>30</v>
      </c>
      <c r="B101">
        <f>logtemperature__9[[#This Row],[time]]-13</f>
        <v>17</v>
      </c>
      <c r="C101">
        <v>77.2</v>
      </c>
      <c r="D101">
        <v>99.9</v>
      </c>
    </row>
    <row r="102" spans="1:4" x14ac:dyDescent="0.25">
      <c r="A102">
        <v>30</v>
      </c>
      <c r="B102">
        <f>logtemperature__9[[#This Row],[time]]-13</f>
        <v>17</v>
      </c>
      <c r="C102">
        <v>77.099999999999994</v>
      </c>
      <c r="D102">
        <v>99.9</v>
      </c>
    </row>
    <row r="103" spans="1:4" x14ac:dyDescent="0.25">
      <c r="A103">
        <v>30</v>
      </c>
      <c r="B103">
        <f>logtemperature__9[[#This Row],[time]]-13</f>
        <v>17</v>
      </c>
      <c r="C103">
        <v>76.8</v>
      </c>
      <c r="D103">
        <v>99.9</v>
      </c>
    </row>
    <row r="104" spans="1:4" x14ac:dyDescent="0.25">
      <c r="A104">
        <v>30</v>
      </c>
      <c r="B104">
        <f>logtemperature__9[[#This Row],[time]]-13</f>
        <v>17</v>
      </c>
      <c r="C104">
        <v>78.2</v>
      </c>
      <c r="D104">
        <v>99.9</v>
      </c>
    </row>
    <row r="105" spans="1:4" x14ac:dyDescent="0.25">
      <c r="A105">
        <v>30</v>
      </c>
      <c r="B105">
        <f>logtemperature__9[[#This Row],[time]]-13</f>
        <v>17</v>
      </c>
      <c r="C105">
        <v>77.5</v>
      </c>
      <c r="D105">
        <v>99.9</v>
      </c>
    </row>
    <row r="106" spans="1:4" x14ac:dyDescent="0.25">
      <c r="A106">
        <v>30</v>
      </c>
      <c r="B106">
        <f>logtemperature__9[[#This Row],[time]]-13</f>
        <v>17</v>
      </c>
      <c r="C106">
        <v>77.599999999999994</v>
      </c>
      <c r="D106">
        <v>99.9</v>
      </c>
    </row>
    <row r="107" spans="1:4" x14ac:dyDescent="0.25">
      <c r="A107">
        <v>31</v>
      </c>
      <c r="B107">
        <f>logtemperature__9[[#This Row],[time]]-13</f>
        <v>18</v>
      </c>
      <c r="C107">
        <v>78.099999999999994</v>
      </c>
      <c r="D107">
        <v>99.9</v>
      </c>
    </row>
    <row r="108" spans="1:4" x14ac:dyDescent="0.25">
      <c r="A108">
        <v>31</v>
      </c>
      <c r="B108">
        <f>logtemperature__9[[#This Row],[time]]-13</f>
        <v>18</v>
      </c>
      <c r="C108">
        <v>78.900000000000006</v>
      </c>
      <c r="D108">
        <v>99.9</v>
      </c>
    </row>
    <row r="109" spans="1:4" x14ac:dyDescent="0.25">
      <c r="A109">
        <v>31</v>
      </c>
      <c r="B109">
        <f>logtemperature__9[[#This Row],[time]]-13</f>
        <v>18</v>
      </c>
      <c r="C109">
        <v>79.3</v>
      </c>
      <c r="D109">
        <v>99.9</v>
      </c>
    </row>
    <row r="110" spans="1:4" x14ac:dyDescent="0.25">
      <c r="A110">
        <v>31</v>
      </c>
      <c r="B110">
        <f>logtemperature__9[[#This Row],[time]]-13</f>
        <v>18</v>
      </c>
      <c r="C110">
        <v>79</v>
      </c>
      <c r="D110">
        <v>99.9</v>
      </c>
    </row>
    <row r="111" spans="1:4" x14ac:dyDescent="0.25">
      <c r="A111">
        <v>31</v>
      </c>
      <c r="B111">
        <f>logtemperature__9[[#This Row],[time]]-13</f>
        <v>18</v>
      </c>
      <c r="C111">
        <v>78.3</v>
      </c>
      <c r="D111">
        <v>99.9</v>
      </c>
    </row>
    <row r="112" spans="1:4" x14ac:dyDescent="0.25">
      <c r="A112">
        <v>31</v>
      </c>
      <c r="B112">
        <f>logtemperature__9[[#This Row],[time]]-13</f>
        <v>18</v>
      </c>
      <c r="C112">
        <v>78.599999999999994</v>
      </c>
      <c r="D112">
        <v>99.9</v>
      </c>
    </row>
    <row r="113" spans="1:4" x14ac:dyDescent="0.25">
      <c r="A113">
        <v>32</v>
      </c>
      <c r="B113">
        <f>logtemperature__9[[#This Row],[time]]-13</f>
        <v>19</v>
      </c>
      <c r="C113">
        <v>79</v>
      </c>
      <c r="D113">
        <v>99.9</v>
      </c>
    </row>
    <row r="114" spans="1:4" x14ac:dyDescent="0.25">
      <c r="A114">
        <v>32</v>
      </c>
      <c r="B114">
        <f>logtemperature__9[[#This Row],[time]]-13</f>
        <v>19</v>
      </c>
      <c r="C114">
        <v>80.099999999999994</v>
      </c>
      <c r="D114">
        <v>48.7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25029-3FAD-437E-BEB3-7C0090946A08}">
  <dimension ref="A1:D101"/>
  <sheetViews>
    <sheetView topLeftCell="A54" workbookViewId="0">
      <selection activeCell="N95" sqref="N95"/>
    </sheetView>
  </sheetViews>
  <sheetFormatPr defaultColWidth="7.5703125" defaultRowHeight="15" x14ac:dyDescent="0.25"/>
  <cols>
    <col min="3" max="3" width="5" bestFit="1" customWidth="1"/>
  </cols>
  <sheetData>
    <row r="1" spans="1:4" x14ac:dyDescent="0.25">
      <c r="A1" t="s">
        <v>5</v>
      </c>
      <c r="B1" t="s">
        <v>7</v>
      </c>
      <c r="C1" t="s">
        <v>12</v>
      </c>
      <c r="D1" t="s">
        <v>11</v>
      </c>
    </row>
    <row r="2" spans="1:4" x14ac:dyDescent="0.25">
      <c r="A2">
        <v>17</v>
      </c>
      <c r="B2">
        <f>logtemperature__10[[#This Row],[time]]-17</f>
        <v>0</v>
      </c>
      <c r="C2">
        <v>21.5</v>
      </c>
      <c r="D2">
        <v>0</v>
      </c>
    </row>
    <row r="3" spans="1:4" x14ac:dyDescent="0.25">
      <c r="A3">
        <v>18</v>
      </c>
      <c r="B3">
        <f>logtemperature__10[[#This Row],[time]]-17</f>
        <v>1</v>
      </c>
      <c r="C3">
        <v>21.8</v>
      </c>
      <c r="D3">
        <v>87.1</v>
      </c>
    </row>
    <row r="4" spans="1:4" x14ac:dyDescent="0.25">
      <c r="A4">
        <v>18</v>
      </c>
      <c r="B4">
        <f>logtemperature__10[[#This Row],[time]]-17</f>
        <v>1</v>
      </c>
      <c r="C4">
        <v>24.7</v>
      </c>
      <c r="D4">
        <v>98.3</v>
      </c>
    </row>
    <row r="5" spans="1:4" x14ac:dyDescent="0.25">
      <c r="A5">
        <v>18</v>
      </c>
      <c r="B5">
        <f>logtemperature__10[[#This Row],[time]]-17</f>
        <v>1</v>
      </c>
      <c r="C5">
        <v>28.8</v>
      </c>
      <c r="D5">
        <v>99.7</v>
      </c>
    </row>
    <row r="6" spans="1:4" x14ac:dyDescent="0.25">
      <c r="A6">
        <v>18</v>
      </c>
      <c r="B6">
        <f>logtemperature__10[[#This Row],[time]]-17</f>
        <v>1</v>
      </c>
      <c r="C6">
        <v>32.5</v>
      </c>
      <c r="D6">
        <v>99.9</v>
      </c>
    </row>
    <row r="7" spans="1:4" x14ac:dyDescent="0.25">
      <c r="A7">
        <v>18</v>
      </c>
      <c r="B7">
        <f>logtemperature__10[[#This Row],[time]]-17</f>
        <v>1</v>
      </c>
      <c r="C7">
        <v>35.700000000000003</v>
      </c>
      <c r="D7">
        <v>99.9</v>
      </c>
    </row>
    <row r="8" spans="1:4" x14ac:dyDescent="0.25">
      <c r="A8">
        <v>18</v>
      </c>
      <c r="B8">
        <f>logtemperature__10[[#This Row],[time]]-17</f>
        <v>1</v>
      </c>
      <c r="C8">
        <v>38.4</v>
      </c>
      <c r="D8">
        <v>99.9</v>
      </c>
    </row>
    <row r="9" spans="1:4" x14ac:dyDescent="0.25">
      <c r="A9">
        <v>19</v>
      </c>
      <c r="B9">
        <f>logtemperature__10[[#This Row],[time]]-17</f>
        <v>2</v>
      </c>
      <c r="C9">
        <v>40.200000000000003</v>
      </c>
      <c r="D9">
        <v>99.9</v>
      </c>
    </row>
    <row r="10" spans="1:4" x14ac:dyDescent="0.25">
      <c r="A10">
        <v>19</v>
      </c>
      <c r="B10">
        <f>logtemperature__10[[#This Row],[time]]-17</f>
        <v>2</v>
      </c>
      <c r="C10">
        <v>41.5</v>
      </c>
      <c r="D10">
        <v>99.9</v>
      </c>
    </row>
    <row r="11" spans="1:4" x14ac:dyDescent="0.25">
      <c r="A11">
        <v>19</v>
      </c>
      <c r="B11">
        <f>logtemperature__10[[#This Row],[time]]-17</f>
        <v>2</v>
      </c>
      <c r="C11">
        <v>42.1</v>
      </c>
      <c r="D11">
        <v>99.9</v>
      </c>
    </row>
    <row r="12" spans="1:4" x14ac:dyDescent="0.25">
      <c r="A12">
        <v>19</v>
      </c>
      <c r="B12">
        <f>logtemperature__10[[#This Row],[time]]-17</f>
        <v>2</v>
      </c>
      <c r="C12">
        <v>43.3</v>
      </c>
      <c r="D12">
        <v>99.9</v>
      </c>
    </row>
    <row r="13" spans="1:4" x14ac:dyDescent="0.25">
      <c r="A13">
        <v>19</v>
      </c>
      <c r="B13">
        <f>logtemperature__10[[#This Row],[time]]-17</f>
        <v>2</v>
      </c>
      <c r="C13">
        <v>44.5</v>
      </c>
      <c r="D13">
        <v>99.9</v>
      </c>
    </row>
    <row r="14" spans="1:4" x14ac:dyDescent="0.25">
      <c r="A14">
        <v>19</v>
      </c>
      <c r="B14">
        <f>logtemperature__10[[#This Row],[time]]-17</f>
        <v>2</v>
      </c>
      <c r="C14">
        <v>45.8</v>
      </c>
      <c r="D14">
        <v>99.9</v>
      </c>
    </row>
    <row r="15" spans="1:4" x14ac:dyDescent="0.25">
      <c r="A15">
        <v>20</v>
      </c>
      <c r="B15">
        <f>logtemperature__10[[#This Row],[time]]-17</f>
        <v>3</v>
      </c>
      <c r="C15">
        <v>46.8</v>
      </c>
      <c r="D15">
        <v>99.9</v>
      </c>
    </row>
    <row r="16" spans="1:4" x14ac:dyDescent="0.25">
      <c r="A16">
        <v>20</v>
      </c>
      <c r="B16">
        <f>logtemperature__10[[#This Row],[time]]-17</f>
        <v>3</v>
      </c>
      <c r="C16">
        <v>46.9</v>
      </c>
      <c r="D16">
        <v>99.9</v>
      </c>
    </row>
    <row r="17" spans="1:4" x14ac:dyDescent="0.25">
      <c r="A17">
        <v>20</v>
      </c>
      <c r="B17">
        <f>logtemperature__10[[#This Row],[time]]-17</f>
        <v>3</v>
      </c>
      <c r="C17">
        <v>47.9</v>
      </c>
      <c r="D17">
        <v>99.9</v>
      </c>
    </row>
    <row r="18" spans="1:4" x14ac:dyDescent="0.25">
      <c r="A18">
        <v>20</v>
      </c>
      <c r="B18">
        <f>logtemperature__10[[#This Row],[time]]-17</f>
        <v>3</v>
      </c>
      <c r="C18">
        <v>48.9</v>
      </c>
      <c r="D18">
        <v>99.9</v>
      </c>
    </row>
    <row r="19" spans="1:4" x14ac:dyDescent="0.25">
      <c r="A19">
        <v>20</v>
      </c>
      <c r="B19">
        <f>logtemperature__10[[#This Row],[time]]-17</f>
        <v>3</v>
      </c>
      <c r="C19">
        <v>49.5</v>
      </c>
      <c r="D19">
        <v>99.9</v>
      </c>
    </row>
    <row r="20" spans="1:4" x14ac:dyDescent="0.25">
      <c r="A20">
        <v>20</v>
      </c>
      <c r="B20">
        <f>logtemperature__10[[#This Row],[time]]-17</f>
        <v>3</v>
      </c>
      <c r="C20">
        <v>50.3</v>
      </c>
      <c r="D20">
        <v>99.9</v>
      </c>
    </row>
    <row r="21" spans="1:4" x14ac:dyDescent="0.25">
      <c r="A21">
        <v>21</v>
      </c>
      <c r="B21">
        <f>logtemperature__10[[#This Row],[time]]-17</f>
        <v>4</v>
      </c>
      <c r="C21">
        <v>51.2</v>
      </c>
      <c r="D21">
        <v>99.9</v>
      </c>
    </row>
    <row r="22" spans="1:4" x14ac:dyDescent="0.25">
      <c r="A22">
        <v>21</v>
      </c>
      <c r="B22">
        <f>logtemperature__10[[#This Row],[time]]-17</f>
        <v>4</v>
      </c>
      <c r="C22">
        <v>52.1</v>
      </c>
      <c r="D22">
        <v>99.9</v>
      </c>
    </row>
    <row r="23" spans="1:4" x14ac:dyDescent="0.25">
      <c r="A23">
        <v>21</v>
      </c>
      <c r="B23">
        <f>logtemperature__10[[#This Row],[time]]-17</f>
        <v>4</v>
      </c>
      <c r="C23">
        <v>52.8</v>
      </c>
      <c r="D23">
        <v>99.9</v>
      </c>
    </row>
    <row r="24" spans="1:4" x14ac:dyDescent="0.25">
      <c r="A24">
        <v>21</v>
      </c>
      <c r="B24">
        <f>logtemperature__10[[#This Row],[time]]-17</f>
        <v>4</v>
      </c>
      <c r="C24">
        <v>53</v>
      </c>
      <c r="D24">
        <v>99.9</v>
      </c>
    </row>
    <row r="25" spans="1:4" x14ac:dyDescent="0.25">
      <c r="A25">
        <v>21</v>
      </c>
      <c r="B25">
        <f>logtemperature__10[[#This Row],[time]]-17</f>
        <v>4</v>
      </c>
      <c r="C25">
        <v>53.7</v>
      </c>
      <c r="D25">
        <v>99.9</v>
      </c>
    </row>
    <row r="26" spans="1:4" x14ac:dyDescent="0.25">
      <c r="A26">
        <v>22</v>
      </c>
      <c r="B26">
        <f>logtemperature__10[[#This Row],[time]]-17</f>
        <v>5</v>
      </c>
      <c r="C26">
        <v>54.8</v>
      </c>
      <c r="D26">
        <v>99.9</v>
      </c>
    </row>
    <row r="27" spans="1:4" x14ac:dyDescent="0.25">
      <c r="A27">
        <v>22</v>
      </c>
      <c r="B27">
        <f>logtemperature__10[[#This Row],[time]]-17</f>
        <v>5</v>
      </c>
      <c r="C27">
        <v>55.4</v>
      </c>
      <c r="D27">
        <v>99.9</v>
      </c>
    </row>
    <row r="28" spans="1:4" x14ac:dyDescent="0.25">
      <c r="A28">
        <v>22</v>
      </c>
      <c r="B28">
        <f>logtemperature__10[[#This Row],[time]]-17</f>
        <v>5</v>
      </c>
      <c r="C28">
        <v>56.4</v>
      </c>
      <c r="D28">
        <v>99.9</v>
      </c>
    </row>
    <row r="29" spans="1:4" x14ac:dyDescent="0.25">
      <c r="A29">
        <v>22</v>
      </c>
      <c r="B29">
        <f>logtemperature__10[[#This Row],[time]]-17</f>
        <v>5</v>
      </c>
      <c r="C29">
        <v>57.8</v>
      </c>
      <c r="D29">
        <v>99.9</v>
      </c>
    </row>
    <row r="30" spans="1:4" x14ac:dyDescent="0.25">
      <c r="A30">
        <v>22</v>
      </c>
      <c r="B30">
        <f>logtemperature__10[[#This Row],[time]]-17</f>
        <v>5</v>
      </c>
      <c r="C30">
        <v>57.8</v>
      </c>
      <c r="D30">
        <v>99.9</v>
      </c>
    </row>
    <row r="31" spans="1:4" x14ac:dyDescent="0.25">
      <c r="A31">
        <v>22</v>
      </c>
      <c r="B31">
        <f>logtemperature__10[[#This Row],[time]]-17</f>
        <v>5</v>
      </c>
      <c r="C31">
        <v>57.4</v>
      </c>
      <c r="D31">
        <v>99.9</v>
      </c>
    </row>
    <row r="32" spans="1:4" x14ac:dyDescent="0.25">
      <c r="A32">
        <v>23</v>
      </c>
      <c r="B32">
        <f>logtemperature__10[[#This Row],[time]]-17</f>
        <v>6</v>
      </c>
      <c r="C32">
        <v>58.6</v>
      </c>
      <c r="D32">
        <v>99.9</v>
      </c>
    </row>
    <row r="33" spans="1:4" x14ac:dyDescent="0.25">
      <c r="A33">
        <v>23</v>
      </c>
      <c r="B33">
        <f>logtemperature__10[[#This Row],[time]]-17</f>
        <v>6</v>
      </c>
      <c r="C33">
        <v>57.3</v>
      </c>
      <c r="D33">
        <v>99.9</v>
      </c>
    </row>
    <row r="34" spans="1:4" x14ac:dyDescent="0.25">
      <c r="A34">
        <v>23</v>
      </c>
      <c r="B34">
        <f>logtemperature__10[[#This Row],[time]]-17</f>
        <v>6</v>
      </c>
      <c r="C34">
        <v>59.7</v>
      </c>
      <c r="D34">
        <v>99.9</v>
      </c>
    </row>
    <row r="35" spans="1:4" x14ac:dyDescent="0.25">
      <c r="A35">
        <v>23</v>
      </c>
      <c r="B35">
        <f>logtemperature__10[[#This Row],[time]]-17</f>
        <v>6</v>
      </c>
      <c r="C35">
        <v>62.2</v>
      </c>
      <c r="D35">
        <v>99.9</v>
      </c>
    </row>
    <row r="36" spans="1:4" x14ac:dyDescent="0.25">
      <c r="A36">
        <v>23</v>
      </c>
      <c r="B36">
        <f>logtemperature__10[[#This Row],[time]]-17</f>
        <v>6</v>
      </c>
      <c r="C36">
        <v>63.2</v>
      </c>
      <c r="D36">
        <v>99.9</v>
      </c>
    </row>
    <row r="37" spans="1:4" x14ac:dyDescent="0.25">
      <c r="A37">
        <v>23</v>
      </c>
      <c r="B37">
        <f>logtemperature__10[[#This Row],[time]]-17</f>
        <v>6</v>
      </c>
      <c r="C37">
        <v>64.2</v>
      </c>
      <c r="D37">
        <v>99.9</v>
      </c>
    </row>
    <row r="38" spans="1:4" x14ac:dyDescent="0.25">
      <c r="A38">
        <v>24</v>
      </c>
      <c r="B38">
        <f>logtemperature__10[[#This Row],[time]]-17</f>
        <v>7</v>
      </c>
      <c r="C38">
        <v>63.6</v>
      </c>
      <c r="D38">
        <v>99.9</v>
      </c>
    </row>
    <row r="39" spans="1:4" x14ac:dyDescent="0.25">
      <c r="A39">
        <v>24</v>
      </c>
      <c r="B39">
        <f>logtemperature__10[[#This Row],[time]]-17</f>
        <v>7</v>
      </c>
      <c r="C39">
        <v>64.400000000000006</v>
      </c>
      <c r="D39">
        <v>99.9</v>
      </c>
    </row>
    <row r="40" spans="1:4" x14ac:dyDescent="0.25">
      <c r="A40">
        <v>24</v>
      </c>
      <c r="B40">
        <f>logtemperature__10[[#This Row],[time]]-17</f>
        <v>7</v>
      </c>
      <c r="C40">
        <v>65.2</v>
      </c>
      <c r="D40">
        <v>99.9</v>
      </c>
    </row>
    <row r="41" spans="1:4" x14ac:dyDescent="0.25">
      <c r="A41">
        <v>24</v>
      </c>
      <c r="B41">
        <f>logtemperature__10[[#This Row],[time]]-17</f>
        <v>7</v>
      </c>
      <c r="C41">
        <v>66.400000000000006</v>
      </c>
      <c r="D41">
        <v>99.9</v>
      </c>
    </row>
    <row r="42" spans="1:4" x14ac:dyDescent="0.25">
      <c r="A42">
        <v>24</v>
      </c>
      <c r="B42">
        <f>logtemperature__10[[#This Row],[time]]-17</f>
        <v>7</v>
      </c>
      <c r="C42">
        <v>66.8</v>
      </c>
      <c r="D42">
        <v>99.9</v>
      </c>
    </row>
    <row r="43" spans="1:4" x14ac:dyDescent="0.25">
      <c r="A43">
        <v>24</v>
      </c>
      <c r="B43">
        <f>logtemperature__10[[#This Row],[time]]-17</f>
        <v>7</v>
      </c>
      <c r="C43">
        <v>67.3</v>
      </c>
      <c r="D43">
        <v>99.9</v>
      </c>
    </row>
    <row r="44" spans="1:4" x14ac:dyDescent="0.25">
      <c r="A44">
        <v>25</v>
      </c>
      <c r="B44">
        <f>logtemperature__10[[#This Row],[time]]-17</f>
        <v>8</v>
      </c>
      <c r="C44">
        <v>68.5</v>
      </c>
      <c r="D44">
        <v>99.9</v>
      </c>
    </row>
    <row r="45" spans="1:4" x14ac:dyDescent="0.25">
      <c r="A45">
        <v>25</v>
      </c>
      <c r="B45">
        <f>logtemperature__10[[#This Row],[time]]-17</f>
        <v>8</v>
      </c>
      <c r="C45">
        <v>68.599999999999994</v>
      </c>
      <c r="D45">
        <v>99.9</v>
      </c>
    </row>
    <row r="46" spans="1:4" x14ac:dyDescent="0.25">
      <c r="A46">
        <v>25</v>
      </c>
      <c r="B46">
        <f>logtemperature__10[[#This Row],[time]]-17</f>
        <v>8</v>
      </c>
      <c r="C46">
        <v>68.8</v>
      </c>
      <c r="D46">
        <v>99.9</v>
      </c>
    </row>
    <row r="47" spans="1:4" x14ac:dyDescent="0.25">
      <c r="A47">
        <v>25</v>
      </c>
      <c r="B47">
        <f>logtemperature__10[[#This Row],[time]]-17</f>
        <v>8</v>
      </c>
      <c r="C47">
        <v>69.8</v>
      </c>
      <c r="D47">
        <v>99.9</v>
      </c>
    </row>
    <row r="48" spans="1:4" x14ac:dyDescent="0.25">
      <c r="A48">
        <v>25</v>
      </c>
      <c r="B48">
        <f>logtemperature__10[[#This Row],[time]]-17</f>
        <v>8</v>
      </c>
      <c r="C48">
        <v>70.3</v>
      </c>
      <c r="D48">
        <v>99.9</v>
      </c>
    </row>
    <row r="49" spans="1:4" x14ac:dyDescent="0.25">
      <c r="A49">
        <v>25</v>
      </c>
      <c r="B49">
        <f>logtemperature__10[[#This Row],[time]]-17</f>
        <v>8</v>
      </c>
      <c r="C49">
        <v>70.599999999999994</v>
      </c>
      <c r="D49">
        <v>99.9</v>
      </c>
    </row>
    <row r="50" spans="1:4" x14ac:dyDescent="0.25">
      <c r="A50">
        <v>26</v>
      </c>
      <c r="B50">
        <f>logtemperature__10[[#This Row],[time]]-17</f>
        <v>9</v>
      </c>
      <c r="C50">
        <v>71.2</v>
      </c>
      <c r="D50">
        <v>99.9</v>
      </c>
    </row>
    <row r="51" spans="1:4" x14ac:dyDescent="0.25">
      <c r="A51">
        <v>26</v>
      </c>
      <c r="B51">
        <f>logtemperature__10[[#This Row],[time]]-17</f>
        <v>9</v>
      </c>
      <c r="C51">
        <v>72</v>
      </c>
      <c r="D51">
        <v>99.9</v>
      </c>
    </row>
    <row r="52" spans="1:4" x14ac:dyDescent="0.25">
      <c r="A52">
        <v>26</v>
      </c>
      <c r="B52">
        <f>logtemperature__10[[#This Row],[time]]-17</f>
        <v>9</v>
      </c>
      <c r="C52">
        <v>72.7</v>
      </c>
      <c r="D52">
        <v>99.9</v>
      </c>
    </row>
    <row r="53" spans="1:4" x14ac:dyDescent="0.25">
      <c r="A53">
        <v>26</v>
      </c>
      <c r="B53">
        <f>logtemperature__10[[#This Row],[time]]-17</f>
        <v>9</v>
      </c>
      <c r="C53">
        <v>72.599999999999994</v>
      </c>
      <c r="D53">
        <v>99.9</v>
      </c>
    </row>
    <row r="54" spans="1:4" x14ac:dyDescent="0.25">
      <c r="A54">
        <v>26</v>
      </c>
      <c r="B54">
        <f>logtemperature__10[[#This Row],[time]]-17</f>
        <v>9</v>
      </c>
      <c r="C54">
        <v>73.2</v>
      </c>
      <c r="D54">
        <v>99.9</v>
      </c>
    </row>
    <row r="55" spans="1:4" x14ac:dyDescent="0.25">
      <c r="A55">
        <v>26</v>
      </c>
      <c r="B55">
        <f>logtemperature__10[[#This Row],[time]]-17</f>
        <v>9</v>
      </c>
      <c r="C55">
        <v>73.599999999999994</v>
      </c>
      <c r="D55">
        <v>99.9</v>
      </c>
    </row>
    <row r="56" spans="1:4" x14ac:dyDescent="0.25">
      <c r="A56">
        <v>27</v>
      </c>
      <c r="B56">
        <f>logtemperature__10[[#This Row],[time]]-17</f>
        <v>10</v>
      </c>
      <c r="C56">
        <v>73.099999999999994</v>
      </c>
      <c r="D56">
        <v>99.9</v>
      </c>
    </row>
    <row r="57" spans="1:4" x14ac:dyDescent="0.25">
      <c r="A57">
        <v>27</v>
      </c>
      <c r="B57">
        <f>logtemperature__10[[#This Row],[time]]-17</f>
        <v>10</v>
      </c>
      <c r="C57">
        <v>73.599999999999994</v>
      </c>
      <c r="D57">
        <v>99.9</v>
      </c>
    </row>
    <row r="58" spans="1:4" x14ac:dyDescent="0.25">
      <c r="A58">
        <v>27</v>
      </c>
      <c r="B58">
        <f>logtemperature__10[[#This Row],[time]]-17</f>
        <v>10</v>
      </c>
      <c r="C58">
        <v>73.5</v>
      </c>
      <c r="D58">
        <v>99.9</v>
      </c>
    </row>
    <row r="59" spans="1:4" x14ac:dyDescent="0.25">
      <c r="A59">
        <v>27</v>
      </c>
      <c r="B59">
        <f>logtemperature__10[[#This Row],[time]]-17</f>
        <v>10</v>
      </c>
      <c r="C59">
        <v>74.2</v>
      </c>
      <c r="D59">
        <v>99.9</v>
      </c>
    </row>
    <row r="60" spans="1:4" x14ac:dyDescent="0.25">
      <c r="A60">
        <v>27</v>
      </c>
      <c r="B60">
        <f>logtemperature__10[[#This Row],[time]]-17</f>
        <v>10</v>
      </c>
      <c r="C60">
        <v>74.5</v>
      </c>
      <c r="D60">
        <v>99.9</v>
      </c>
    </row>
    <row r="61" spans="1:4" x14ac:dyDescent="0.25">
      <c r="A61">
        <v>27</v>
      </c>
      <c r="B61">
        <f>logtemperature__10[[#This Row],[time]]-17</f>
        <v>10</v>
      </c>
      <c r="C61">
        <v>74.400000000000006</v>
      </c>
      <c r="D61">
        <v>99.9</v>
      </c>
    </row>
    <row r="62" spans="1:4" x14ac:dyDescent="0.25">
      <c r="A62">
        <v>28</v>
      </c>
      <c r="B62">
        <f>logtemperature__10[[#This Row],[time]]-17</f>
        <v>11</v>
      </c>
      <c r="C62">
        <v>74.599999999999994</v>
      </c>
      <c r="D62">
        <v>99.9</v>
      </c>
    </row>
    <row r="63" spans="1:4" x14ac:dyDescent="0.25">
      <c r="A63">
        <v>28</v>
      </c>
      <c r="B63">
        <f>logtemperature__10[[#This Row],[time]]-17</f>
        <v>11</v>
      </c>
      <c r="C63">
        <v>75.400000000000006</v>
      </c>
      <c r="D63">
        <v>99.9</v>
      </c>
    </row>
    <row r="64" spans="1:4" x14ac:dyDescent="0.25">
      <c r="A64">
        <v>28</v>
      </c>
      <c r="B64">
        <f>logtemperature__10[[#This Row],[time]]-17</f>
        <v>11</v>
      </c>
      <c r="C64">
        <v>75.8</v>
      </c>
      <c r="D64">
        <v>99.9</v>
      </c>
    </row>
    <row r="65" spans="1:4" x14ac:dyDescent="0.25">
      <c r="A65">
        <v>28</v>
      </c>
      <c r="B65">
        <f>logtemperature__10[[#This Row],[time]]-17</f>
        <v>11</v>
      </c>
      <c r="C65">
        <v>75.7</v>
      </c>
      <c r="D65">
        <v>99.9</v>
      </c>
    </row>
    <row r="66" spans="1:4" x14ac:dyDescent="0.25">
      <c r="A66">
        <v>28</v>
      </c>
      <c r="B66">
        <f>logtemperature__10[[#This Row],[time]]-17</f>
        <v>11</v>
      </c>
      <c r="C66">
        <v>76.2</v>
      </c>
      <c r="D66">
        <v>99.9</v>
      </c>
    </row>
    <row r="67" spans="1:4" x14ac:dyDescent="0.25">
      <c r="A67">
        <v>28</v>
      </c>
      <c r="B67">
        <f>logtemperature__10[[#This Row],[time]]-17</f>
        <v>11</v>
      </c>
      <c r="C67">
        <v>76.5</v>
      </c>
      <c r="D67">
        <v>99.9</v>
      </c>
    </row>
    <row r="68" spans="1:4" x14ac:dyDescent="0.25">
      <c r="A68">
        <v>29</v>
      </c>
      <c r="B68">
        <f>logtemperature__10[[#This Row],[time]]-17</f>
        <v>12</v>
      </c>
      <c r="C68">
        <v>76.900000000000006</v>
      </c>
      <c r="D68">
        <v>99.9</v>
      </c>
    </row>
    <row r="69" spans="1:4" x14ac:dyDescent="0.25">
      <c r="A69">
        <v>29</v>
      </c>
      <c r="B69">
        <f>logtemperature__10[[#This Row],[time]]-17</f>
        <v>12</v>
      </c>
      <c r="C69">
        <v>77.7</v>
      </c>
      <c r="D69">
        <v>99.9</v>
      </c>
    </row>
    <row r="70" spans="1:4" x14ac:dyDescent="0.25">
      <c r="A70">
        <v>29</v>
      </c>
      <c r="B70">
        <f>logtemperature__10[[#This Row],[time]]-17</f>
        <v>12</v>
      </c>
      <c r="C70">
        <v>77.5</v>
      </c>
      <c r="D70">
        <v>99.9</v>
      </c>
    </row>
    <row r="71" spans="1:4" x14ac:dyDescent="0.25">
      <c r="A71">
        <v>29</v>
      </c>
      <c r="B71">
        <f>logtemperature__10[[#This Row],[time]]-17</f>
        <v>12</v>
      </c>
      <c r="C71">
        <v>78.2</v>
      </c>
      <c r="D71">
        <v>99.9</v>
      </c>
    </row>
    <row r="72" spans="1:4" x14ac:dyDescent="0.25">
      <c r="A72">
        <v>29</v>
      </c>
      <c r="B72">
        <f>logtemperature__10[[#This Row],[time]]-17</f>
        <v>12</v>
      </c>
      <c r="C72">
        <v>78.5</v>
      </c>
      <c r="D72">
        <v>99.9</v>
      </c>
    </row>
    <row r="73" spans="1:4" x14ac:dyDescent="0.25">
      <c r="A73">
        <v>29</v>
      </c>
      <c r="B73">
        <f>logtemperature__10[[#This Row],[time]]-17</f>
        <v>12</v>
      </c>
      <c r="C73">
        <v>79.099999999999994</v>
      </c>
      <c r="D73">
        <v>99.9</v>
      </c>
    </row>
    <row r="74" spans="1:4" x14ac:dyDescent="0.25">
      <c r="A74">
        <v>30</v>
      </c>
      <c r="B74">
        <f>logtemperature__10[[#This Row],[time]]-17</f>
        <v>13</v>
      </c>
      <c r="C74">
        <v>79.3</v>
      </c>
      <c r="D74">
        <v>99.9</v>
      </c>
    </row>
    <row r="75" spans="1:4" x14ac:dyDescent="0.25">
      <c r="A75">
        <v>30</v>
      </c>
      <c r="B75">
        <f>logtemperature__10[[#This Row],[time]]-17</f>
        <v>13</v>
      </c>
      <c r="C75">
        <v>79.5</v>
      </c>
      <c r="D75">
        <v>99.9</v>
      </c>
    </row>
    <row r="76" spans="1:4" x14ac:dyDescent="0.25">
      <c r="A76">
        <v>30</v>
      </c>
      <c r="B76">
        <f>logtemperature__10[[#This Row],[time]]-17</f>
        <v>13</v>
      </c>
      <c r="C76">
        <v>79.900000000000006</v>
      </c>
      <c r="D76">
        <v>99.9</v>
      </c>
    </row>
    <row r="77" spans="1:4" x14ac:dyDescent="0.25">
      <c r="A77">
        <v>30</v>
      </c>
      <c r="B77">
        <f>logtemperature__10[[#This Row],[time]]-17</f>
        <v>13</v>
      </c>
      <c r="C77">
        <v>80.400000000000006</v>
      </c>
      <c r="D77">
        <v>99.9</v>
      </c>
    </row>
    <row r="78" spans="1:4" x14ac:dyDescent="0.25">
      <c r="A78">
        <v>30</v>
      </c>
      <c r="B78">
        <f>logtemperature__10[[#This Row],[time]]-17</f>
        <v>13</v>
      </c>
      <c r="C78">
        <v>79.900000000000006</v>
      </c>
      <c r="D78">
        <v>35</v>
      </c>
    </row>
    <row r="79" spans="1:4" x14ac:dyDescent="0.25">
      <c r="A79">
        <v>30</v>
      </c>
      <c r="B79">
        <f>logtemperature__10[[#This Row],[time]]-17</f>
        <v>13</v>
      </c>
      <c r="C79">
        <v>79.3</v>
      </c>
      <c r="D79">
        <v>86.6</v>
      </c>
    </row>
    <row r="80" spans="1:4" x14ac:dyDescent="0.25">
      <c r="A80">
        <v>31</v>
      </c>
      <c r="B80">
        <f>logtemperature__10[[#This Row],[time]]-17</f>
        <v>14</v>
      </c>
      <c r="C80">
        <v>79.900000000000006</v>
      </c>
      <c r="D80">
        <v>98.3</v>
      </c>
    </row>
    <row r="81" spans="1:4" x14ac:dyDescent="0.25">
      <c r="A81">
        <v>31</v>
      </c>
      <c r="B81">
        <f>logtemperature__10[[#This Row],[time]]-17</f>
        <v>14</v>
      </c>
      <c r="C81">
        <v>80.400000000000006</v>
      </c>
      <c r="D81">
        <v>18.100000000000001</v>
      </c>
    </row>
    <row r="82" spans="1:4" x14ac:dyDescent="0.25">
      <c r="A82">
        <v>31</v>
      </c>
      <c r="B82">
        <f>logtemperature__10[[#This Row],[time]]-17</f>
        <v>14</v>
      </c>
      <c r="C82">
        <v>79.400000000000006</v>
      </c>
      <c r="D82">
        <v>62.6</v>
      </c>
    </row>
    <row r="83" spans="1:4" x14ac:dyDescent="0.25">
      <c r="A83">
        <v>31</v>
      </c>
      <c r="B83">
        <f>logtemperature__10[[#This Row],[time]]-17</f>
        <v>14</v>
      </c>
      <c r="C83">
        <v>78.900000000000006</v>
      </c>
      <c r="D83">
        <v>95.1</v>
      </c>
    </row>
    <row r="84" spans="1:4" x14ac:dyDescent="0.25">
      <c r="A84">
        <v>31</v>
      </c>
      <c r="B84">
        <f>logtemperature__10[[#This Row],[time]]-17</f>
        <v>14</v>
      </c>
      <c r="C84">
        <v>79.900000000000006</v>
      </c>
      <c r="D84">
        <v>99.3</v>
      </c>
    </row>
    <row r="85" spans="1:4" x14ac:dyDescent="0.25">
      <c r="A85">
        <v>31</v>
      </c>
      <c r="B85">
        <f>logtemperature__10[[#This Row],[time]]-17</f>
        <v>14</v>
      </c>
      <c r="C85">
        <v>80.8</v>
      </c>
      <c r="D85">
        <v>12.7</v>
      </c>
    </row>
    <row r="86" spans="1:4" x14ac:dyDescent="0.25">
      <c r="A86">
        <v>32</v>
      </c>
      <c r="B86">
        <f>logtemperature__10[[#This Row],[time]]-17</f>
        <v>15</v>
      </c>
      <c r="C86">
        <v>79.400000000000006</v>
      </c>
      <c r="D86">
        <v>50.3</v>
      </c>
    </row>
    <row r="87" spans="1:4" x14ac:dyDescent="0.25">
      <c r="A87">
        <v>32</v>
      </c>
      <c r="B87">
        <f>logtemperature__10[[#This Row],[time]]-17</f>
        <v>15</v>
      </c>
      <c r="C87">
        <v>78.8</v>
      </c>
      <c r="D87">
        <v>93.6</v>
      </c>
    </row>
    <row r="88" spans="1:4" x14ac:dyDescent="0.25">
      <c r="A88">
        <v>32</v>
      </c>
      <c r="B88">
        <f>logtemperature__10[[#This Row],[time]]-17</f>
        <v>15</v>
      </c>
      <c r="C88">
        <v>79.7</v>
      </c>
      <c r="D88">
        <v>99.1</v>
      </c>
    </row>
    <row r="89" spans="1:4" x14ac:dyDescent="0.25">
      <c r="A89">
        <v>32</v>
      </c>
      <c r="B89">
        <f>logtemperature__10[[#This Row],[time]]-17</f>
        <v>15</v>
      </c>
      <c r="C89">
        <v>81</v>
      </c>
      <c r="D89">
        <v>21.3</v>
      </c>
    </row>
    <row r="90" spans="1:4" x14ac:dyDescent="0.25">
      <c r="A90">
        <v>32</v>
      </c>
      <c r="B90">
        <f>logtemperature__10[[#This Row],[time]]-17</f>
        <v>15</v>
      </c>
      <c r="C90">
        <v>80</v>
      </c>
      <c r="D90">
        <v>2.7</v>
      </c>
    </row>
    <row r="91" spans="1:4" x14ac:dyDescent="0.25">
      <c r="A91">
        <v>32</v>
      </c>
      <c r="B91">
        <f>logtemperature__10[[#This Row],[time]]-17</f>
        <v>15</v>
      </c>
      <c r="C91">
        <v>78.900000000000006</v>
      </c>
      <c r="D91">
        <v>88.1</v>
      </c>
    </row>
    <row r="92" spans="1:4" x14ac:dyDescent="0.25">
      <c r="A92">
        <v>33</v>
      </c>
      <c r="B92">
        <f>logtemperature__10[[#This Row],[time]]-17</f>
        <v>16</v>
      </c>
      <c r="C92">
        <v>80.099999999999994</v>
      </c>
      <c r="D92">
        <v>79.900000000000006</v>
      </c>
    </row>
    <row r="93" spans="1:4" x14ac:dyDescent="0.25">
      <c r="A93">
        <v>33</v>
      </c>
      <c r="B93">
        <f>logtemperature__10[[#This Row],[time]]-17</f>
        <v>16</v>
      </c>
      <c r="C93">
        <v>81</v>
      </c>
      <c r="D93">
        <v>10.199999999999999</v>
      </c>
    </row>
    <row r="94" spans="1:4" x14ac:dyDescent="0.25">
      <c r="A94">
        <v>33</v>
      </c>
      <c r="B94">
        <f>logtemperature__10[[#This Row],[time]]-17</f>
        <v>16</v>
      </c>
      <c r="C94">
        <v>79.900000000000006</v>
      </c>
      <c r="D94">
        <v>6.3</v>
      </c>
    </row>
    <row r="95" spans="1:4" x14ac:dyDescent="0.25">
      <c r="A95">
        <v>33</v>
      </c>
      <c r="B95">
        <f>logtemperature__10[[#This Row],[time]]-17</f>
        <v>16</v>
      </c>
      <c r="C95">
        <v>78.8</v>
      </c>
      <c r="D95">
        <v>87.9</v>
      </c>
    </row>
    <row r="96" spans="1:4" x14ac:dyDescent="0.25">
      <c r="A96">
        <v>33</v>
      </c>
      <c r="B96">
        <f>logtemperature__10[[#This Row],[time]]-17</f>
        <v>16</v>
      </c>
      <c r="C96">
        <v>79.599999999999994</v>
      </c>
      <c r="D96">
        <v>98.5</v>
      </c>
    </row>
    <row r="97" spans="1:4" x14ac:dyDescent="0.25">
      <c r="A97">
        <v>33</v>
      </c>
      <c r="B97">
        <f>logtemperature__10[[#This Row],[time]]-17</f>
        <v>16</v>
      </c>
      <c r="C97">
        <v>80.8</v>
      </c>
      <c r="D97">
        <v>15.5</v>
      </c>
    </row>
    <row r="98" spans="1:4" x14ac:dyDescent="0.25">
      <c r="A98">
        <v>34</v>
      </c>
      <c r="B98">
        <f>logtemperature__10[[#This Row],[time]]-17</f>
        <v>17</v>
      </c>
      <c r="C98">
        <v>80.5</v>
      </c>
      <c r="D98">
        <v>2</v>
      </c>
    </row>
    <row r="99" spans="1:4" x14ac:dyDescent="0.25">
      <c r="A99">
        <v>34</v>
      </c>
      <c r="B99">
        <f>logtemperature__10[[#This Row],[time]]-17</f>
        <v>17</v>
      </c>
      <c r="C99">
        <v>79</v>
      </c>
      <c r="D99">
        <v>75.2</v>
      </c>
    </row>
    <row r="100" spans="1:4" x14ac:dyDescent="0.25">
      <c r="A100">
        <v>34</v>
      </c>
      <c r="B100">
        <f>logtemperature__10[[#This Row],[time]]-17</f>
        <v>17</v>
      </c>
      <c r="C100">
        <v>79.099999999999994</v>
      </c>
      <c r="D100">
        <v>96.8</v>
      </c>
    </row>
    <row r="101" spans="1:4" x14ac:dyDescent="0.25">
      <c r="A101">
        <v>34</v>
      </c>
      <c r="B101">
        <f>logtemperature__10[[#This Row],[time]]-17</f>
        <v>17</v>
      </c>
      <c r="C101">
        <v>80.900000000000006</v>
      </c>
      <c r="D101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27534-1EDC-41DD-AF4A-B4A015083202}">
  <dimension ref="A1:C100"/>
  <sheetViews>
    <sheetView topLeftCell="A44" workbookViewId="0"/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18</v>
      </c>
      <c r="B2">
        <v>21.8</v>
      </c>
      <c r="C2">
        <v>87.1</v>
      </c>
    </row>
    <row r="3" spans="1:3" x14ac:dyDescent="0.25">
      <c r="A3">
        <v>18</v>
      </c>
      <c r="B3">
        <v>24.7</v>
      </c>
      <c r="C3">
        <v>98.3</v>
      </c>
    </row>
    <row r="4" spans="1:3" x14ac:dyDescent="0.25">
      <c r="A4">
        <v>18</v>
      </c>
      <c r="B4">
        <v>28.8</v>
      </c>
      <c r="C4">
        <v>99.7</v>
      </c>
    </row>
    <row r="5" spans="1:3" x14ac:dyDescent="0.25">
      <c r="A5">
        <v>18</v>
      </c>
      <c r="B5">
        <v>32.5</v>
      </c>
      <c r="C5">
        <v>99.9</v>
      </c>
    </row>
    <row r="6" spans="1:3" x14ac:dyDescent="0.25">
      <c r="A6">
        <v>18</v>
      </c>
      <c r="B6">
        <v>35.700000000000003</v>
      </c>
      <c r="C6">
        <v>99.9</v>
      </c>
    </row>
    <row r="7" spans="1:3" x14ac:dyDescent="0.25">
      <c r="A7">
        <v>18</v>
      </c>
      <c r="B7">
        <v>38.4</v>
      </c>
      <c r="C7">
        <v>99.9</v>
      </c>
    </row>
    <row r="8" spans="1:3" x14ac:dyDescent="0.25">
      <c r="A8">
        <v>19</v>
      </c>
      <c r="B8">
        <v>40.200000000000003</v>
      </c>
      <c r="C8">
        <v>99.9</v>
      </c>
    </row>
    <row r="9" spans="1:3" x14ac:dyDescent="0.25">
      <c r="A9">
        <v>19</v>
      </c>
      <c r="B9">
        <v>41.5</v>
      </c>
      <c r="C9">
        <v>99.9</v>
      </c>
    </row>
    <row r="10" spans="1:3" x14ac:dyDescent="0.25">
      <c r="A10">
        <v>19</v>
      </c>
      <c r="B10">
        <v>42.1</v>
      </c>
      <c r="C10">
        <v>99.9</v>
      </c>
    </row>
    <row r="11" spans="1:3" x14ac:dyDescent="0.25">
      <c r="A11">
        <v>19</v>
      </c>
      <c r="B11">
        <v>43.3</v>
      </c>
      <c r="C11">
        <v>99.9</v>
      </c>
    </row>
    <row r="12" spans="1:3" x14ac:dyDescent="0.25">
      <c r="A12">
        <v>19</v>
      </c>
      <c r="B12">
        <v>44.5</v>
      </c>
      <c r="C12">
        <v>99.9</v>
      </c>
    </row>
    <row r="13" spans="1:3" x14ac:dyDescent="0.25">
      <c r="A13">
        <v>19</v>
      </c>
      <c r="B13">
        <v>45.8</v>
      </c>
      <c r="C13">
        <v>99.9</v>
      </c>
    </row>
    <row r="14" spans="1:3" x14ac:dyDescent="0.25">
      <c r="A14">
        <v>20</v>
      </c>
      <c r="B14">
        <v>46.8</v>
      </c>
      <c r="C14">
        <v>99.9</v>
      </c>
    </row>
    <row r="15" spans="1:3" x14ac:dyDescent="0.25">
      <c r="A15">
        <v>20</v>
      </c>
      <c r="B15">
        <v>46.9</v>
      </c>
      <c r="C15">
        <v>99.9</v>
      </c>
    </row>
    <row r="16" spans="1:3" x14ac:dyDescent="0.25">
      <c r="A16">
        <v>20</v>
      </c>
      <c r="B16">
        <v>47.9</v>
      </c>
      <c r="C16">
        <v>99.9</v>
      </c>
    </row>
    <row r="17" spans="1:3" x14ac:dyDescent="0.25">
      <c r="A17">
        <v>20</v>
      </c>
      <c r="B17">
        <v>48.9</v>
      </c>
      <c r="C17">
        <v>99.9</v>
      </c>
    </row>
    <row r="18" spans="1:3" x14ac:dyDescent="0.25">
      <c r="A18">
        <v>20</v>
      </c>
      <c r="B18">
        <v>49.5</v>
      </c>
      <c r="C18">
        <v>99.9</v>
      </c>
    </row>
    <row r="19" spans="1:3" x14ac:dyDescent="0.25">
      <c r="A19">
        <v>20</v>
      </c>
      <c r="B19">
        <v>50.3</v>
      </c>
      <c r="C19">
        <v>99.9</v>
      </c>
    </row>
    <row r="20" spans="1:3" x14ac:dyDescent="0.25">
      <c r="A20">
        <v>21</v>
      </c>
      <c r="B20">
        <v>51.2</v>
      </c>
      <c r="C20">
        <v>99.9</v>
      </c>
    </row>
    <row r="21" spans="1:3" x14ac:dyDescent="0.25">
      <c r="A21">
        <v>21</v>
      </c>
      <c r="B21">
        <v>52.1</v>
      </c>
      <c r="C21">
        <v>99.9</v>
      </c>
    </row>
    <row r="22" spans="1:3" x14ac:dyDescent="0.25">
      <c r="A22">
        <v>21</v>
      </c>
      <c r="B22">
        <v>52.8</v>
      </c>
      <c r="C22">
        <v>99.9</v>
      </c>
    </row>
    <row r="23" spans="1:3" x14ac:dyDescent="0.25">
      <c r="A23">
        <v>21</v>
      </c>
      <c r="B23">
        <v>53</v>
      </c>
      <c r="C23">
        <v>99.9</v>
      </c>
    </row>
    <row r="24" spans="1:3" x14ac:dyDescent="0.25">
      <c r="A24">
        <v>21</v>
      </c>
      <c r="B24">
        <v>53.7</v>
      </c>
      <c r="C24">
        <v>99.9</v>
      </c>
    </row>
    <row r="25" spans="1:3" x14ac:dyDescent="0.25">
      <c r="A25">
        <v>22</v>
      </c>
      <c r="B25">
        <v>54.8</v>
      </c>
      <c r="C25">
        <v>99.9</v>
      </c>
    </row>
    <row r="26" spans="1:3" x14ac:dyDescent="0.25">
      <c r="A26">
        <v>22</v>
      </c>
      <c r="B26">
        <v>55.4</v>
      </c>
      <c r="C26">
        <v>99.9</v>
      </c>
    </row>
    <row r="27" spans="1:3" x14ac:dyDescent="0.25">
      <c r="A27">
        <v>22</v>
      </c>
      <c r="B27">
        <v>56.4</v>
      </c>
      <c r="C27">
        <v>99.9</v>
      </c>
    </row>
    <row r="28" spans="1:3" x14ac:dyDescent="0.25">
      <c r="A28">
        <v>22</v>
      </c>
      <c r="B28">
        <v>57.8</v>
      </c>
      <c r="C28">
        <v>99.9</v>
      </c>
    </row>
    <row r="29" spans="1:3" x14ac:dyDescent="0.25">
      <c r="A29">
        <v>22</v>
      </c>
      <c r="B29">
        <v>57.8</v>
      </c>
      <c r="C29">
        <v>99.9</v>
      </c>
    </row>
    <row r="30" spans="1:3" x14ac:dyDescent="0.25">
      <c r="A30">
        <v>22</v>
      </c>
      <c r="B30">
        <v>57.4</v>
      </c>
      <c r="C30">
        <v>99.9</v>
      </c>
    </row>
    <row r="31" spans="1:3" x14ac:dyDescent="0.25">
      <c r="A31">
        <v>23</v>
      </c>
      <c r="B31">
        <v>58.6</v>
      </c>
      <c r="C31">
        <v>99.9</v>
      </c>
    </row>
    <row r="32" spans="1:3" x14ac:dyDescent="0.25">
      <c r="A32">
        <v>23</v>
      </c>
      <c r="B32">
        <v>57.3</v>
      </c>
      <c r="C32">
        <v>99.9</v>
      </c>
    </row>
    <row r="33" spans="1:3" x14ac:dyDescent="0.25">
      <c r="A33">
        <v>23</v>
      </c>
      <c r="B33">
        <v>59.7</v>
      </c>
      <c r="C33">
        <v>99.9</v>
      </c>
    </row>
    <row r="34" spans="1:3" x14ac:dyDescent="0.25">
      <c r="A34">
        <v>23</v>
      </c>
      <c r="B34">
        <v>62.2</v>
      </c>
      <c r="C34">
        <v>99.9</v>
      </c>
    </row>
    <row r="35" spans="1:3" x14ac:dyDescent="0.25">
      <c r="A35">
        <v>23</v>
      </c>
      <c r="B35">
        <v>63.2</v>
      </c>
      <c r="C35">
        <v>99.9</v>
      </c>
    </row>
    <row r="36" spans="1:3" x14ac:dyDescent="0.25">
      <c r="A36">
        <v>23</v>
      </c>
      <c r="B36">
        <v>64.2</v>
      </c>
      <c r="C36">
        <v>99.9</v>
      </c>
    </row>
    <row r="37" spans="1:3" x14ac:dyDescent="0.25">
      <c r="A37">
        <v>24</v>
      </c>
      <c r="B37">
        <v>63.6</v>
      </c>
      <c r="C37">
        <v>99.9</v>
      </c>
    </row>
    <row r="38" spans="1:3" x14ac:dyDescent="0.25">
      <c r="A38">
        <v>24</v>
      </c>
      <c r="B38">
        <v>64.400000000000006</v>
      </c>
      <c r="C38">
        <v>99.9</v>
      </c>
    </row>
    <row r="39" spans="1:3" x14ac:dyDescent="0.25">
      <c r="A39">
        <v>24</v>
      </c>
      <c r="B39">
        <v>65.2</v>
      </c>
      <c r="C39">
        <v>99.9</v>
      </c>
    </row>
    <row r="40" spans="1:3" x14ac:dyDescent="0.25">
      <c r="A40">
        <v>24</v>
      </c>
      <c r="B40">
        <v>66.400000000000006</v>
      </c>
      <c r="C40">
        <v>99.9</v>
      </c>
    </row>
    <row r="41" spans="1:3" x14ac:dyDescent="0.25">
      <c r="A41">
        <v>24</v>
      </c>
      <c r="B41">
        <v>66.8</v>
      </c>
      <c r="C41">
        <v>99.9</v>
      </c>
    </row>
    <row r="42" spans="1:3" x14ac:dyDescent="0.25">
      <c r="A42">
        <v>24</v>
      </c>
      <c r="B42">
        <v>67.3</v>
      </c>
      <c r="C42">
        <v>99.9</v>
      </c>
    </row>
    <row r="43" spans="1:3" x14ac:dyDescent="0.25">
      <c r="A43">
        <v>25</v>
      </c>
      <c r="B43">
        <v>68.5</v>
      </c>
      <c r="C43">
        <v>99.9</v>
      </c>
    </row>
    <row r="44" spans="1:3" x14ac:dyDescent="0.25">
      <c r="A44">
        <v>25</v>
      </c>
      <c r="B44">
        <v>68.599999999999994</v>
      </c>
      <c r="C44">
        <v>99.9</v>
      </c>
    </row>
    <row r="45" spans="1:3" x14ac:dyDescent="0.25">
      <c r="A45">
        <v>25</v>
      </c>
      <c r="B45">
        <v>68.8</v>
      </c>
      <c r="C45">
        <v>99.9</v>
      </c>
    </row>
    <row r="46" spans="1:3" x14ac:dyDescent="0.25">
      <c r="A46">
        <v>25</v>
      </c>
      <c r="B46">
        <v>69.8</v>
      </c>
      <c r="C46">
        <v>99.9</v>
      </c>
    </row>
    <row r="47" spans="1:3" x14ac:dyDescent="0.25">
      <c r="A47">
        <v>25</v>
      </c>
      <c r="B47">
        <v>70.3</v>
      </c>
      <c r="C47">
        <v>99.9</v>
      </c>
    </row>
    <row r="48" spans="1:3" x14ac:dyDescent="0.25">
      <c r="A48">
        <v>25</v>
      </c>
      <c r="B48">
        <v>70.599999999999994</v>
      </c>
      <c r="C48">
        <v>99.9</v>
      </c>
    </row>
    <row r="49" spans="1:3" x14ac:dyDescent="0.25">
      <c r="A49">
        <v>26</v>
      </c>
      <c r="B49">
        <v>71.2</v>
      </c>
      <c r="C49">
        <v>99.9</v>
      </c>
    </row>
    <row r="50" spans="1:3" x14ac:dyDescent="0.25">
      <c r="A50">
        <v>26</v>
      </c>
      <c r="B50">
        <v>72</v>
      </c>
      <c r="C50">
        <v>99.9</v>
      </c>
    </row>
    <row r="51" spans="1:3" x14ac:dyDescent="0.25">
      <c r="A51">
        <v>26</v>
      </c>
      <c r="B51">
        <v>72.7</v>
      </c>
      <c r="C51">
        <v>99.9</v>
      </c>
    </row>
    <row r="52" spans="1:3" x14ac:dyDescent="0.25">
      <c r="A52">
        <v>26</v>
      </c>
      <c r="B52">
        <v>72.599999999999994</v>
      </c>
      <c r="C52">
        <v>99.9</v>
      </c>
    </row>
    <row r="53" spans="1:3" x14ac:dyDescent="0.25">
      <c r="A53">
        <v>26</v>
      </c>
      <c r="B53">
        <v>73.2</v>
      </c>
      <c r="C53">
        <v>99.9</v>
      </c>
    </row>
    <row r="54" spans="1:3" x14ac:dyDescent="0.25">
      <c r="A54">
        <v>26</v>
      </c>
      <c r="B54">
        <v>73.599999999999994</v>
      </c>
      <c r="C54">
        <v>99.9</v>
      </c>
    </row>
    <row r="55" spans="1:3" x14ac:dyDescent="0.25">
      <c r="A55">
        <v>27</v>
      </c>
      <c r="B55">
        <v>73.099999999999994</v>
      </c>
      <c r="C55">
        <v>99.9</v>
      </c>
    </row>
    <row r="56" spans="1:3" x14ac:dyDescent="0.25">
      <c r="A56">
        <v>27</v>
      </c>
      <c r="B56">
        <v>73.599999999999994</v>
      </c>
      <c r="C56">
        <v>99.9</v>
      </c>
    </row>
    <row r="57" spans="1:3" x14ac:dyDescent="0.25">
      <c r="A57">
        <v>27</v>
      </c>
      <c r="B57">
        <v>73.5</v>
      </c>
      <c r="C57">
        <v>99.9</v>
      </c>
    </row>
    <row r="58" spans="1:3" x14ac:dyDescent="0.25">
      <c r="A58">
        <v>27</v>
      </c>
      <c r="B58">
        <v>74.2</v>
      </c>
      <c r="C58">
        <v>99.9</v>
      </c>
    </row>
    <row r="59" spans="1:3" x14ac:dyDescent="0.25">
      <c r="A59">
        <v>27</v>
      </c>
      <c r="B59">
        <v>74.5</v>
      </c>
      <c r="C59">
        <v>99.9</v>
      </c>
    </row>
    <row r="60" spans="1:3" x14ac:dyDescent="0.25">
      <c r="A60">
        <v>27</v>
      </c>
      <c r="B60">
        <v>74.400000000000006</v>
      </c>
      <c r="C60">
        <v>99.9</v>
      </c>
    </row>
    <row r="61" spans="1:3" x14ac:dyDescent="0.25">
      <c r="A61">
        <v>28</v>
      </c>
      <c r="B61">
        <v>74.599999999999994</v>
      </c>
      <c r="C61">
        <v>99.9</v>
      </c>
    </row>
    <row r="62" spans="1:3" x14ac:dyDescent="0.25">
      <c r="A62">
        <v>28</v>
      </c>
      <c r="B62">
        <v>75.400000000000006</v>
      </c>
      <c r="C62">
        <v>99.9</v>
      </c>
    </row>
    <row r="63" spans="1:3" x14ac:dyDescent="0.25">
      <c r="A63">
        <v>28</v>
      </c>
      <c r="B63">
        <v>75.8</v>
      </c>
      <c r="C63">
        <v>99.9</v>
      </c>
    </row>
    <row r="64" spans="1:3" x14ac:dyDescent="0.25">
      <c r="A64">
        <v>28</v>
      </c>
      <c r="B64">
        <v>75.7</v>
      </c>
      <c r="C64">
        <v>99.9</v>
      </c>
    </row>
    <row r="65" spans="1:3" x14ac:dyDescent="0.25">
      <c r="A65">
        <v>28</v>
      </c>
      <c r="B65">
        <v>76.2</v>
      </c>
      <c r="C65">
        <v>99.9</v>
      </c>
    </row>
    <row r="66" spans="1:3" x14ac:dyDescent="0.25">
      <c r="A66">
        <v>28</v>
      </c>
      <c r="B66">
        <v>76.5</v>
      </c>
      <c r="C66">
        <v>99.9</v>
      </c>
    </row>
    <row r="67" spans="1:3" x14ac:dyDescent="0.25">
      <c r="A67">
        <v>29</v>
      </c>
      <c r="B67">
        <v>76.900000000000006</v>
      </c>
      <c r="C67">
        <v>99.9</v>
      </c>
    </row>
    <row r="68" spans="1:3" x14ac:dyDescent="0.25">
      <c r="A68">
        <v>29</v>
      </c>
      <c r="B68">
        <v>77.7</v>
      </c>
      <c r="C68">
        <v>99.9</v>
      </c>
    </row>
    <row r="69" spans="1:3" x14ac:dyDescent="0.25">
      <c r="A69">
        <v>29</v>
      </c>
      <c r="B69">
        <v>77.5</v>
      </c>
      <c r="C69">
        <v>99.9</v>
      </c>
    </row>
    <row r="70" spans="1:3" x14ac:dyDescent="0.25">
      <c r="A70">
        <v>29</v>
      </c>
      <c r="B70">
        <v>78.2</v>
      </c>
      <c r="C70">
        <v>99.9</v>
      </c>
    </row>
    <row r="71" spans="1:3" x14ac:dyDescent="0.25">
      <c r="A71">
        <v>29</v>
      </c>
      <c r="B71">
        <v>78.5</v>
      </c>
      <c r="C71">
        <v>99.9</v>
      </c>
    </row>
    <row r="72" spans="1:3" x14ac:dyDescent="0.25">
      <c r="A72">
        <v>29</v>
      </c>
      <c r="B72">
        <v>79.099999999999994</v>
      </c>
      <c r="C72">
        <v>99.9</v>
      </c>
    </row>
    <row r="73" spans="1:3" x14ac:dyDescent="0.25">
      <c r="A73">
        <v>30</v>
      </c>
      <c r="B73">
        <v>79.3</v>
      </c>
      <c r="C73">
        <v>99.9</v>
      </c>
    </row>
    <row r="74" spans="1:3" x14ac:dyDescent="0.25">
      <c r="A74">
        <v>30</v>
      </c>
      <c r="B74">
        <v>79.5</v>
      </c>
      <c r="C74">
        <v>99.9</v>
      </c>
    </row>
    <row r="75" spans="1:3" x14ac:dyDescent="0.25">
      <c r="A75">
        <v>30</v>
      </c>
      <c r="B75">
        <v>79.900000000000006</v>
      </c>
      <c r="C75">
        <v>99.9</v>
      </c>
    </row>
    <row r="76" spans="1:3" x14ac:dyDescent="0.25">
      <c r="A76">
        <v>30</v>
      </c>
      <c r="B76">
        <v>80.400000000000006</v>
      </c>
      <c r="C76">
        <v>99.9</v>
      </c>
    </row>
    <row r="77" spans="1:3" x14ac:dyDescent="0.25">
      <c r="A77">
        <v>30</v>
      </c>
      <c r="B77">
        <v>79.900000000000006</v>
      </c>
      <c r="C77">
        <v>35</v>
      </c>
    </row>
    <row r="78" spans="1:3" x14ac:dyDescent="0.25">
      <c r="A78">
        <v>30</v>
      </c>
      <c r="B78">
        <v>79.3</v>
      </c>
      <c r="C78">
        <v>86.6</v>
      </c>
    </row>
    <row r="79" spans="1:3" x14ac:dyDescent="0.25">
      <c r="A79">
        <v>31</v>
      </c>
      <c r="B79">
        <v>79.900000000000006</v>
      </c>
      <c r="C79">
        <v>98.3</v>
      </c>
    </row>
    <row r="80" spans="1:3" x14ac:dyDescent="0.25">
      <c r="A80">
        <v>31</v>
      </c>
      <c r="B80">
        <v>80.400000000000006</v>
      </c>
      <c r="C80">
        <v>18.100000000000001</v>
      </c>
    </row>
    <row r="81" spans="1:3" x14ac:dyDescent="0.25">
      <c r="A81">
        <v>31</v>
      </c>
      <c r="B81">
        <v>79.400000000000006</v>
      </c>
      <c r="C81">
        <v>62.6</v>
      </c>
    </row>
    <row r="82" spans="1:3" x14ac:dyDescent="0.25">
      <c r="A82">
        <v>31</v>
      </c>
      <c r="B82">
        <v>78.900000000000006</v>
      </c>
      <c r="C82">
        <v>95.1</v>
      </c>
    </row>
    <row r="83" spans="1:3" x14ac:dyDescent="0.25">
      <c r="A83">
        <v>31</v>
      </c>
      <c r="B83">
        <v>79.900000000000006</v>
      </c>
      <c r="C83">
        <v>99.3</v>
      </c>
    </row>
    <row r="84" spans="1:3" x14ac:dyDescent="0.25">
      <c r="A84">
        <v>31</v>
      </c>
      <c r="B84">
        <v>80.8</v>
      </c>
      <c r="C84">
        <v>12.7</v>
      </c>
    </row>
    <row r="85" spans="1:3" x14ac:dyDescent="0.25">
      <c r="A85">
        <v>32</v>
      </c>
      <c r="B85">
        <v>79.400000000000006</v>
      </c>
      <c r="C85">
        <v>50.3</v>
      </c>
    </row>
    <row r="86" spans="1:3" x14ac:dyDescent="0.25">
      <c r="A86">
        <v>32</v>
      </c>
      <c r="B86">
        <v>78.8</v>
      </c>
      <c r="C86">
        <v>93.6</v>
      </c>
    </row>
    <row r="87" spans="1:3" x14ac:dyDescent="0.25">
      <c r="A87">
        <v>32</v>
      </c>
      <c r="B87">
        <v>79.7</v>
      </c>
      <c r="C87">
        <v>99.1</v>
      </c>
    </row>
    <row r="88" spans="1:3" x14ac:dyDescent="0.25">
      <c r="A88">
        <v>32</v>
      </c>
      <c r="B88">
        <v>81</v>
      </c>
      <c r="C88">
        <v>21.3</v>
      </c>
    </row>
    <row r="89" spans="1:3" x14ac:dyDescent="0.25">
      <c r="A89">
        <v>32</v>
      </c>
      <c r="B89">
        <v>80</v>
      </c>
      <c r="C89">
        <v>2.7</v>
      </c>
    </row>
    <row r="90" spans="1:3" x14ac:dyDescent="0.25">
      <c r="A90">
        <v>32</v>
      </c>
      <c r="B90">
        <v>78.900000000000006</v>
      </c>
      <c r="C90">
        <v>88.1</v>
      </c>
    </row>
    <row r="91" spans="1:3" x14ac:dyDescent="0.25">
      <c r="A91">
        <v>33</v>
      </c>
      <c r="B91">
        <v>80.099999999999994</v>
      </c>
      <c r="C91">
        <v>79.900000000000006</v>
      </c>
    </row>
    <row r="92" spans="1:3" x14ac:dyDescent="0.25">
      <c r="A92">
        <v>33</v>
      </c>
      <c r="B92">
        <v>81</v>
      </c>
      <c r="C92">
        <v>10.199999999999999</v>
      </c>
    </row>
    <row r="93" spans="1:3" x14ac:dyDescent="0.25">
      <c r="A93">
        <v>33</v>
      </c>
      <c r="B93">
        <v>79.900000000000006</v>
      </c>
      <c r="C93">
        <v>6.3</v>
      </c>
    </row>
    <row r="94" spans="1:3" x14ac:dyDescent="0.25">
      <c r="A94">
        <v>33</v>
      </c>
      <c r="B94">
        <v>78.8</v>
      </c>
      <c r="C94">
        <v>87.9</v>
      </c>
    </row>
    <row r="95" spans="1:3" x14ac:dyDescent="0.25">
      <c r="A95">
        <v>33</v>
      </c>
      <c r="B95">
        <v>79.599999999999994</v>
      </c>
      <c r="C95">
        <v>98.5</v>
      </c>
    </row>
    <row r="96" spans="1:3" x14ac:dyDescent="0.25">
      <c r="A96">
        <v>33</v>
      </c>
      <c r="B96">
        <v>80.8</v>
      </c>
      <c r="C96">
        <v>15.5</v>
      </c>
    </row>
    <row r="97" spans="1:3" x14ac:dyDescent="0.25">
      <c r="A97">
        <v>34</v>
      </c>
      <c r="B97">
        <v>80.5</v>
      </c>
      <c r="C97">
        <v>2</v>
      </c>
    </row>
    <row r="98" spans="1:3" x14ac:dyDescent="0.25">
      <c r="A98">
        <v>34</v>
      </c>
      <c r="B98">
        <v>79</v>
      </c>
      <c r="C98">
        <v>75.2</v>
      </c>
    </row>
    <row r="99" spans="1:3" x14ac:dyDescent="0.25">
      <c r="A99">
        <v>34</v>
      </c>
      <c r="B99">
        <v>79.099999999999994</v>
      </c>
      <c r="C99">
        <v>96.8</v>
      </c>
    </row>
    <row r="100" spans="1:3" x14ac:dyDescent="0.25">
      <c r="A100">
        <v>34</v>
      </c>
      <c r="B100">
        <v>80.900000000000006</v>
      </c>
      <c r="C100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E9E3-F649-413B-85F0-74E802BE83BB}">
  <dimension ref="A1:C666"/>
  <sheetViews>
    <sheetView tabSelected="1" workbookViewId="0"/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0</v>
      </c>
      <c r="B2">
        <v>30.3</v>
      </c>
      <c r="C2">
        <v>99.7</v>
      </c>
    </row>
    <row r="3" spans="1:3" x14ac:dyDescent="0.25">
      <c r="A3">
        <v>0</v>
      </c>
      <c r="B3">
        <v>33.299999999999997</v>
      </c>
      <c r="C3">
        <v>99.9</v>
      </c>
    </row>
    <row r="4" spans="1:3" x14ac:dyDescent="0.25">
      <c r="A4">
        <v>0</v>
      </c>
      <c r="B4">
        <v>36.700000000000003</v>
      </c>
      <c r="C4">
        <v>99.9</v>
      </c>
    </row>
    <row r="5" spans="1:3" x14ac:dyDescent="0.25">
      <c r="A5">
        <v>0</v>
      </c>
      <c r="B5">
        <v>39.5</v>
      </c>
      <c r="C5">
        <v>99.9</v>
      </c>
    </row>
    <row r="6" spans="1:3" x14ac:dyDescent="0.25">
      <c r="A6">
        <v>0</v>
      </c>
      <c r="B6">
        <v>41.2</v>
      </c>
      <c r="C6">
        <v>99.9</v>
      </c>
    </row>
    <row r="7" spans="1:3" x14ac:dyDescent="0.25">
      <c r="A7">
        <v>1</v>
      </c>
      <c r="B7">
        <v>43</v>
      </c>
      <c r="C7">
        <v>99.9</v>
      </c>
    </row>
    <row r="8" spans="1:3" x14ac:dyDescent="0.25">
      <c r="A8">
        <v>1</v>
      </c>
      <c r="B8">
        <v>44.6</v>
      </c>
      <c r="C8">
        <v>99.9</v>
      </c>
    </row>
    <row r="9" spans="1:3" x14ac:dyDescent="0.25">
      <c r="A9">
        <v>1</v>
      </c>
      <c r="B9">
        <v>45.9</v>
      </c>
      <c r="C9">
        <v>99.9</v>
      </c>
    </row>
    <row r="10" spans="1:3" x14ac:dyDescent="0.25">
      <c r="A10">
        <v>1</v>
      </c>
      <c r="B10">
        <v>47</v>
      </c>
      <c r="C10">
        <v>99.9</v>
      </c>
    </row>
    <row r="11" spans="1:3" x14ac:dyDescent="0.25">
      <c r="A11">
        <v>1</v>
      </c>
      <c r="B11">
        <v>48</v>
      </c>
      <c r="C11">
        <v>99.9</v>
      </c>
    </row>
    <row r="12" spans="1:3" x14ac:dyDescent="0.25">
      <c r="A12">
        <v>1</v>
      </c>
      <c r="B12">
        <v>49.8</v>
      </c>
      <c r="C12">
        <v>99.9</v>
      </c>
    </row>
    <row r="13" spans="1:3" x14ac:dyDescent="0.25">
      <c r="A13">
        <v>2</v>
      </c>
      <c r="B13">
        <v>51.1</v>
      </c>
      <c r="C13">
        <v>99.9</v>
      </c>
    </row>
    <row r="14" spans="1:3" x14ac:dyDescent="0.25">
      <c r="A14">
        <v>2</v>
      </c>
      <c r="B14">
        <v>51.5</v>
      </c>
      <c r="C14">
        <v>99.9</v>
      </c>
    </row>
    <row r="15" spans="1:3" x14ac:dyDescent="0.25">
      <c r="A15">
        <v>2</v>
      </c>
      <c r="B15">
        <v>52</v>
      </c>
      <c r="C15">
        <v>99.9</v>
      </c>
    </row>
    <row r="16" spans="1:3" x14ac:dyDescent="0.25">
      <c r="A16">
        <v>2</v>
      </c>
      <c r="B16">
        <v>53.5</v>
      </c>
      <c r="C16">
        <v>99.9</v>
      </c>
    </row>
    <row r="17" spans="1:3" x14ac:dyDescent="0.25">
      <c r="A17">
        <v>2</v>
      </c>
      <c r="B17">
        <v>54.2</v>
      </c>
      <c r="C17">
        <v>99.9</v>
      </c>
    </row>
    <row r="18" spans="1:3" x14ac:dyDescent="0.25">
      <c r="A18">
        <v>2</v>
      </c>
      <c r="B18">
        <v>55</v>
      </c>
      <c r="C18">
        <v>99.9</v>
      </c>
    </row>
    <row r="19" spans="1:3" x14ac:dyDescent="0.25">
      <c r="A19">
        <v>3</v>
      </c>
      <c r="B19">
        <v>55.4</v>
      </c>
      <c r="C19">
        <v>99.9</v>
      </c>
    </row>
    <row r="20" spans="1:3" x14ac:dyDescent="0.25">
      <c r="A20">
        <v>3</v>
      </c>
      <c r="B20">
        <v>56</v>
      </c>
      <c r="C20">
        <v>99.9</v>
      </c>
    </row>
    <row r="21" spans="1:3" x14ac:dyDescent="0.25">
      <c r="A21">
        <v>3</v>
      </c>
      <c r="B21">
        <v>57.2</v>
      </c>
      <c r="C21">
        <v>99.9</v>
      </c>
    </row>
    <row r="22" spans="1:3" x14ac:dyDescent="0.25">
      <c r="A22">
        <v>3</v>
      </c>
      <c r="B22">
        <v>57.8</v>
      </c>
      <c r="C22">
        <v>99.9</v>
      </c>
    </row>
    <row r="23" spans="1:3" x14ac:dyDescent="0.25">
      <c r="A23">
        <v>3</v>
      </c>
      <c r="B23">
        <v>58.3</v>
      </c>
      <c r="C23">
        <v>99.9</v>
      </c>
    </row>
    <row r="24" spans="1:3" x14ac:dyDescent="0.25">
      <c r="A24">
        <v>3</v>
      </c>
      <c r="B24">
        <v>58.3</v>
      </c>
      <c r="C24">
        <v>99.9</v>
      </c>
    </row>
    <row r="25" spans="1:3" x14ac:dyDescent="0.25">
      <c r="A25">
        <v>4</v>
      </c>
      <c r="B25">
        <v>59.8</v>
      </c>
      <c r="C25">
        <v>99.9</v>
      </c>
    </row>
    <row r="26" spans="1:3" x14ac:dyDescent="0.25">
      <c r="A26">
        <v>4</v>
      </c>
      <c r="B26">
        <v>60.7</v>
      </c>
      <c r="C26">
        <v>99.9</v>
      </c>
    </row>
    <row r="27" spans="1:3" x14ac:dyDescent="0.25">
      <c r="A27">
        <v>4</v>
      </c>
      <c r="B27">
        <v>60.4</v>
      </c>
      <c r="C27">
        <v>99.9</v>
      </c>
    </row>
    <row r="28" spans="1:3" x14ac:dyDescent="0.25">
      <c r="A28">
        <v>4</v>
      </c>
      <c r="B28">
        <v>60.6</v>
      </c>
      <c r="C28">
        <v>99.9</v>
      </c>
    </row>
    <row r="29" spans="1:3" x14ac:dyDescent="0.25">
      <c r="A29">
        <v>4</v>
      </c>
      <c r="B29">
        <v>61.5</v>
      </c>
      <c r="C29">
        <v>99.9</v>
      </c>
    </row>
    <row r="30" spans="1:3" x14ac:dyDescent="0.25">
      <c r="A30">
        <v>4</v>
      </c>
      <c r="B30">
        <v>62.3</v>
      </c>
      <c r="C30">
        <v>99.9</v>
      </c>
    </row>
    <row r="31" spans="1:3" x14ac:dyDescent="0.25">
      <c r="A31">
        <v>5</v>
      </c>
      <c r="B31">
        <v>63.7</v>
      </c>
      <c r="C31">
        <v>99.9</v>
      </c>
    </row>
    <row r="32" spans="1:3" x14ac:dyDescent="0.25">
      <c r="A32">
        <v>5</v>
      </c>
      <c r="B32">
        <v>64.400000000000006</v>
      </c>
      <c r="C32">
        <v>99.9</v>
      </c>
    </row>
    <row r="33" spans="1:3" x14ac:dyDescent="0.25">
      <c r="A33">
        <v>5</v>
      </c>
      <c r="B33">
        <v>65</v>
      </c>
      <c r="C33">
        <v>99.9</v>
      </c>
    </row>
    <row r="34" spans="1:3" x14ac:dyDescent="0.25">
      <c r="A34">
        <v>5</v>
      </c>
      <c r="B34">
        <v>65</v>
      </c>
      <c r="C34">
        <v>99.9</v>
      </c>
    </row>
    <row r="35" spans="1:3" x14ac:dyDescent="0.25">
      <c r="A35">
        <v>5</v>
      </c>
      <c r="B35">
        <v>65.599999999999994</v>
      </c>
      <c r="C35">
        <v>99.9</v>
      </c>
    </row>
    <row r="36" spans="1:3" x14ac:dyDescent="0.25">
      <c r="A36">
        <v>5</v>
      </c>
      <c r="B36">
        <v>66.400000000000006</v>
      </c>
      <c r="C36">
        <v>99.9</v>
      </c>
    </row>
    <row r="37" spans="1:3" x14ac:dyDescent="0.25">
      <c r="A37">
        <v>6</v>
      </c>
      <c r="B37">
        <v>66</v>
      </c>
      <c r="C37">
        <v>99.9</v>
      </c>
    </row>
    <row r="38" spans="1:3" x14ac:dyDescent="0.25">
      <c r="A38">
        <v>6</v>
      </c>
      <c r="B38">
        <v>66.400000000000006</v>
      </c>
      <c r="C38">
        <v>99.9</v>
      </c>
    </row>
    <row r="39" spans="1:3" x14ac:dyDescent="0.25">
      <c r="A39">
        <v>6</v>
      </c>
      <c r="B39">
        <v>67.099999999999994</v>
      </c>
      <c r="C39">
        <v>99.9</v>
      </c>
    </row>
    <row r="40" spans="1:3" x14ac:dyDescent="0.25">
      <c r="A40">
        <v>6</v>
      </c>
      <c r="B40">
        <v>68.2</v>
      </c>
      <c r="C40">
        <v>99.9</v>
      </c>
    </row>
    <row r="41" spans="1:3" x14ac:dyDescent="0.25">
      <c r="A41">
        <v>6</v>
      </c>
      <c r="B41">
        <v>69</v>
      </c>
      <c r="C41">
        <v>99.9</v>
      </c>
    </row>
    <row r="42" spans="1:3" x14ac:dyDescent="0.25">
      <c r="A42">
        <v>6</v>
      </c>
      <c r="B42">
        <v>69.099999999999994</v>
      </c>
      <c r="C42">
        <v>99.9</v>
      </c>
    </row>
    <row r="43" spans="1:3" x14ac:dyDescent="0.25">
      <c r="A43">
        <v>7</v>
      </c>
      <c r="B43">
        <v>69.8</v>
      </c>
      <c r="C43">
        <v>99.9</v>
      </c>
    </row>
    <row r="44" spans="1:3" x14ac:dyDescent="0.25">
      <c r="A44">
        <v>7</v>
      </c>
      <c r="B44">
        <v>70.099999999999994</v>
      </c>
      <c r="C44">
        <v>99.9</v>
      </c>
    </row>
    <row r="45" spans="1:3" x14ac:dyDescent="0.25">
      <c r="A45">
        <v>7</v>
      </c>
      <c r="B45">
        <v>70.7</v>
      </c>
      <c r="C45">
        <v>16.600000000000001</v>
      </c>
    </row>
    <row r="46" spans="1:3" x14ac:dyDescent="0.25">
      <c r="A46">
        <v>7</v>
      </c>
      <c r="B46">
        <v>69.400000000000006</v>
      </c>
      <c r="C46">
        <v>55.8</v>
      </c>
    </row>
    <row r="47" spans="1:3" x14ac:dyDescent="0.25">
      <c r="A47">
        <v>7</v>
      </c>
      <c r="B47">
        <v>68.400000000000006</v>
      </c>
      <c r="C47">
        <v>94.3</v>
      </c>
    </row>
    <row r="48" spans="1:3" x14ac:dyDescent="0.25">
      <c r="A48">
        <v>7</v>
      </c>
      <c r="B48">
        <v>69.900000000000006</v>
      </c>
      <c r="C48">
        <v>99.2</v>
      </c>
    </row>
    <row r="49" spans="1:3" x14ac:dyDescent="0.25">
      <c r="A49">
        <v>8</v>
      </c>
      <c r="B49">
        <v>70.8</v>
      </c>
      <c r="C49">
        <v>12.7</v>
      </c>
    </row>
    <row r="50" spans="1:3" x14ac:dyDescent="0.25">
      <c r="A50">
        <v>8</v>
      </c>
      <c r="B50">
        <v>69.599999999999994</v>
      </c>
      <c r="C50">
        <v>28.1</v>
      </c>
    </row>
    <row r="51" spans="1:3" x14ac:dyDescent="0.25">
      <c r="A51">
        <v>8</v>
      </c>
      <c r="B51">
        <v>68</v>
      </c>
      <c r="C51">
        <v>90.7</v>
      </c>
    </row>
    <row r="52" spans="1:3" x14ac:dyDescent="0.25">
      <c r="A52">
        <v>8</v>
      </c>
      <c r="B52">
        <v>69.7</v>
      </c>
      <c r="C52">
        <v>98.8</v>
      </c>
    </row>
    <row r="53" spans="1:3" x14ac:dyDescent="0.25">
      <c r="A53">
        <v>8</v>
      </c>
      <c r="B53">
        <v>70.599999999999994</v>
      </c>
      <c r="C53">
        <v>16.399999999999999</v>
      </c>
    </row>
    <row r="54" spans="1:3" x14ac:dyDescent="0.25">
      <c r="A54">
        <v>8</v>
      </c>
      <c r="B54">
        <v>69.900000000000006</v>
      </c>
      <c r="C54">
        <v>7</v>
      </c>
    </row>
    <row r="55" spans="1:3" x14ac:dyDescent="0.25">
      <c r="A55">
        <v>9</v>
      </c>
      <c r="B55">
        <v>68.900000000000006</v>
      </c>
      <c r="C55">
        <v>88</v>
      </c>
    </row>
    <row r="56" spans="1:3" x14ac:dyDescent="0.25">
      <c r="A56">
        <v>9</v>
      </c>
      <c r="B56">
        <v>70.5</v>
      </c>
      <c r="C56">
        <v>42.4</v>
      </c>
    </row>
    <row r="57" spans="1:3" x14ac:dyDescent="0.25">
      <c r="A57">
        <v>9</v>
      </c>
      <c r="B57">
        <v>70.7</v>
      </c>
      <c r="C57">
        <v>5.4</v>
      </c>
    </row>
    <row r="58" spans="1:3" x14ac:dyDescent="0.25">
      <c r="A58">
        <v>9</v>
      </c>
      <c r="B58">
        <v>69.5</v>
      </c>
      <c r="C58">
        <v>64.8</v>
      </c>
    </row>
    <row r="59" spans="1:3" x14ac:dyDescent="0.25">
      <c r="A59">
        <v>9</v>
      </c>
      <c r="B59">
        <v>69.8</v>
      </c>
      <c r="C59">
        <v>95.4</v>
      </c>
    </row>
    <row r="60" spans="1:3" x14ac:dyDescent="0.25">
      <c r="A60">
        <v>9</v>
      </c>
      <c r="B60">
        <v>71.599999999999994</v>
      </c>
      <c r="C60">
        <v>18.8</v>
      </c>
    </row>
    <row r="61" spans="1:3" x14ac:dyDescent="0.25">
      <c r="A61">
        <v>10</v>
      </c>
      <c r="B61">
        <v>71</v>
      </c>
      <c r="C61">
        <v>2.4</v>
      </c>
    </row>
    <row r="62" spans="1:3" x14ac:dyDescent="0.25">
      <c r="A62">
        <v>10</v>
      </c>
      <c r="B62">
        <v>69.5</v>
      </c>
      <c r="C62">
        <v>48.9</v>
      </c>
    </row>
    <row r="63" spans="1:3" x14ac:dyDescent="0.25">
      <c r="A63">
        <v>10</v>
      </c>
      <c r="B63">
        <v>69.099999999999994</v>
      </c>
      <c r="C63">
        <v>93.4</v>
      </c>
    </row>
    <row r="64" spans="1:3" x14ac:dyDescent="0.25">
      <c r="A64">
        <v>10</v>
      </c>
      <c r="B64">
        <v>71</v>
      </c>
      <c r="C64">
        <v>29.8</v>
      </c>
    </row>
    <row r="65" spans="1:3" x14ac:dyDescent="0.25">
      <c r="A65">
        <v>10</v>
      </c>
      <c r="B65">
        <v>71.3</v>
      </c>
      <c r="C65">
        <v>3.8</v>
      </c>
    </row>
    <row r="66" spans="1:3" x14ac:dyDescent="0.25">
      <c r="A66">
        <v>10</v>
      </c>
      <c r="B66">
        <v>69.8</v>
      </c>
      <c r="C66">
        <v>10.199999999999999</v>
      </c>
    </row>
    <row r="67" spans="1:3" x14ac:dyDescent="0.25">
      <c r="A67">
        <v>11</v>
      </c>
      <c r="B67">
        <v>69</v>
      </c>
      <c r="C67">
        <v>88.4</v>
      </c>
    </row>
    <row r="68" spans="1:3" x14ac:dyDescent="0.25">
      <c r="A68">
        <v>11</v>
      </c>
      <c r="B68">
        <v>70.900000000000006</v>
      </c>
      <c r="C68">
        <v>47.2</v>
      </c>
    </row>
    <row r="69" spans="1:3" x14ac:dyDescent="0.25">
      <c r="A69">
        <v>11</v>
      </c>
      <c r="B69">
        <v>72.099999999999994</v>
      </c>
      <c r="C69">
        <v>6</v>
      </c>
    </row>
    <row r="70" spans="1:3" x14ac:dyDescent="0.25">
      <c r="A70">
        <v>11</v>
      </c>
      <c r="B70">
        <v>71.099999999999994</v>
      </c>
      <c r="C70">
        <v>0.7</v>
      </c>
    </row>
    <row r="71" spans="1:3" x14ac:dyDescent="0.25">
      <c r="A71">
        <v>11</v>
      </c>
      <c r="B71">
        <v>69.599999999999994</v>
      </c>
      <c r="C71">
        <v>33.5</v>
      </c>
    </row>
    <row r="72" spans="1:3" x14ac:dyDescent="0.25">
      <c r="A72">
        <v>11</v>
      </c>
      <c r="B72">
        <v>69.599999999999994</v>
      </c>
      <c r="C72">
        <v>91.8</v>
      </c>
    </row>
    <row r="73" spans="1:3" x14ac:dyDescent="0.25">
      <c r="A73">
        <v>12</v>
      </c>
      <c r="B73">
        <v>71.7</v>
      </c>
      <c r="C73">
        <v>17.3</v>
      </c>
    </row>
    <row r="74" spans="1:3" x14ac:dyDescent="0.25">
      <c r="A74">
        <v>12</v>
      </c>
      <c r="B74">
        <v>71.599999999999994</v>
      </c>
      <c r="C74">
        <v>2.2000000000000002</v>
      </c>
    </row>
    <row r="75" spans="1:3" x14ac:dyDescent="0.25">
      <c r="A75">
        <v>12</v>
      </c>
      <c r="B75">
        <v>70.400000000000006</v>
      </c>
      <c r="C75">
        <v>0.2</v>
      </c>
    </row>
    <row r="76" spans="1:3" x14ac:dyDescent="0.25">
      <c r="A76">
        <v>12</v>
      </c>
      <c r="B76">
        <v>69</v>
      </c>
      <c r="C76">
        <v>75</v>
      </c>
    </row>
    <row r="77" spans="1:3" x14ac:dyDescent="0.25">
      <c r="A77">
        <v>12</v>
      </c>
      <c r="B77">
        <v>70.3</v>
      </c>
      <c r="C77">
        <v>66.7</v>
      </c>
    </row>
    <row r="78" spans="1:3" x14ac:dyDescent="0.25">
      <c r="A78">
        <v>12</v>
      </c>
      <c r="B78">
        <v>72</v>
      </c>
      <c r="C78">
        <v>8.5</v>
      </c>
    </row>
    <row r="79" spans="1:3" x14ac:dyDescent="0.25">
      <c r="A79">
        <v>13</v>
      </c>
      <c r="B79">
        <v>71.8</v>
      </c>
      <c r="C79">
        <v>1.1000000000000001</v>
      </c>
    </row>
    <row r="80" spans="1:3" x14ac:dyDescent="0.25">
      <c r="A80">
        <v>13</v>
      </c>
      <c r="B80">
        <v>70.5</v>
      </c>
      <c r="C80">
        <v>0.1</v>
      </c>
    </row>
    <row r="81" spans="1:3" x14ac:dyDescent="0.25">
      <c r="A81">
        <v>13</v>
      </c>
      <c r="B81">
        <v>69.3</v>
      </c>
      <c r="C81">
        <v>74.900000000000006</v>
      </c>
    </row>
    <row r="82" spans="1:3" x14ac:dyDescent="0.25">
      <c r="A82">
        <v>13</v>
      </c>
      <c r="B82">
        <v>70.3</v>
      </c>
      <c r="C82">
        <v>56.6</v>
      </c>
    </row>
    <row r="83" spans="1:3" x14ac:dyDescent="0.25">
      <c r="A83">
        <v>13</v>
      </c>
      <c r="B83">
        <v>72.099999999999994</v>
      </c>
      <c r="C83">
        <v>6.9</v>
      </c>
    </row>
    <row r="84" spans="1:3" x14ac:dyDescent="0.25">
      <c r="A84">
        <v>13</v>
      </c>
      <c r="B84">
        <v>71.7</v>
      </c>
      <c r="C84">
        <v>0.8</v>
      </c>
    </row>
    <row r="85" spans="1:3" x14ac:dyDescent="0.25">
      <c r="A85">
        <v>14</v>
      </c>
      <c r="B85">
        <v>70.3</v>
      </c>
      <c r="C85">
        <v>0.1</v>
      </c>
    </row>
    <row r="86" spans="1:3" x14ac:dyDescent="0.25">
      <c r="A86">
        <v>14</v>
      </c>
      <c r="B86">
        <v>69.099999999999994</v>
      </c>
      <c r="C86">
        <v>73.599999999999994</v>
      </c>
    </row>
    <row r="87" spans="1:3" x14ac:dyDescent="0.25">
      <c r="A87">
        <v>14</v>
      </c>
      <c r="B87">
        <v>70.5</v>
      </c>
      <c r="C87">
        <v>59.6</v>
      </c>
    </row>
    <row r="88" spans="1:3" x14ac:dyDescent="0.25">
      <c r="A88">
        <v>14</v>
      </c>
      <c r="B88">
        <v>72.599999999999994</v>
      </c>
      <c r="C88">
        <v>7.6</v>
      </c>
    </row>
    <row r="89" spans="1:3" x14ac:dyDescent="0.25">
      <c r="A89">
        <v>14</v>
      </c>
      <c r="B89">
        <v>72.5</v>
      </c>
      <c r="C89">
        <v>0.9</v>
      </c>
    </row>
    <row r="90" spans="1:3" x14ac:dyDescent="0.25">
      <c r="A90">
        <v>14</v>
      </c>
      <c r="B90">
        <v>71</v>
      </c>
      <c r="C90">
        <v>0.1</v>
      </c>
    </row>
    <row r="91" spans="1:3" x14ac:dyDescent="0.25">
      <c r="A91">
        <v>15</v>
      </c>
      <c r="B91">
        <v>69.8</v>
      </c>
      <c r="C91">
        <v>18.5</v>
      </c>
    </row>
    <row r="92" spans="1:3" x14ac:dyDescent="0.25">
      <c r="A92">
        <v>15</v>
      </c>
      <c r="B92">
        <v>69.900000000000006</v>
      </c>
      <c r="C92">
        <v>89.5</v>
      </c>
    </row>
    <row r="93" spans="1:3" x14ac:dyDescent="0.25">
      <c r="A93">
        <v>15</v>
      </c>
      <c r="B93">
        <v>71.7</v>
      </c>
      <c r="C93">
        <v>12.1</v>
      </c>
    </row>
    <row r="94" spans="1:3" x14ac:dyDescent="0.25">
      <c r="A94">
        <v>15</v>
      </c>
      <c r="B94">
        <v>72</v>
      </c>
      <c r="C94">
        <v>1.5</v>
      </c>
    </row>
    <row r="95" spans="1:3" x14ac:dyDescent="0.25">
      <c r="A95">
        <v>15</v>
      </c>
      <c r="B95">
        <v>71.2</v>
      </c>
      <c r="C95">
        <v>0.6</v>
      </c>
    </row>
    <row r="96" spans="1:3" x14ac:dyDescent="0.25">
      <c r="A96">
        <v>15</v>
      </c>
      <c r="B96">
        <v>70.2</v>
      </c>
      <c r="C96">
        <v>8.4</v>
      </c>
    </row>
    <row r="97" spans="1:3" x14ac:dyDescent="0.25">
      <c r="A97">
        <v>16</v>
      </c>
      <c r="B97">
        <v>69.5</v>
      </c>
      <c r="C97">
        <v>22.1</v>
      </c>
    </row>
    <row r="98" spans="1:3" x14ac:dyDescent="0.25">
      <c r="A98">
        <v>16</v>
      </c>
      <c r="B98">
        <v>69.7</v>
      </c>
      <c r="C98">
        <v>8.6999999999999993</v>
      </c>
    </row>
    <row r="99" spans="1:3" x14ac:dyDescent="0.25">
      <c r="A99">
        <v>16</v>
      </c>
      <c r="B99">
        <v>70</v>
      </c>
      <c r="C99">
        <v>4.5999999999999996</v>
      </c>
    </row>
    <row r="100" spans="1:3" x14ac:dyDescent="0.25">
      <c r="A100">
        <v>16</v>
      </c>
      <c r="B100">
        <v>69.8</v>
      </c>
      <c r="C100">
        <v>11.3</v>
      </c>
    </row>
    <row r="101" spans="1:3" x14ac:dyDescent="0.25">
      <c r="A101">
        <v>16</v>
      </c>
      <c r="B101">
        <v>69.400000000000006</v>
      </c>
      <c r="C101">
        <v>20.7</v>
      </c>
    </row>
    <row r="102" spans="1:3" x14ac:dyDescent="0.25">
      <c r="A102">
        <v>16</v>
      </c>
      <c r="B102">
        <v>69.5</v>
      </c>
      <c r="C102">
        <v>21.2</v>
      </c>
    </row>
    <row r="103" spans="1:3" x14ac:dyDescent="0.25">
      <c r="A103">
        <v>17</v>
      </c>
      <c r="B103">
        <v>70.099999999999994</v>
      </c>
      <c r="C103">
        <v>8.5</v>
      </c>
    </row>
    <row r="104" spans="1:3" x14ac:dyDescent="0.25">
      <c r="A104">
        <v>17</v>
      </c>
      <c r="B104">
        <v>70.3</v>
      </c>
      <c r="C104">
        <v>5.6</v>
      </c>
    </row>
    <row r="105" spans="1:3" x14ac:dyDescent="0.25">
      <c r="A105">
        <v>17</v>
      </c>
      <c r="B105">
        <v>70.3</v>
      </c>
      <c r="C105">
        <v>8.1</v>
      </c>
    </row>
    <row r="106" spans="1:3" x14ac:dyDescent="0.25">
      <c r="A106">
        <v>17</v>
      </c>
      <c r="B106">
        <v>69.900000000000006</v>
      </c>
      <c r="C106">
        <v>11.4</v>
      </c>
    </row>
    <row r="107" spans="1:3" x14ac:dyDescent="0.25">
      <c r="A107">
        <v>17</v>
      </c>
      <c r="B107">
        <v>69.7</v>
      </c>
      <c r="C107">
        <v>16.8</v>
      </c>
    </row>
    <row r="108" spans="1:3" x14ac:dyDescent="0.25">
      <c r="A108">
        <v>17</v>
      </c>
      <c r="B108">
        <v>70</v>
      </c>
      <c r="C108">
        <v>7.6</v>
      </c>
    </row>
    <row r="109" spans="1:3" x14ac:dyDescent="0.25">
      <c r="A109">
        <v>18</v>
      </c>
      <c r="B109">
        <v>69.900000000000006</v>
      </c>
      <c r="C109">
        <v>12</v>
      </c>
    </row>
    <row r="110" spans="1:3" x14ac:dyDescent="0.25">
      <c r="A110">
        <v>18</v>
      </c>
      <c r="B110">
        <v>70</v>
      </c>
      <c r="C110">
        <v>10.6</v>
      </c>
    </row>
    <row r="111" spans="1:3" x14ac:dyDescent="0.25">
      <c r="A111">
        <v>18</v>
      </c>
      <c r="B111">
        <v>69.8</v>
      </c>
      <c r="C111">
        <v>16.2</v>
      </c>
    </row>
    <row r="112" spans="1:3" x14ac:dyDescent="0.25">
      <c r="A112">
        <v>18</v>
      </c>
      <c r="B112">
        <v>69.8</v>
      </c>
      <c r="C112">
        <v>14.8</v>
      </c>
    </row>
    <row r="113" spans="1:3" x14ac:dyDescent="0.25">
      <c r="A113">
        <v>18</v>
      </c>
      <c r="B113">
        <v>70.099999999999994</v>
      </c>
      <c r="C113">
        <v>9.9</v>
      </c>
    </row>
    <row r="114" spans="1:3" x14ac:dyDescent="0.25">
      <c r="A114">
        <v>18</v>
      </c>
      <c r="B114">
        <v>69.900000000000006</v>
      </c>
      <c r="C114">
        <v>14.7</v>
      </c>
    </row>
    <row r="115" spans="1:3" x14ac:dyDescent="0.25">
      <c r="A115">
        <v>19</v>
      </c>
      <c r="B115">
        <v>69.900000000000006</v>
      </c>
      <c r="C115">
        <v>14.5</v>
      </c>
    </row>
    <row r="116" spans="1:3" x14ac:dyDescent="0.25">
      <c r="A116">
        <v>19</v>
      </c>
      <c r="B116">
        <v>70.3</v>
      </c>
      <c r="C116">
        <v>4.5</v>
      </c>
    </row>
    <row r="117" spans="1:3" x14ac:dyDescent="0.25">
      <c r="A117">
        <v>19</v>
      </c>
      <c r="B117">
        <v>70.2</v>
      </c>
      <c r="C117">
        <v>6.5</v>
      </c>
    </row>
    <row r="118" spans="1:3" x14ac:dyDescent="0.25">
      <c r="A118">
        <v>19</v>
      </c>
      <c r="B118">
        <v>69.900000000000006</v>
      </c>
      <c r="C118">
        <v>9.5</v>
      </c>
    </row>
    <row r="119" spans="1:3" x14ac:dyDescent="0.25">
      <c r="A119">
        <v>19</v>
      </c>
      <c r="B119">
        <v>69.8</v>
      </c>
      <c r="C119">
        <v>11.7</v>
      </c>
    </row>
    <row r="120" spans="1:3" x14ac:dyDescent="0.25">
      <c r="A120">
        <v>19</v>
      </c>
      <c r="B120">
        <v>70.099999999999994</v>
      </c>
      <c r="C120">
        <v>6.8</v>
      </c>
    </row>
    <row r="121" spans="1:3" x14ac:dyDescent="0.25">
      <c r="A121">
        <v>20</v>
      </c>
      <c r="B121">
        <v>70.2</v>
      </c>
      <c r="C121">
        <v>4.5</v>
      </c>
    </row>
    <row r="122" spans="1:3" x14ac:dyDescent="0.25">
      <c r="A122">
        <v>20</v>
      </c>
      <c r="B122">
        <v>69.900000000000006</v>
      </c>
      <c r="C122">
        <v>12.5</v>
      </c>
    </row>
    <row r="123" spans="1:3" x14ac:dyDescent="0.25">
      <c r="A123">
        <v>20</v>
      </c>
      <c r="B123">
        <v>69.900000000000006</v>
      </c>
      <c r="C123">
        <v>40.700000000000003</v>
      </c>
    </row>
    <row r="124" spans="1:3" x14ac:dyDescent="0.25">
      <c r="A124">
        <v>20</v>
      </c>
      <c r="B124">
        <v>70.8</v>
      </c>
      <c r="C124">
        <v>24.7</v>
      </c>
    </row>
    <row r="125" spans="1:3" x14ac:dyDescent="0.25">
      <c r="A125">
        <v>20</v>
      </c>
      <c r="B125">
        <v>72.099999999999994</v>
      </c>
      <c r="C125">
        <v>3.1</v>
      </c>
    </row>
    <row r="126" spans="1:3" x14ac:dyDescent="0.25">
      <c r="A126">
        <v>20</v>
      </c>
      <c r="B126">
        <v>71.900000000000006</v>
      </c>
      <c r="C126">
        <v>0.4</v>
      </c>
    </row>
    <row r="127" spans="1:3" x14ac:dyDescent="0.25">
      <c r="A127">
        <v>21</v>
      </c>
      <c r="B127">
        <v>71.099999999999994</v>
      </c>
      <c r="C127">
        <v>0</v>
      </c>
    </row>
    <row r="128" spans="1:3" x14ac:dyDescent="0.25">
      <c r="A128">
        <v>21</v>
      </c>
      <c r="B128">
        <v>70.099999999999994</v>
      </c>
      <c r="C128">
        <v>0</v>
      </c>
    </row>
    <row r="129" spans="1:3" x14ac:dyDescent="0.25">
      <c r="A129">
        <v>21</v>
      </c>
      <c r="B129">
        <v>69.7</v>
      </c>
      <c r="C129">
        <v>78.5</v>
      </c>
    </row>
    <row r="130" spans="1:3" x14ac:dyDescent="0.25">
      <c r="A130">
        <v>21</v>
      </c>
      <c r="B130">
        <v>71.7</v>
      </c>
      <c r="C130">
        <v>15.6</v>
      </c>
    </row>
    <row r="131" spans="1:3" x14ac:dyDescent="0.25">
      <c r="A131">
        <v>21</v>
      </c>
      <c r="B131">
        <v>72.599999999999994</v>
      </c>
      <c r="C131">
        <v>2</v>
      </c>
    </row>
    <row r="132" spans="1:3" x14ac:dyDescent="0.25">
      <c r="A132">
        <v>21</v>
      </c>
      <c r="B132">
        <v>72.2</v>
      </c>
      <c r="C132">
        <v>0.2</v>
      </c>
    </row>
    <row r="133" spans="1:3" x14ac:dyDescent="0.25">
      <c r="A133">
        <v>22</v>
      </c>
      <c r="B133">
        <v>71.400000000000006</v>
      </c>
      <c r="C133">
        <v>0</v>
      </c>
    </row>
    <row r="134" spans="1:3" x14ac:dyDescent="0.25">
      <c r="A134">
        <v>22</v>
      </c>
      <c r="B134">
        <v>70.5</v>
      </c>
      <c r="C134">
        <v>0</v>
      </c>
    </row>
    <row r="135" spans="1:3" x14ac:dyDescent="0.25">
      <c r="A135">
        <v>22</v>
      </c>
      <c r="B135">
        <v>70</v>
      </c>
      <c r="C135">
        <v>0</v>
      </c>
    </row>
    <row r="136" spans="1:3" x14ac:dyDescent="0.25">
      <c r="A136">
        <v>22</v>
      </c>
      <c r="B136">
        <v>69.8</v>
      </c>
      <c r="C136">
        <v>82.4</v>
      </c>
    </row>
    <row r="137" spans="1:3" x14ac:dyDescent="0.25">
      <c r="A137">
        <v>22</v>
      </c>
      <c r="B137">
        <v>72</v>
      </c>
      <c r="C137">
        <v>16.100000000000001</v>
      </c>
    </row>
    <row r="138" spans="1:3" x14ac:dyDescent="0.25">
      <c r="A138">
        <v>22</v>
      </c>
      <c r="B138">
        <v>72.900000000000006</v>
      </c>
      <c r="C138">
        <v>2</v>
      </c>
    </row>
    <row r="139" spans="1:3" x14ac:dyDescent="0.25">
      <c r="A139">
        <v>23</v>
      </c>
      <c r="B139">
        <v>72.599999999999994</v>
      </c>
      <c r="C139">
        <v>0.2</v>
      </c>
    </row>
    <row r="140" spans="1:3" x14ac:dyDescent="0.25">
      <c r="A140">
        <v>23</v>
      </c>
      <c r="B140">
        <v>71.7</v>
      </c>
      <c r="C140">
        <v>0</v>
      </c>
    </row>
    <row r="141" spans="1:3" x14ac:dyDescent="0.25">
      <c r="A141">
        <v>23</v>
      </c>
      <c r="B141">
        <v>71</v>
      </c>
      <c r="C141">
        <v>0</v>
      </c>
    </row>
    <row r="142" spans="1:3" x14ac:dyDescent="0.25">
      <c r="A142">
        <v>23</v>
      </c>
      <c r="B142">
        <v>70.400000000000006</v>
      </c>
      <c r="C142">
        <v>0</v>
      </c>
    </row>
    <row r="143" spans="1:3" x14ac:dyDescent="0.25">
      <c r="A143">
        <v>23</v>
      </c>
      <c r="B143">
        <v>70</v>
      </c>
      <c r="C143">
        <v>8.8000000000000007</v>
      </c>
    </row>
    <row r="144" spans="1:3" x14ac:dyDescent="0.25">
      <c r="A144">
        <v>23</v>
      </c>
      <c r="B144">
        <v>70.2</v>
      </c>
      <c r="C144">
        <v>54.6</v>
      </c>
    </row>
    <row r="145" spans="1:3" x14ac:dyDescent="0.25">
      <c r="A145">
        <v>24</v>
      </c>
      <c r="B145">
        <v>72.400000000000006</v>
      </c>
      <c r="C145">
        <v>7</v>
      </c>
    </row>
    <row r="146" spans="1:3" x14ac:dyDescent="0.25">
      <c r="A146">
        <v>24</v>
      </c>
      <c r="B146">
        <v>72.599999999999994</v>
      </c>
      <c r="C146">
        <v>0.8</v>
      </c>
    </row>
    <row r="147" spans="1:3" x14ac:dyDescent="0.25">
      <c r="A147">
        <v>24</v>
      </c>
      <c r="B147">
        <v>72</v>
      </c>
      <c r="C147">
        <v>0.1</v>
      </c>
    </row>
    <row r="148" spans="1:3" x14ac:dyDescent="0.25">
      <c r="A148">
        <v>24</v>
      </c>
      <c r="B148">
        <v>71.3</v>
      </c>
      <c r="C148">
        <v>0</v>
      </c>
    </row>
    <row r="149" spans="1:3" x14ac:dyDescent="0.25">
      <c r="A149">
        <v>24</v>
      </c>
      <c r="B149">
        <v>70.7</v>
      </c>
      <c r="C149">
        <v>0</v>
      </c>
    </row>
    <row r="150" spans="1:3" x14ac:dyDescent="0.25">
      <c r="A150">
        <v>24</v>
      </c>
      <c r="B150">
        <v>70.3</v>
      </c>
      <c r="C150">
        <v>0</v>
      </c>
    </row>
    <row r="151" spans="1:3" x14ac:dyDescent="0.25">
      <c r="A151">
        <v>25</v>
      </c>
      <c r="B151">
        <v>69.8</v>
      </c>
      <c r="C151">
        <v>48.6</v>
      </c>
    </row>
    <row r="152" spans="1:3" x14ac:dyDescent="0.25">
      <c r="A152">
        <v>25</v>
      </c>
      <c r="B152">
        <v>71</v>
      </c>
      <c r="C152">
        <v>31.1</v>
      </c>
    </row>
    <row r="153" spans="1:3" x14ac:dyDescent="0.25">
      <c r="A153">
        <v>25</v>
      </c>
      <c r="B153">
        <v>72.8</v>
      </c>
      <c r="C153">
        <v>4</v>
      </c>
    </row>
    <row r="154" spans="1:3" x14ac:dyDescent="0.25">
      <c r="A154">
        <v>25</v>
      </c>
      <c r="B154">
        <v>72.599999999999994</v>
      </c>
      <c r="C154">
        <v>0.5</v>
      </c>
    </row>
    <row r="155" spans="1:3" x14ac:dyDescent="0.25">
      <c r="A155">
        <v>25</v>
      </c>
      <c r="B155">
        <v>72.099999999999994</v>
      </c>
      <c r="C155">
        <v>0</v>
      </c>
    </row>
    <row r="156" spans="1:3" x14ac:dyDescent="0.25">
      <c r="A156">
        <v>25</v>
      </c>
      <c r="B156">
        <v>71.3</v>
      </c>
      <c r="C156">
        <v>0</v>
      </c>
    </row>
    <row r="157" spans="1:3" x14ac:dyDescent="0.25">
      <c r="A157">
        <v>26</v>
      </c>
      <c r="B157">
        <v>70.7</v>
      </c>
      <c r="C157">
        <v>0</v>
      </c>
    </row>
    <row r="158" spans="1:3" x14ac:dyDescent="0.25">
      <c r="A158">
        <v>26</v>
      </c>
      <c r="B158">
        <v>70.3</v>
      </c>
      <c r="C158">
        <v>0</v>
      </c>
    </row>
    <row r="159" spans="1:3" x14ac:dyDescent="0.25">
      <c r="A159">
        <v>26</v>
      </c>
      <c r="B159">
        <v>70</v>
      </c>
      <c r="C159">
        <v>0</v>
      </c>
    </row>
    <row r="160" spans="1:3" x14ac:dyDescent="0.25">
      <c r="A160">
        <v>26</v>
      </c>
      <c r="B160">
        <v>70.2</v>
      </c>
      <c r="C160">
        <v>41.1</v>
      </c>
    </row>
    <row r="161" spans="1:3" x14ac:dyDescent="0.25">
      <c r="A161">
        <v>26</v>
      </c>
      <c r="B161">
        <v>72.099999999999994</v>
      </c>
      <c r="C161">
        <v>5.2</v>
      </c>
    </row>
    <row r="162" spans="1:3" x14ac:dyDescent="0.25">
      <c r="A162">
        <v>27</v>
      </c>
      <c r="B162">
        <v>72.5</v>
      </c>
      <c r="C162">
        <v>0.6</v>
      </c>
    </row>
    <row r="163" spans="1:3" x14ac:dyDescent="0.25">
      <c r="A163">
        <v>27</v>
      </c>
      <c r="B163">
        <v>72</v>
      </c>
      <c r="C163">
        <v>0</v>
      </c>
    </row>
    <row r="164" spans="1:3" x14ac:dyDescent="0.25">
      <c r="A164">
        <v>27</v>
      </c>
      <c r="B164">
        <v>71.5</v>
      </c>
      <c r="C164">
        <v>0</v>
      </c>
    </row>
    <row r="165" spans="1:3" x14ac:dyDescent="0.25">
      <c r="A165">
        <v>27</v>
      </c>
      <c r="B165">
        <v>70.900000000000006</v>
      </c>
      <c r="C165">
        <v>0</v>
      </c>
    </row>
    <row r="166" spans="1:3" x14ac:dyDescent="0.25">
      <c r="A166">
        <v>27</v>
      </c>
      <c r="B166">
        <v>70.400000000000006</v>
      </c>
      <c r="C166">
        <v>0.5</v>
      </c>
    </row>
    <row r="167" spans="1:3" x14ac:dyDescent="0.25">
      <c r="A167">
        <v>27</v>
      </c>
      <c r="B167">
        <v>70.099999999999994</v>
      </c>
      <c r="C167">
        <v>1.8</v>
      </c>
    </row>
    <row r="168" spans="1:3" x14ac:dyDescent="0.25">
      <c r="A168">
        <v>28</v>
      </c>
      <c r="B168">
        <v>69.7</v>
      </c>
      <c r="C168">
        <v>10.8</v>
      </c>
    </row>
    <row r="169" spans="1:3" x14ac:dyDescent="0.25">
      <c r="A169">
        <v>28</v>
      </c>
      <c r="B169">
        <v>69.900000000000006</v>
      </c>
      <c r="C169">
        <v>4.9000000000000004</v>
      </c>
    </row>
    <row r="170" spans="1:3" x14ac:dyDescent="0.25">
      <c r="A170">
        <v>28</v>
      </c>
      <c r="B170">
        <v>70</v>
      </c>
      <c r="C170">
        <v>1.8</v>
      </c>
    </row>
    <row r="171" spans="1:3" x14ac:dyDescent="0.25">
      <c r="A171">
        <v>28</v>
      </c>
      <c r="B171">
        <v>70.099999999999994</v>
      </c>
      <c r="C171">
        <v>2.2000000000000002</v>
      </c>
    </row>
    <row r="172" spans="1:3" x14ac:dyDescent="0.25">
      <c r="A172">
        <v>28</v>
      </c>
      <c r="B172">
        <v>70</v>
      </c>
      <c r="C172">
        <v>2</v>
      </c>
    </row>
    <row r="173" spans="1:3" x14ac:dyDescent="0.25">
      <c r="A173">
        <v>28</v>
      </c>
      <c r="B173">
        <v>69.900000000000006</v>
      </c>
      <c r="C173">
        <v>3.9</v>
      </c>
    </row>
    <row r="174" spans="1:3" x14ac:dyDescent="0.25">
      <c r="A174">
        <v>29</v>
      </c>
      <c r="B174">
        <v>69.8</v>
      </c>
      <c r="C174">
        <v>5.2</v>
      </c>
    </row>
    <row r="175" spans="1:3" x14ac:dyDescent="0.25">
      <c r="A175">
        <v>29</v>
      </c>
      <c r="B175">
        <v>69.900000000000006</v>
      </c>
      <c r="C175">
        <v>4.3</v>
      </c>
    </row>
    <row r="176" spans="1:3" x14ac:dyDescent="0.25">
      <c r="A176">
        <v>29</v>
      </c>
      <c r="B176">
        <v>70.2</v>
      </c>
      <c r="C176">
        <v>1.5</v>
      </c>
    </row>
    <row r="177" spans="1:3" x14ac:dyDescent="0.25">
      <c r="A177">
        <v>29</v>
      </c>
      <c r="B177">
        <v>69.900000000000006</v>
      </c>
      <c r="C177">
        <v>5.0999999999999996</v>
      </c>
    </row>
    <row r="178" spans="1:3" x14ac:dyDescent="0.25">
      <c r="A178">
        <v>29</v>
      </c>
      <c r="B178">
        <v>69.900000000000006</v>
      </c>
      <c r="C178">
        <v>4.7</v>
      </c>
    </row>
    <row r="179" spans="1:3" x14ac:dyDescent="0.25">
      <c r="A179">
        <v>29</v>
      </c>
      <c r="B179">
        <v>70</v>
      </c>
      <c r="C179">
        <v>2.5</v>
      </c>
    </row>
    <row r="180" spans="1:3" x14ac:dyDescent="0.25">
      <c r="A180">
        <v>30</v>
      </c>
      <c r="B180">
        <v>70.099999999999994</v>
      </c>
      <c r="C180">
        <v>2</v>
      </c>
    </row>
    <row r="181" spans="1:3" x14ac:dyDescent="0.25">
      <c r="A181">
        <v>30</v>
      </c>
      <c r="B181">
        <v>70</v>
      </c>
      <c r="C181">
        <v>2.5</v>
      </c>
    </row>
    <row r="182" spans="1:3" x14ac:dyDescent="0.25">
      <c r="A182">
        <v>30</v>
      </c>
      <c r="B182">
        <v>69.900000000000006</v>
      </c>
      <c r="C182">
        <v>5.2</v>
      </c>
    </row>
    <row r="183" spans="1:3" x14ac:dyDescent="0.25">
      <c r="A183">
        <v>30</v>
      </c>
      <c r="B183">
        <v>70</v>
      </c>
      <c r="C183">
        <v>2.2999999999999998</v>
      </c>
    </row>
    <row r="184" spans="1:3" x14ac:dyDescent="0.25">
      <c r="A184">
        <v>30</v>
      </c>
      <c r="B184">
        <v>70</v>
      </c>
      <c r="C184">
        <v>2.7</v>
      </c>
    </row>
    <row r="185" spans="1:3" x14ac:dyDescent="0.25">
      <c r="A185">
        <v>30</v>
      </c>
      <c r="B185">
        <v>69.8</v>
      </c>
      <c r="C185">
        <v>5.9</v>
      </c>
    </row>
    <row r="186" spans="1:3" x14ac:dyDescent="0.25">
      <c r="A186">
        <v>31</v>
      </c>
      <c r="B186">
        <v>69.8</v>
      </c>
      <c r="C186">
        <v>6.4</v>
      </c>
    </row>
    <row r="187" spans="1:3" x14ac:dyDescent="0.25">
      <c r="A187">
        <v>31</v>
      </c>
      <c r="B187">
        <v>70.3</v>
      </c>
      <c r="C187">
        <v>2.5</v>
      </c>
    </row>
    <row r="188" spans="1:3" x14ac:dyDescent="0.25">
      <c r="A188">
        <v>31</v>
      </c>
      <c r="B188">
        <v>71.2</v>
      </c>
      <c r="C188">
        <v>0.3</v>
      </c>
    </row>
    <row r="189" spans="1:3" x14ac:dyDescent="0.25">
      <c r="A189">
        <v>31</v>
      </c>
      <c r="B189">
        <v>71</v>
      </c>
      <c r="C189">
        <v>0</v>
      </c>
    </row>
    <row r="190" spans="1:3" x14ac:dyDescent="0.25">
      <c r="A190">
        <v>31</v>
      </c>
      <c r="B190">
        <v>70.599999999999994</v>
      </c>
      <c r="C190">
        <v>0</v>
      </c>
    </row>
    <row r="191" spans="1:3" x14ac:dyDescent="0.25">
      <c r="A191">
        <v>31</v>
      </c>
      <c r="B191">
        <v>70.2</v>
      </c>
      <c r="C191">
        <v>1.6</v>
      </c>
    </row>
    <row r="192" spans="1:3" x14ac:dyDescent="0.25">
      <c r="A192">
        <v>32</v>
      </c>
      <c r="B192">
        <v>70</v>
      </c>
      <c r="C192">
        <v>3.8</v>
      </c>
    </row>
    <row r="193" spans="1:3" x14ac:dyDescent="0.25">
      <c r="A193">
        <v>32</v>
      </c>
      <c r="B193">
        <v>69.900000000000006</v>
      </c>
      <c r="C193">
        <v>4.7</v>
      </c>
    </row>
    <row r="194" spans="1:3" x14ac:dyDescent="0.25">
      <c r="A194">
        <v>32</v>
      </c>
      <c r="B194">
        <v>69.7</v>
      </c>
      <c r="C194">
        <v>8.6</v>
      </c>
    </row>
    <row r="195" spans="1:3" x14ac:dyDescent="0.25">
      <c r="A195">
        <v>32</v>
      </c>
      <c r="B195">
        <v>69.7</v>
      </c>
      <c r="C195">
        <v>9.8000000000000007</v>
      </c>
    </row>
    <row r="196" spans="1:3" x14ac:dyDescent="0.25">
      <c r="A196">
        <v>32</v>
      </c>
      <c r="B196">
        <v>69.900000000000006</v>
      </c>
      <c r="C196">
        <v>4.8</v>
      </c>
    </row>
    <row r="197" spans="1:3" x14ac:dyDescent="0.25">
      <c r="A197">
        <v>32</v>
      </c>
      <c r="B197">
        <v>70.099999999999994</v>
      </c>
      <c r="C197">
        <v>3.2</v>
      </c>
    </row>
    <row r="198" spans="1:3" x14ac:dyDescent="0.25">
      <c r="A198">
        <v>33</v>
      </c>
      <c r="B198">
        <v>70.2</v>
      </c>
      <c r="C198">
        <v>0.5</v>
      </c>
    </row>
    <row r="199" spans="1:3" x14ac:dyDescent="0.25">
      <c r="A199">
        <v>33</v>
      </c>
      <c r="B199">
        <v>69.900000000000006</v>
      </c>
      <c r="C199">
        <v>5.0999999999999996</v>
      </c>
    </row>
    <row r="200" spans="1:3" x14ac:dyDescent="0.25">
      <c r="A200">
        <v>33</v>
      </c>
      <c r="B200">
        <v>70.099999999999994</v>
      </c>
      <c r="C200">
        <v>1.7</v>
      </c>
    </row>
    <row r="201" spans="1:3" x14ac:dyDescent="0.25">
      <c r="A201">
        <v>33</v>
      </c>
      <c r="B201">
        <v>70</v>
      </c>
      <c r="C201">
        <v>2.2999999999999998</v>
      </c>
    </row>
    <row r="202" spans="1:3" x14ac:dyDescent="0.25">
      <c r="A202">
        <v>33</v>
      </c>
      <c r="B202">
        <v>70</v>
      </c>
      <c r="C202">
        <v>2.2000000000000002</v>
      </c>
    </row>
    <row r="203" spans="1:3" x14ac:dyDescent="0.25">
      <c r="A203">
        <v>33</v>
      </c>
      <c r="B203">
        <v>69.900000000000006</v>
      </c>
      <c r="C203">
        <v>4.7</v>
      </c>
    </row>
    <row r="204" spans="1:3" x14ac:dyDescent="0.25">
      <c r="A204">
        <v>34</v>
      </c>
      <c r="B204">
        <v>70</v>
      </c>
      <c r="C204">
        <v>1.8</v>
      </c>
    </row>
    <row r="205" spans="1:3" x14ac:dyDescent="0.25">
      <c r="A205">
        <v>34</v>
      </c>
      <c r="B205">
        <v>69.900000000000006</v>
      </c>
      <c r="C205">
        <v>4.5999999999999996</v>
      </c>
    </row>
    <row r="206" spans="1:3" x14ac:dyDescent="0.25">
      <c r="A206">
        <v>34</v>
      </c>
      <c r="B206">
        <v>69.900000000000006</v>
      </c>
      <c r="C206">
        <v>3.4</v>
      </c>
    </row>
    <row r="207" spans="1:3" x14ac:dyDescent="0.25">
      <c r="A207">
        <v>34</v>
      </c>
      <c r="B207">
        <v>70.099999999999994</v>
      </c>
      <c r="C207">
        <v>1</v>
      </c>
    </row>
    <row r="208" spans="1:3" x14ac:dyDescent="0.25">
      <c r="A208">
        <v>34</v>
      </c>
      <c r="B208">
        <v>70</v>
      </c>
      <c r="C208">
        <v>2</v>
      </c>
    </row>
    <row r="209" spans="1:3" x14ac:dyDescent="0.25">
      <c r="A209">
        <v>34</v>
      </c>
      <c r="B209">
        <v>69.8</v>
      </c>
      <c r="C209">
        <v>7.1</v>
      </c>
    </row>
    <row r="210" spans="1:3" x14ac:dyDescent="0.25">
      <c r="A210">
        <v>35</v>
      </c>
      <c r="B210">
        <v>69.8</v>
      </c>
      <c r="C210">
        <v>7</v>
      </c>
    </row>
    <row r="211" spans="1:3" x14ac:dyDescent="0.25">
      <c r="A211">
        <v>35</v>
      </c>
      <c r="B211">
        <v>69.900000000000006</v>
      </c>
      <c r="C211">
        <v>3.9</v>
      </c>
    </row>
    <row r="212" spans="1:3" x14ac:dyDescent="0.25">
      <c r="A212">
        <v>35</v>
      </c>
      <c r="B212">
        <v>69.7</v>
      </c>
      <c r="C212">
        <v>10.6</v>
      </c>
    </row>
    <row r="213" spans="1:3" x14ac:dyDescent="0.25">
      <c r="A213">
        <v>35</v>
      </c>
      <c r="B213">
        <v>70</v>
      </c>
      <c r="C213">
        <v>3.3</v>
      </c>
    </row>
    <row r="214" spans="1:3" x14ac:dyDescent="0.25">
      <c r="A214">
        <v>35</v>
      </c>
      <c r="B214">
        <v>70.099999999999994</v>
      </c>
      <c r="C214">
        <v>2.5</v>
      </c>
    </row>
    <row r="215" spans="1:3" x14ac:dyDescent="0.25">
      <c r="A215">
        <v>35</v>
      </c>
      <c r="B215">
        <v>70.099999999999994</v>
      </c>
      <c r="C215">
        <v>1.6</v>
      </c>
    </row>
    <row r="216" spans="1:3" x14ac:dyDescent="0.25">
      <c r="A216">
        <v>36</v>
      </c>
      <c r="B216">
        <v>69.900000000000006</v>
      </c>
      <c r="C216">
        <v>5.9</v>
      </c>
    </row>
    <row r="217" spans="1:3" x14ac:dyDescent="0.25">
      <c r="A217">
        <v>36</v>
      </c>
      <c r="B217">
        <v>69.900000000000006</v>
      </c>
      <c r="C217">
        <v>3.9</v>
      </c>
    </row>
    <row r="218" spans="1:3" x14ac:dyDescent="0.25">
      <c r="A218">
        <v>36</v>
      </c>
      <c r="B218">
        <v>69.900000000000006</v>
      </c>
      <c r="C218">
        <v>5</v>
      </c>
    </row>
    <row r="219" spans="1:3" x14ac:dyDescent="0.25">
      <c r="A219">
        <v>36</v>
      </c>
      <c r="B219">
        <v>70</v>
      </c>
      <c r="C219">
        <v>2</v>
      </c>
    </row>
    <row r="220" spans="1:3" x14ac:dyDescent="0.25">
      <c r="A220">
        <v>36</v>
      </c>
      <c r="B220">
        <v>70</v>
      </c>
      <c r="C220">
        <v>1.1000000000000001</v>
      </c>
    </row>
    <row r="221" spans="1:3" x14ac:dyDescent="0.25">
      <c r="A221">
        <v>36</v>
      </c>
      <c r="B221">
        <v>69.900000000000006</v>
      </c>
      <c r="C221">
        <v>4.3</v>
      </c>
    </row>
    <row r="222" spans="1:3" x14ac:dyDescent="0.25">
      <c r="A222">
        <v>37</v>
      </c>
      <c r="B222">
        <v>69.8</v>
      </c>
      <c r="C222">
        <v>4.4000000000000004</v>
      </c>
    </row>
    <row r="223" spans="1:3" x14ac:dyDescent="0.25">
      <c r="A223">
        <v>37</v>
      </c>
      <c r="B223">
        <v>70</v>
      </c>
      <c r="C223">
        <v>2.2000000000000002</v>
      </c>
    </row>
    <row r="224" spans="1:3" x14ac:dyDescent="0.25">
      <c r="A224">
        <v>37</v>
      </c>
      <c r="B224">
        <v>70.099999999999994</v>
      </c>
      <c r="C224">
        <v>2</v>
      </c>
    </row>
    <row r="225" spans="1:3" x14ac:dyDescent="0.25">
      <c r="A225">
        <v>37</v>
      </c>
      <c r="B225">
        <v>70.2</v>
      </c>
      <c r="C225">
        <v>0.8</v>
      </c>
    </row>
    <row r="226" spans="1:3" x14ac:dyDescent="0.25">
      <c r="A226">
        <v>37</v>
      </c>
      <c r="B226">
        <v>69.900000000000006</v>
      </c>
      <c r="C226">
        <v>5.9</v>
      </c>
    </row>
    <row r="227" spans="1:3" x14ac:dyDescent="0.25">
      <c r="A227">
        <v>37</v>
      </c>
      <c r="B227">
        <v>69.900000000000006</v>
      </c>
      <c r="C227">
        <v>3</v>
      </c>
    </row>
    <row r="228" spans="1:3" x14ac:dyDescent="0.25">
      <c r="A228">
        <v>38</v>
      </c>
      <c r="B228">
        <v>69.8</v>
      </c>
      <c r="C228">
        <v>4.8</v>
      </c>
    </row>
    <row r="229" spans="1:3" x14ac:dyDescent="0.25">
      <c r="A229">
        <v>38</v>
      </c>
      <c r="B229">
        <v>69.900000000000006</v>
      </c>
      <c r="C229">
        <v>3.2</v>
      </c>
    </row>
    <row r="230" spans="1:3" x14ac:dyDescent="0.25">
      <c r="A230">
        <v>38</v>
      </c>
      <c r="B230">
        <v>69.900000000000006</v>
      </c>
      <c r="C230">
        <v>2.4</v>
      </c>
    </row>
    <row r="231" spans="1:3" x14ac:dyDescent="0.25">
      <c r="A231">
        <v>38</v>
      </c>
      <c r="B231">
        <v>70</v>
      </c>
      <c r="C231">
        <v>2.6</v>
      </c>
    </row>
    <row r="232" spans="1:3" x14ac:dyDescent="0.25">
      <c r="A232">
        <v>38</v>
      </c>
      <c r="B232">
        <v>70.099999999999994</v>
      </c>
      <c r="C232">
        <v>1.7</v>
      </c>
    </row>
    <row r="233" spans="1:3" x14ac:dyDescent="0.25">
      <c r="A233">
        <v>38</v>
      </c>
      <c r="B233">
        <v>70.099999999999994</v>
      </c>
      <c r="C233">
        <v>1.3</v>
      </c>
    </row>
    <row r="234" spans="1:3" x14ac:dyDescent="0.25">
      <c r="A234">
        <v>39</v>
      </c>
      <c r="B234">
        <v>70</v>
      </c>
      <c r="C234">
        <v>2.6</v>
      </c>
    </row>
    <row r="235" spans="1:3" x14ac:dyDescent="0.25">
      <c r="A235">
        <v>39</v>
      </c>
      <c r="B235">
        <v>70</v>
      </c>
      <c r="C235">
        <v>1.3</v>
      </c>
    </row>
    <row r="236" spans="1:3" x14ac:dyDescent="0.25">
      <c r="A236">
        <v>39</v>
      </c>
      <c r="B236">
        <v>69.900000000000006</v>
      </c>
      <c r="C236">
        <v>2.9</v>
      </c>
    </row>
    <row r="237" spans="1:3" x14ac:dyDescent="0.25">
      <c r="A237">
        <v>39</v>
      </c>
      <c r="B237">
        <v>69.900000000000006</v>
      </c>
      <c r="C237">
        <v>3.2</v>
      </c>
    </row>
    <row r="238" spans="1:3" x14ac:dyDescent="0.25">
      <c r="A238">
        <v>39</v>
      </c>
      <c r="B238">
        <v>70.099999999999994</v>
      </c>
      <c r="C238">
        <v>2.2000000000000002</v>
      </c>
    </row>
    <row r="239" spans="1:3" x14ac:dyDescent="0.25">
      <c r="A239">
        <v>39</v>
      </c>
      <c r="B239">
        <v>69.900000000000006</v>
      </c>
      <c r="C239">
        <v>3.7</v>
      </c>
    </row>
    <row r="240" spans="1:3" x14ac:dyDescent="0.25">
      <c r="A240">
        <v>40</v>
      </c>
      <c r="B240">
        <v>70.099999999999994</v>
      </c>
      <c r="C240">
        <v>1.4</v>
      </c>
    </row>
    <row r="241" spans="1:3" x14ac:dyDescent="0.25">
      <c r="A241">
        <v>40</v>
      </c>
      <c r="B241">
        <v>69.900000000000006</v>
      </c>
      <c r="C241">
        <v>4.5999999999999996</v>
      </c>
    </row>
    <row r="242" spans="1:3" x14ac:dyDescent="0.25">
      <c r="A242">
        <v>40</v>
      </c>
      <c r="B242">
        <v>70</v>
      </c>
      <c r="C242">
        <v>2.6</v>
      </c>
    </row>
    <row r="243" spans="1:3" x14ac:dyDescent="0.25">
      <c r="A243">
        <v>40</v>
      </c>
      <c r="B243">
        <v>70.2</v>
      </c>
      <c r="C243">
        <v>0.7</v>
      </c>
    </row>
    <row r="244" spans="1:3" x14ac:dyDescent="0.25">
      <c r="A244">
        <v>40</v>
      </c>
      <c r="B244">
        <v>70.3</v>
      </c>
      <c r="C244">
        <v>0.6</v>
      </c>
    </row>
    <row r="245" spans="1:3" x14ac:dyDescent="0.25">
      <c r="A245">
        <v>40</v>
      </c>
      <c r="B245">
        <v>70</v>
      </c>
      <c r="C245">
        <v>1.7</v>
      </c>
    </row>
    <row r="246" spans="1:3" x14ac:dyDescent="0.25">
      <c r="A246">
        <v>41</v>
      </c>
      <c r="B246">
        <v>70</v>
      </c>
      <c r="C246">
        <v>2.5</v>
      </c>
    </row>
    <row r="247" spans="1:3" x14ac:dyDescent="0.25">
      <c r="A247">
        <v>41</v>
      </c>
      <c r="B247">
        <v>69.8</v>
      </c>
      <c r="C247">
        <v>5</v>
      </c>
    </row>
    <row r="248" spans="1:3" x14ac:dyDescent="0.25">
      <c r="A248">
        <v>41</v>
      </c>
      <c r="B248">
        <v>70</v>
      </c>
      <c r="C248">
        <v>2.2999999999999998</v>
      </c>
    </row>
    <row r="249" spans="1:3" x14ac:dyDescent="0.25">
      <c r="A249">
        <v>41</v>
      </c>
      <c r="B249">
        <v>69.900000000000006</v>
      </c>
      <c r="C249">
        <v>4.5999999999999996</v>
      </c>
    </row>
    <row r="250" spans="1:3" x14ac:dyDescent="0.25">
      <c r="A250">
        <v>41</v>
      </c>
      <c r="B250">
        <v>69.900000000000006</v>
      </c>
      <c r="C250">
        <v>3.8</v>
      </c>
    </row>
    <row r="251" spans="1:3" x14ac:dyDescent="0.25">
      <c r="A251">
        <v>41</v>
      </c>
      <c r="B251">
        <v>69.900000000000006</v>
      </c>
      <c r="C251">
        <v>6.4</v>
      </c>
    </row>
    <row r="252" spans="1:3" x14ac:dyDescent="0.25">
      <c r="A252">
        <v>42</v>
      </c>
      <c r="B252">
        <v>70</v>
      </c>
      <c r="C252">
        <v>2.5</v>
      </c>
    </row>
    <row r="253" spans="1:3" x14ac:dyDescent="0.25">
      <c r="A253">
        <v>42</v>
      </c>
      <c r="B253">
        <v>70.2</v>
      </c>
      <c r="C253">
        <v>1.6</v>
      </c>
    </row>
    <row r="254" spans="1:3" x14ac:dyDescent="0.25">
      <c r="A254">
        <v>42</v>
      </c>
      <c r="B254">
        <v>70</v>
      </c>
      <c r="C254">
        <v>3.1</v>
      </c>
    </row>
    <row r="255" spans="1:3" x14ac:dyDescent="0.25">
      <c r="A255">
        <v>42</v>
      </c>
      <c r="B255">
        <v>70</v>
      </c>
      <c r="C255">
        <v>2.2999999999999998</v>
      </c>
    </row>
    <row r="256" spans="1:3" x14ac:dyDescent="0.25">
      <c r="A256">
        <v>42</v>
      </c>
      <c r="B256">
        <v>70.099999999999994</v>
      </c>
      <c r="C256">
        <v>1.1000000000000001</v>
      </c>
    </row>
    <row r="257" spans="1:3" x14ac:dyDescent="0.25">
      <c r="A257">
        <v>42</v>
      </c>
      <c r="B257">
        <v>70</v>
      </c>
      <c r="C257">
        <v>2.2999999999999998</v>
      </c>
    </row>
    <row r="258" spans="1:3" x14ac:dyDescent="0.25">
      <c r="A258">
        <v>43</v>
      </c>
      <c r="B258">
        <v>70</v>
      </c>
      <c r="C258">
        <v>2.9</v>
      </c>
    </row>
    <row r="259" spans="1:3" x14ac:dyDescent="0.25">
      <c r="A259">
        <v>43</v>
      </c>
      <c r="B259">
        <v>69.900000000000006</v>
      </c>
      <c r="C259">
        <v>4.5999999999999996</v>
      </c>
    </row>
    <row r="260" spans="1:3" x14ac:dyDescent="0.25">
      <c r="A260">
        <v>43</v>
      </c>
      <c r="B260">
        <v>70</v>
      </c>
      <c r="C260">
        <v>4.4000000000000004</v>
      </c>
    </row>
    <row r="261" spans="1:3" x14ac:dyDescent="0.25">
      <c r="A261">
        <v>43</v>
      </c>
      <c r="B261">
        <v>69.8</v>
      </c>
      <c r="C261">
        <v>7.8</v>
      </c>
    </row>
    <row r="262" spans="1:3" x14ac:dyDescent="0.25">
      <c r="A262">
        <v>43</v>
      </c>
      <c r="B262">
        <v>69.900000000000006</v>
      </c>
      <c r="C262">
        <v>5.4</v>
      </c>
    </row>
    <row r="263" spans="1:3" x14ac:dyDescent="0.25">
      <c r="A263">
        <v>43</v>
      </c>
      <c r="B263">
        <v>70</v>
      </c>
      <c r="C263">
        <v>2.9</v>
      </c>
    </row>
    <row r="264" spans="1:3" x14ac:dyDescent="0.25">
      <c r="A264">
        <v>44</v>
      </c>
      <c r="B264">
        <v>70.3</v>
      </c>
      <c r="C264">
        <v>0.6</v>
      </c>
    </row>
    <row r="265" spans="1:3" x14ac:dyDescent="0.25">
      <c r="A265">
        <v>44</v>
      </c>
      <c r="B265">
        <v>70.099999999999994</v>
      </c>
      <c r="C265">
        <v>2</v>
      </c>
    </row>
    <row r="266" spans="1:3" x14ac:dyDescent="0.25">
      <c r="A266">
        <v>44</v>
      </c>
      <c r="B266">
        <v>70</v>
      </c>
      <c r="C266">
        <v>3.5</v>
      </c>
    </row>
    <row r="267" spans="1:3" x14ac:dyDescent="0.25">
      <c r="A267">
        <v>44</v>
      </c>
      <c r="B267">
        <v>69.900000000000006</v>
      </c>
      <c r="C267">
        <v>3.5</v>
      </c>
    </row>
    <row r="268" spans="1:3" x14ac:dyDescent="0.25">
      <c r="A268">
        <v>44</v>
      </c>
      <c r="B268">
        <v>70.099999999999994</v>
      </c>
      <c r="C268">
        <v>0.8</v>
      </c>
    </row>
    <row r="269" spans="1:3" x14ac:dyDescent="0.25">
      <c r="A269">
        <v>44</v>
      </c>
      <c r="B269">
        <v>70</v>
      </c>
      <c r="C269">
        <v>2.2999999999999998</v>
      </c>
    </row>
    <row r="270" spans="1:3" x14ac:dyDescent="0.25">
      <c r="A270">
        <v>45</v>
      </c>
      <c r="B270">
        <v>69.900000000000006</v>
      </c>
      <c r="C270">
        <v>2.9</v>
      </c>
    </row>
    <row r="271" spans="1:3" x14ac:dyDescent="0.25">
      <c r="A271">
        <v>45</v>
      </c>
      <c r="B271">
        <v>69.900000000000006</v>
      </c>
      <c r="C271">
        <v>3.2</v>
      </c>
    </row>
    <row r="272" spans="1:3" x14ac:dyDescent="0.25">
      <c r="A272">
        <v>45</v>
      </c>
      <c r="B272">
        <v>70.599999999999994</v>
      </c>
      <c r="C272">
        <v>0.6</v>
      </c>
    </row>
    <row r="273" spans="1:3" x14ac:dyDescent="0.25">
      <c r="A273">
        <v>45</v>
      </c>
      <c r="B273">
        <v>70.599999999999994</v>
      </c>
      <c r="C273">
        <v>0</v>
      </c>
    </row>
    <row r="274" spans="1:3" x14ac:dyDescent="0.25">
      <c r="A274">
        <v>45</v>
      </c>
      <c r="B274">
        <v>70.400000000000006</v>
      </c>
      <c r="C274">
        <v>0.8</v>
      </c>
    </row>
    <row r="275" spans="1:3" x14ac:dyDescent="0.25">
      <c r="A275">
        <v>45</v>
      </c>
      <c r="B275">
        <v>70.099999999999994</v>
      </c>
      <c r="C275">
        <v>3</v>
      </c>
    </row>
    <row r="276" spans="1:3" x14ac:dyDescent="0.25">
      <c r="A276">
        <v>46</v>
      </c>
      <c r="B276">
        <v>69.900000000000006</v>
      </c>
      <c r="C276">
        <v>5.5</v>
      </c>
    </row>
    <row r="277" spans="1:3" x14ac:dyDescent="0.25">
      <c r="A277">
        <v>46</v>
      </c>
      <c r="B277">
        <v>69.8</v>
      </c>
      <c r="C277">
        <v>7.2</v>
      </c>
    </row>
    <row r="278" spans="1:3" x14ac:dyDescent="0.25">
      <c r="A278">
        <v>46</v>
      </c>
      <c r="B278">
        <v>69.900000000000006</v>
      </c>
      <c r="C278">
        <v>5.2</v>
      </c>
    </row>
    <row r="279" spans="1:3" x14ac:dyDescent="0.25">
      <c r="A279">
        <v>46</v>
      </c>
      <c r="B279">
        <v>70</v>
      </c>
      <c r="C279">
        <v>2.6</v>
      </c>
    </row>
    <row r="280" spans="1:3" x14ac:dyDescent="0.25">
      <c r="A280">
        <v>46</v>
      </c>
      <c r="B280">
        <v>70</v>
      </c>
      <c r="C280">
        <v>3.7</v>
      </c>
    </row>
    <row r="281" spans="1:3" x14ac:dyDescent="0.25">
      <c r="A281">
        <v>46</v>
      </c>
      <c r="B281">
        <v>69.900000000000006</v>
      </c>
      <c r="C281">
        <v>6.2</v>
      </c>
    </row>
    <row r="282" spans="1:3" x14ac:dyDescent="0.25">
      <c r="A282">
        <v>47</v>
      </c>
      <c r="B282">
        <v>70.400000000000006</v>
      </c>
      <c r="C282">
        <v>0.8</v>
      </c>
    </row>
    <row r="283" spans="1:3" x14ac:dyDescent="0.25">
      <c r="A283">
        <v>47</v>
      </c>
      <c r="B283">
        <v>70.099999999999994</v>
      </c>
      <c r="C283">
        <v>1.9</v>
      </c>
    </row>
    <row r="284" spans="1:3" x14ac:dyDescent="0.25">
      <c r="A284">
        <v>47</v>
      </c>
      <c r="B284">
        <v>70.2</v>
      </c>
      <c r="C284">
        <v>1</v>
      </c>
    </row>
    <row r="285" spans="1:3" x14ac:dyDescent="0.25">
      <c r="A285">
        <v>47</v>
      </c>
      <c r="B285">
        <v>70</v>
      </c>
      <c r="C285">
        <v>2.4</v>
      </c>
    </row>
    <row r="286" spans="1:3" x14ac:dyDescent="0.25">
      <c r="A286">
        <v>47</v>
      </c>
      <c r="B286">
        <v>70.7</v>
      </c>
      <c r="C286">
        <v>0.3</v>
      </c>
    </row>
    <row r="287" spans="1:3" x14ac:dyDescent="0.25">
      <c r="A287">
        <v>47</v>
      </c>
      <c r="B287">
        <v>70.599999999999994</v>
      </c>
      <c r="C287">
        <v>0</v>
      </c>
    </row>
    <row r="288" spans="1:3" x14ac:dyDescent="0.25">
      <c r="A288">
        <v>48</v>
      </c>
      <c r="B288">
        <v>70.599999999999994</v>
      </c>
      <c r="C288">
        <v>0</v>
      </c>
    </row>
    <row r="289" spans="1:3" x14ac:dyDescent="0.25">
      <c r="A289">
        <v>48</v>
      </c>
      <c r="B289">
        <v>70.3</v>
      </c>
      <c r="C289">
        <v>0.5</v>
      </c>
    </row>
    <row r="290" spans="1:3" x14ac:dyDescent="0.25">
      <c r="A290">
        <v>48</v>
      </c>
      <c r="B290">
        <v>70.2</v>
      </c>
      <c r="C290">
        <v>1.1000000000000001</v>
      </c>
    </row>
    <row r="291" spans="1:3" x14ac:dyDescent="0.25">
      <c r="A291">
        <v>48</v>
      </c>
      <c r="B291">
        <v>70.099999999999994</v>
      </c>
      <c r="C291">
        <v>1.5</v>
      </c>
    </row>
    <row r="292" spans="1:3" x14ac:dyDescent="0.25">
      <c r="A292">
        <v>48</v>
      </c>
      <c r="B292">
        <v>70.099999999999994</v>
      </c>
      <c r="C292">
        <v>1.8</v>
      </c>
    </row>
    <row r="293" spans="1:3" x14ac:dyDescent="0.25">
      <c r="A293">
        <v>48</v>
      </c>
      <c r="B293">
        <v>69.900000000000006</v>
      </c>
      <c r="C293">
        <v>2.6</v>
      </c>
    </row>
    <row r="294" spans="1:3" x14ac:dyDescent="0.25">
      <c r="A294">
        <v>49</v>
      </c>
      <c r="B294">
        <v>69.8</v>
      </c>
      <c r="C294">
        <v>5.7</v>
      </c>
    </row>
    <row r="295" spans="1:3" x14ac:dyDescent="0.25">
      <c r="A295">
        <v>49</v>
      </c>
      <c r="B295">
        <v>69.8</v>
      </c>
      <c r="C295">
        <v>6.7</v>
      </c>
    </row>
    <row r="296" spans="1:3" x14ac:dyDescent="0.25">
      <c r="A296">
        <v>49</v>
      </c>
      <c r="B296">
        <v>69.8</v>
      </c>
      <c r="C296">
        <v>5.8</v>
      </c>
    </row>
    <row r="297" spans="1:3" x14ac:dyDescent="0.25">
      <c r="A297">
        <v>49</v>
      </c>
      <c r="B297">
        <v>69.900000000000006</v>
      </c>
      <c r="C297">
        <v>5.3</v>
      </c>
    </row>
    <row r="298" spans="1:3" x14ac:dyDescent="0.25">
      <c r="A298">
        <v>49</v>
      </c>
      <c r="B298">
        <v>70.2</v>
      </c>
      <c r="C298">
        <v>1.3</v>
      </c>
    </row>
    <row r="299" spans="1:3" x14ac:dyDescent="0.25">
      <c r="A299">
        <v>49</v>
      </c>
      <c r="B299">
        <v>70.099999999999994</v>
      </c>
      <c r="C299">
        <v>1.6</v>
      </c>
    </row>
    <row r="300" spans="1:3" x14ac:dyDescent="0.25">
      <c r="A300">
        <v>50</v>
      </c>
      <c r="B300">
        <v>70</v>
      </c>
      <c r="C300">
        <v>3.2</v>
      </c>
    </row>
    <row r="301" spans="1:3" x14ac:dyDescent="0.25">
      <c r="A301">
        <v>50</v>
      </c>
      <c r="B301">
        <v>69.900000000000006</v>
      </c>
      <c r="C301">
        <v>4.9000000000000004</v>
      </c>
    </row>
    <row r="302" spans="1:3" x14ac:dyDescent="0.25">
      <c r="A302">
        <v>50</v>
      </c>
      <c r="B302">
        <v>70.2</v>
      </c>
      <c r="C302">
        <v>1.8</v>
      </c>
    </row>
    <row r="303" spans="1:3" x14ac:dyDescent="0.25">
      <c r="A303">
        <v>50</v>
      </c>
      <c r="B303">
        <v>70.099999999999994</v>
      </c>
      <c r="C303">
        <v>2.7</v>
      </c>
    </row>
    <row r="304" spans="1:3" x14ac:dyDescent="0.25">
      <c r="A304">
        <v>50</v>
      </c>
      <c r="B304">
        <v>70.3</v>
      </c>
      <c r="C304">
        <v>0.9</v>
      </c>
    </row>
    <row r="305" spans="1:3" x14ac:dyDescent="0.25">
      <c r="A305">
        <v>50</v>
      </c>
      <c r="B305">
        <v>69.8</v>
      </c>
      <c r="C305">
        <v>9.4</v>
      </c>
    </row>
    <row r="306" spans="1:3" x14ac:dyDescent="0.25">
      <c r="A306">
        <v>51</v>
      </c>
      <c r="B306">
        <v>70.2</v>
      </c>
      <c r="C306">
        <v>2</v>
      </c>
    </row>
    <row r="307" spans="1:3" x14ac:dyDescent="0.25">
      <c r="A307">
        <v>51</v>
      </c>
      <c r="B307">
        <v>70</v>
      </c>
      <c r="C307">
        <v>3.4</v>
      </c>
    </row>
    <row r="308" spans="1:3" x14ac:dyDescent="0.25">
      <c r="A308">
        <v>51</v>
      </c>
      <c r="B308">
        <v>70.2</v>
      </c>
      <c r="C308">
        <v>2.2000000000000002</v>
      </c>
    </row>
    <row r="309" spans="1:3" x14ac:dyDescent="0.25">
      <c r="A309">
        <v>51</v>
      </c>
      <c r="B309">
        <v>69.900000000000006</v>
      </c>
      <c r="C309">
        <v>4.8</v>
      </c>
    </row>
    <row r="310" spans="1:3" x14ac:dyDescent="0.25">
      <c r="A310">
        <v>51</v>
      </c>
      <c r="B310">
        <v>70.099999999999994</v>
      </c>
      <c r="C310">
        <v>2.6</v>
      </c>
    </row>
    <row r="311" spans="1:3" x14ac:dyDescent="0.25">
      <c r="A311">
        <v>51</v>
      </c>
      <c r="B311">
        <v>69.7</v>
      </c>
      <c r="C311">
        <v>11.2</v>
      </c>
    </row>
    <row r="312" spans="1:3" x14ac:dyDescent="0.25">
      <c r="A312">
        <v>52</v>
      </c>
      <c r="B312">
        <v>70.2</v>
      </c>
      <c r="C312">
        <v>3.2</v>
      </c>
    </row>
    <row r="313" spans="1:3" x14ac:dyDescent="0.25">
      <c r="A313">
        <v>52</v>
      </c>
      <c r="B313">
        <v>70.5</v>
      </c>
      <c r="C313">
        <v>0.4</v>
      </c>
    </row>
    <row r="314" spans="1:3" x14ac:dyDescent="0.25">
      <c r="A314">
        <v>52</v>
      </c>
      <c r="B314">
        <v>70.2</v>
      </c>
      <c r="C314">
        <v>1.4</v>
      </c>
    </row>
    <row r="315" spans="1:3" x14ac:dyDescent="0.25">
      <c r="A315">
        <v>52</v>
      </c>
      <c r="B315">
        <v>70.400000000000006</v>
      </c>
      <c r="C315">
        <v>0.1</v>
      </c>
    </row>
    <row r="316" spans="1:3" x14ac:dyDescent="0.25">
      <c r="A316">
        <v>52</v>
      </c>
      <c r="B316">
        <v>70.2</v>
      </c>
      <c r="C316">
        <v>0.5</v>
      </c>
    </row>
    <row r="317" spans="1:3" x14ac:dyDescent="0.25">
      <c r="A317">
        <v>52</v>
      </c>
      <c r="B317">
        <v>70.3</v>
      </c>
      <c r="C317">
        <v>0.7</v>
      </c>
    </row>
    <row r="318" spans="1:3" x14ac:dyDescent="0.25">
      <c r="A318">
        <v>53</v>
      </c>
      <c r="B318">
        <v>70</v>
      </c>
      <c r="C318">
        <v>3.3</v>
      </c>
    </row>
    <row r="319" spans="1:3" x14ac:dyDescent="0.25">
      <c r="A319">
        <v>53</v>
      </c>
      <c r="B319">
        <v>70.2</v>
      </c>
      <c r="C319">
        <v>1.5</v>
      </c>
    </row>
    <row r="320" spans="1:3" x14ac:dyDescent="0.25">
      <c r="A320">
        <v>53</v>
      </c>
      <c r="B320">
        <v>69.900000000000006</v>
      </c>
      <c r="C320">
        <v>4.2</v>
      </c>
    </row>
    <row r="321" spans="1:3" x14ac:dyDescent="0.25">
      <c r="A321">
        <v>53</v>
      </c>
      <c r="B321">
        <v>70.2</v>
      </c>
      <c r="C321">
        <v>2.2000000000000002</v>
      </c>
    </row>
    <row r="322" spans="1:3" x14ac:dyDescent="0.25">
      <c r="A322">
        <v>53</v>
      </c>
      <c r="B322">
        <v>70</v>
      </c>
      <c r="C322">
        <v>2.1</v>
      </c>
    </row>
    <row r="323" spans="1:3" x14ac:dyDescent="0.25">
      <c r="A323">
        <v>53</v>
      </c>
      <c r="B323">
        <v>70.3</v>
      </c>
      <c r="C323">
        <v>0.6</v>
      </c>
    </row>
    <row r="324" spans="1:3" x14ac:dyDescent="0.25">
      <c r="A324">
        <v>54</v>
      </c>
      <c r="B324">
        <v>70</v>
      </c>
      <c r="C324">
        <v>4.0999999999999996</v>
      </c>
    </row>
    <row r="325" spans="1:3" x14ac:dyDescent="0.25">
      <c r="A325">
        <v>54</v>
      </c>
      <c r="B325">
        <v>70.400000000000006</v>
      </c>
      <c r="C325">
        <v>1.2</v>
      </c>
    </row>
    <row r="326" spans="1:3" x14ac:dyDescent="0.25">
      <c r="A326">
        <v>54</v>
      </c>
      <c r="B326">
        <v>69.900000000000006</v>
      </c>
      <c r="C326">
        <v>7.1</v>
      </c>
    </row>
    <row r="327" spans="1:3" x14ac:dyDescent="0.25">
      <c r="A327">
        <v>54</v>
      </c>
      <c r="B327">
        <v>70.3</v>
      </c>
      <c r="C327">
        <v>2.1</v>
      </c>
    </row>
    <row r="328" spans="1:3" x14ac:dyDescent="0.25">
      <c r="A328">
        <v>54</v>
      </c>
      <c r="B328">
        <v>70.2</v>
      </c>
      <c r="C328">
        <v>0.5</v>
      </c>
    </row>
    <row r="329" spans="1:3" x14ac:dyDescent="0.25">
      <c r="A329">
        <v>54</v>
      </c>
      <c r="B329">
        <v>70.3</v>
      </c>
      <c r="C329">
        <v>0.6</v>
      </c>
    </row>
    <row r="330" spans="1:3" x14ac:dyDescent="0.25">
      <c r="A330">
        <v>55</v>
      </c>
      <c r="B330">
        <v>69.900000000000006</v>
      </c>
      <c r="C330">
        <v>4.9000000000000004</v>
      </c>
    </row>
    <row r="331" spans="1:3" x14ac:dyDescent="0.25">
      <c r="A331">
        <v>55</v>
      </c>
      <c r="B331">
        <v>70.3</v>
      </c>
      <c r="C331">
        <v>0.8</v>
      </c>
    </row>
    <row r="332" spans="1:3" x14ac:dyDescent="0.25">
      <c r="A332">
        <v>55</v>
      </c>
      <c r="B332">
        <v>69.900000000000006</v>
      </c>
      <c r="C332">
        <v>5.6</v>
      </c>
    </row>
    <row r="333" spans="1:3" x14ac:dyDescent="0.25">
      <c r="A333">
        <v>55</v>
      </c>
      <c r="B333">
        <v>70.3</v>
      </c>
      <c r="C333">
        <v>1.2</v>
      </c>
    </row>
    <row r="334" spans="1:3" x14ac:dyDescent="0.25">
      <c r="A334">
        <v>55</v>
      </c>
      <c r="B334">
        <v>70</v>
      </c>
      <c r="C334">
        <v>3.5</v>
      </c>
    </row>
    <row r="335" spans="1:3" x14ac:dyDescent="0.25">
      <c r="A335">
        <v>55</v>
      </c>
      <c r="B335">
        <v>70.599999999999994</v>
      </c>
      <c r="C335">
        <v>1.1000000000000001</v>
      </c>
    </row>
    <row r="336" spans="1:3" x14ac:dyDescent="0.25">
      <c r="A336">
        <v>56</v>
      </c>
      <c r="B336">
        <v>70.2</v>
      </c>
      <c r="C336">
        <v>1.4</v>
      </c>
    </row>
    <row r="337" spans="1:3" x14ac:dyDescent="0.25">
      <c r="A337">
        <v>56</v>
      </c>
      <c r="B337">
        <v>70.400000000000006</v>
      </c>
      <c r="C337">
        <v>0.5</v>
      </c>
    </row>
    <row r="338" spans="1:3" x14ac:dyDescent="0.25">
      <c r="A338">
        <v>56</v>
      </c>
      <c r="B338">
        <v>70</v>
      </c>
      <c r="C338">
        <v>4.8</v>
      </c>
    </row>
    <row r="339" spans="1:3" x14ac:dyDescent="0.25">
      <c r="A339">
        <v>56</v>
      </c>
      <c r="B339">
        <v>70.2</v>
      </c>
      <c r="C339">
        <v>2.4</v>
      </c>
    </row>
    <row r="340" spans="1:3" x14ac:dyDescent="0.25">
      <c r="A340">
        <v>56</v>
      </c>
      <c r="B340">
        <v>70.099999999999994</v>
      </c>
      <c r="C340">
        <v>3.1</v>
      </c>
    </row>
    <row r="341" spans="1:3" x14ac:dyDescent="0.25">
      <c r="A341">
        <v>56</v>
      </c>
      <c r="B341">
        <v>70.3</v>
      </c>
      <c r="C341">
        <v>1.2</v>
      </c>
    </row>
    <row r="342" spans="1:3" x14ac:dyDescent="0.25">
      <c r="A342">
        <v>57</v>
      </c>
      <c r="B342">
        <v>70.2</v>
      </c>
      <c r="C342">
        <v>1.1000000000000001</v>
      </c>
    </row>
    <row r="343" spans="1:3" x14ac:dyDescent="0.25">
      <c r="A343">
        <v>57</v>
      </c>
      <c r="B343">
        <v>70.3</v>
      </c>
      <c r="C343">
        <v>0.9</v>
      </c>
    </row>
    <row r="344" spans="1:3" x14ac:dyDescent="0.25">
      <c r="A344">
        <v>57</v>
      </c>
      <c r="B344">
        <v>69.900000000000006</v>
      </c>
      <c r="C344">
        <v>5.6</v>
      </c>
    </row>
    <row r="345" spans="1:3" x14ac:dyDescent="0.25">
      <c r="A345">
        <v>57</v>
      </c>
      <c r="B345">
        <v>70.099999999999994</v>
      </c>
      <c r="C345">
        <v>2.8</v>
      </c>
    </row>
    <row r="346" spans="1:3" x14ac:dyDescent="0.25">
      <c r="A346">
        <v>57</v>
      </c>
      <c r="B346">
        <v>70.2</v>
      </c>
      <c r="C346">
        <v>2.2000000000000002</v>
      </c>
    </row>
    <row r="347" spans="1:3" x14ac:dyDescent="0.25">
      <c r="A347">
        <v>57</v>
      </c>
      <c r="B347">
        <v>70.099999999999994</v>
      </c>
      <c r="C347">
        <v>1.5</v>
      </c>
    </row>
    <row r="348" spans="1:3" x14ac:dyDescent="0.25">
      <c r="A348">
        <v>58</v>
      </c>
      <c r="B348">
        <v>70.2</v>
      </c>
      <c r="C348">
        <v>1.4</v>
      </c>
    </row>
    <row r="349" spans="1:3" x14ac:dyDescent="0.25">
      <c r="A349">
        <v>58</v>
      </c>
      <c r="B349">
        <v>70.099999999999994</v>
      </c>
      <c r="C349">
        <v>2.6</v>
      </c>
    </row>
    <row r="350" spans="1:3" x14ac:dyDescent="0.25">
      <c r="A350">
        <v>58</v>
      </c>
      <c r="B350">
        <v>70.2</v>
      </c>
      <c r="C350">
        <v>0.6</v>
      </c>
    </row>
    <row r="351" spans="1:3" x14ac:dyDescent="0.25">
      <c r="A351">
        <v>58</v>
      </c>
      <c r="B351">
        <v>70</v>
      </c>
      <c r="C351">
        <v>2.7</v>
      </c>
    </row>
    <row r="352" spans="1:3" x14ac:dyDescent="0.25">
      <c r="A352">
        <v>58</v>
      </c>
      <c r="B352">
        <v>70.099999999999994</v>
      </c>
      <c r="C352">
        <v>2.4</v>
      </c>
    </row>
    <row r="353" spans="1:3" x14ac:dyDescent="0.25">
      <c r="A353">
        <v>58</v>
      </c>
      <c r="B353">
        <v>70.2</v>
      </c>
      <c r="C353">
        <v>0.5</v>
      </c>
    </row>
    <row r="354" spans="1:3" x14ac:dyDescent="0.25">
      <c r="A354">
        <v>59</v>
      </c>
      <c r="B354">
        <v>70.099999999999994</v>
      </c>
      <c r="C354">
        <v>3.1</v>
      </c>
    </row>
    <row r="355" spans="1:3" x14ac:dyDescent="0.25">
      <c r="A355">
        <v>59</v>
      </c>
      <c r="B355">
        <v>70.099999999999994</v>
      </c>
      <c r="C355">
        <v>2.6</v>
      </c>
    </row>
    <row r="356" spans="1:3" x14ac:dyDescent="0.25">
      <c r="A356">
        <v>59</v>
      </c>
      <c r="B356">
        <v>70</v>
      </c>
      <c r="C356">
        <v>2</v>
      </c>
    </row>
    <row r="357" spans="1:3" x14ac:dyDescent="0.25">
      <c r="A357">
        <v>59</v>
      </c>
      <c r="B357">
        <v>70.099999999999994</v>
      </c>
      <c r="C357">
        <v>2.2000000000000002</v>
      </c>
    </row>
    <row r="358" spans="1:3" x14ac:dyDescent="0.25">
      <c r="A358">
        <v>59</v>
      </c>
      <c r="B358">
        <v>70</v>
      </c>
      <c r="C358">
        <v>4.7</v>
      </c>
    </row>
    <row r="359" spans="1:3" x14ac:dyDescent="0.25">
      <c r="A359">
        <v>59</v>
      </c>
      <c r="B359">
        <v>70.099999999999994</v>
      </c>
      <c r="C359">
        <v>2.1</v>
      </c>
    </row>
    <row r="360" spans="1:3" x14ac:dyDescent="0.25">
      <c r="A360">
        <v>60</v>
      </c>
      <c r="B360">
        <v>70</v>
      </c>
      <c r="C360">
        <v>1.2</v>
      </c>
    </row>
    <row r="361" spans="1:3" x14ac:dyDescent="0.25">
      <c r="A361">
        <v>60</v>
      </c>
      <c r="B361">
        <v>70</v>
      </c>
      <c r="C361">
        <v>1.8</v>
      </c>
    </row>
    <row r="362" spans="1:3" x14ac:dyDescent="0.25">
      <c r="A362">
        <v>60</v>
      </c>
      <c r="B362">
        <v>70.099999999999994</v>
      </c>
      <c r="C362">
        <v>2</v>
      </c>
    </row>
    <row r="363" spans="1:3" x14ac:dyDescent="0.25">
      <c r="A363">
        <v>60</v>
      </c>
      <c r="B363">
        <v>70.5</v>
      </c>
      <c r="C363">
        <v>0.2</v>
      </c>
    </row>
    <row r="364" spans="1:3" x14ac:dyDescent="0.25">
      <c r="A364">
        <v>60</v>
      </c>
      <c r="B364">
        <v>70.599999999999994</v>
      </c>
      <c r="C364">
        <v>0.2</v>
      </c>
    </row>
    <row r="365" spans="1:3" x14ac:dyDescent="0.25">
      <c r="A365">
        <v>60</v>
      </c>
      <c r="B365">
        <v>70.400000000000006</v>
      </c>
      <c r="C365">
        <v>0</v>
      </c>
    </row>
    <row r="366" spans="1:3" x14ac:dyDescent="0.25">
      <c r="A366">
        <v>61</v>
      </c>
      <c r="B366">
        <v>70.3</v>
      </c>
      <c r="C366">
        <v>1.5</v>
      </c>
    </row>
    <row r="367" spans="1:3" x14ac:dyDescent="0.25">
      <c r="A367">
        <v>61</v>
      </c>
      <c r="B367">
        <v>70.2</v>
      </c>
      <c r="C367">
        <v>0.9</v>
      </c>
    </row>
    <row r="368" spans="1:3" x14ac:dyDescent="0.25">
      <c r="A368">
        <v>61</v>
      </c>
      <c r="B368">
        <v>70.099999999999994</v>
      </c>
      <c r="C368">
        <v>5.0999999999999996</v>
      </c>
    </row>
    <row r="369" spans="1:3" x14ac:dyDescent="0.25">
      <c r="A369">
        <v>61</v>
      </c>
      <c r="B369">
        <v>70.2</v>
      </c>
      <c r="C369">
        <v>1.2</v>
      </c>
    </row>
    <row r="370" spans="1:3" x14ac:dyDescent="0.25">
      <c r="A370">
        <v>61</v>
      </c>
      <c r="B370">
        <v>70.099999999999994</v>
      </c>
      <c r="C370">
        <v>2.5</v>
      </c>
    </row>
    <row r="371" spans="1:3" x14ac:dyDescent="0.25">
      <c r="A371">
        <v>61</v>
      </c>
      <c r="B371">
        <v>70.099999999999994</v>
      </c>
      <c r="C371">
        <v>2.6</v>
      </c>
    </row>
    <row r="372" spans="1:3" x14ac:dyDescent="0.25">
      <c r="A372">
        <v>62</v>
      </c>
      <c r="B372">
        <v>70.2</v>
      </c>
      <c r="C372">
        <v>1.5</v>
      </c>
    </row>
    <row r="373" spans="1:3" x14ac:dyDescent="0.25">
      <c r="A373">
        <v>62</v>
      </c>
      <c r="B373">
        <v>70.2</v>
      </c>
      <c r="C373">
        <v>2.2999999999999998</v>
      </c>
    </row>
    <row r="374" spans="1:3" x14ac:dyDescent="0.25">
      <c r="A374">
        <v>62</v>
      </c>
      <c r="B374">
        <v>70</v>
      </c>
      <c r="C374">
        <v>3.3</v>
      </c>
    </row>
    <row r="375" spans="1:3" x14ac:dyDescent="0.25">
      <c r="A375">
        <v>62</v>
      </c>
      <c r="B375">
        <v>70</v>
      </c>
      <c r="C375">
        <v>3.9</v>
      </c>
    </row>
    <row r="376" spans="1:3" x14ac:dyDescent="0.25">
      <c r="A376">
        <v>62</v>
      </c>
      <c r="B376">
        <v>70</v>
      </c>
      <c r="C376">
        <v>2.8</v>
      </c>
    </row>
    <row r="377" spans="1:3" x14ac:dyDescent="0.25">
      <c r="A377">
        <v>62</v>
      </c>
      <c r="B377">
        <v>70.2</v>
      </c>
      <c r="C377">
        <v>0.9</v>
      </c>
    </row>
    <row r="378" spans="1:3" x14ac:dyDescent="0.25">
      <c r="A378">
        <v>63</v>
      </c>
      <c r="B378">
        <v>70.099999999999994</v>
      </c>
      <c r="C378">
        <v>2.1</v>
      </c>
    </row>
    <row r="379" spans="1:3" x14ac:dyDescent="0.25">
      <c r="A379">
        <v>63</v>
      </c>
      <c r="B379">
        <v>70</v>
      </c>
      <c r="C379">
        <v>4.3</v>
      </c>
    </row>
    <row r="380" spans="1:3" x14ac:dyDescent="0.25">
      <c r="A380">
        <v>63</v>
      </c>
      <c r="B380">
        <v>70.3</v>
      </c>
      <c r="C380">
        <v>1.4</v>
      </c>
    </row>
    <row r="381" spans="1:3" x14ac:dyDescent="0.25">
      <c r="A381">
        <v>63</v>
      </c>
      <c r="B381">
        <v>70.7</v>
      </c>
      <c r="C381">
        <v>0.1</v>
      </c>
    </row>
    <row r="382" spans="1:3" x14ac:dyDescent="0.25">
      <c r="A382">
        <v>63</v>
      </c>
      <c r="B382">
        <v>71</v>
      </c>
      <c r="C382">
        <v>0</v>
      </c>
    </row>
    <row r="383" spans="1:3" x14ac:dyDescent="0.25">
      <c r="A383">
        <v>63</v>
      </c>
      <c r="B383">
        <v>70.7</v>
      </c>
      <c r="C383">
        <v>0.1</v>
      </c>
    </row>
    <row r="384" spans="1:3" x14ac:dyDescent="0.25">
      <c r="A384">
        <v>64</v>
      </c>
      <c r="B384">
        <v>70.400000000000006</v>
      </c>
      <c r="C384">
        <v>0.7</v>
      </c>
    </row>
    <row r="385" spans="1:3" x14ac:dyDescent="0.25">
      <c r="A385">
        <v>64</v>
      </c>
      <c r="B385">
        <v>70.2</v>
      </c>
      <c r="C385">
        <v>1.4</v>
      </c>
    </row>
    <row r="386" spans="1:3" x14ac:dyDescent="0.25">
      <c r="A386">
        <v>64</v>
      </c>
      <c r="B386">
        <v>70</v>
      </c>
      <c r="C386">
        <v>4.3</v>
      </c>
    </row>
    <row r="387" spans="1:3" x14ac:dyDescent="0.25">
      <c r="A387">
        <v>64</v>
      </c>
      <c r="B387">
        <v>70</v>
      </c>
      <c r="C387">
        <v>3.1</v>
      </c>
    </row>
    <row r="388" spans="1:3" x14ac:dyDescent="0.25">
      <c r="A388">
        <v>64</v>
      </c>
      <c r="B388">
        <v>69.900000000000006</v>
      </c>
      <c r="C388">
        <v>4.7</v>
      </c>
    </row>
    <row r="389" spans="1:3" x14ac:dyDescent="0.25">
      <c r="A389">
        <v>64</v>
      </c>
      <c r="B389">
        <v>70.2</v>
      </c>
      <c r="C389">
        <v>1.8</v>
      </c>
    </row>
    <row r="390" spans="1:3" x14ac:dyDescent="0.25">
      <c r="A390">
        <v>65</v>
      </c>
      <c r="B390">
        <v>70.2</v>
      </c>
      <c r="C390">
        <v>1.3</v>
      </c>
    </row>
    <row r="391" spans="1:3" x14ac:dyDescent="0.25">
      <c r="A391">
        <v>65</v>
      </c>
      <c r="B391">
        <v>70</v>
      </c>
      <c r="C391">
        <v>4</v>
      </c>
    </row>
    <row r="392" spans="1:3" x14ac:dyDescent="0.25">
      <c r="A392">
        <v>65</v>
      </c>
      <c r="B392">
        <v>70.2</v>
      </c>
      <c r="C392">
        <v>1.8</v>
      </c>
    </row>
    <row r="393" spans="1:3" x14ac:dyDescent="0.25">
      <c r="A393">
        <v>65</v>
      </c>
      <c r="B393">
        <v>70.099999999999994</v>
      </c>
      <c r="C393">
        <v>3.2</v>
      </c>
    </row>
    <row r="394" spans="1:3" x14ac:dyDescent="0.25">
      <c r="A394">
        <v>65</v>
      </c>
      <c r="B394">
        <v>70.099999999999994</v>
      </c>
      <c r="C394">
        <v>2.6</v>
      </c>
    </row>
    <row r="395" spans="1:3" x14ac:dyDescent="0.25">
      <c r="A395">
        <v>65</v>
      </c>
      <c r="B395">
        <v>70.099999999999994</v>
      </c>
      <c r="C395">
        <v>3.6</v>
      </c>
    </row>
    <row r="396" spans="1:3" x14ac:dyDescent="0.25">
      <c r="A396">
        <v>66</v>
      </c>
      <c r="B396">
        <v>70.099999999999994</v>
      </c>
      <c r="C396">
        <v>2.7</v>
      </c>
    </row>
    <row r="397" spans="1:3" x14ac:dyDescent="0.25">
      <c r="A397">
        <v>66</v>
      </c>
      <c r="B397">
        <v>70</v>
      </c>
      <c r="C397">
        <v>3.6</v>
      </c>
    </row>
    <row r="398" spans="1:3" x14ac:dyDescent="0.25">
      <c r="A398">
        <v>66</v>
      </c>
      <c r="B398">
        <v>70</v>
      </c>
      <c r="C398">
        <v>4.0999999999999996</v>
      </c>
    </row>
    <row r="399" spans="1:3" x14ac:dyDescent="0.25">
      <c r="A399">
        <v>66</v>
      </c>
      <c r="B399">
        <v>70.2</v>
      </c>
      <c r="C399">
        <v>0.9</v>
      </c>
    </row>
    <row r="400" spans="1:3" x14ac:dyDescent="0.25">
      <c r="A400">
        <v>66</v>
      </c>
      <c r="B400">
        <v>70.3</v>
      </c>
      <c r="C400">
        <v>0.9</v>
      </c>
    </row>
    <row r="401" spans="1:3" x14ac:dyDescent="0.25">
      <c r="A401">
        <v>67</v>
      </c>
      <c r="B401">
        <v>70.3</v>
      </c>
      <c r="C401">
        <v>1.5</v>
      </c>
    </row>
    <row r="402" spans="1:3" x14ac:dyDescent="0.25">
      <c r="A402">
        <v>67</v>
      </c>
      <c r="B402">
        <v>70.400000000000006</v>
      </c>
      <c r="C402">
        <v>0.2</v>
      </c>
    </row>
    <row r="403" spans="1:3" x14ac:dyDescent="0.25">
      <c r="A403">
        <v>67</v>
      </c>
      <c r="B403">
        <v>70.3</v>
      </c>
      <c r="C403">
        <v>2.2000000000000002</v>
      </c>
    </row>
    <row r="404" spans="1:3" x14ac:dyDescent="0.25">
      <c r="A404">
        <v>67</v>
      </c>
      <c r="B404">
        <v>70.2</v>
      </c>
      <c r="C404">
        <v>3</v>
      </c>
    </row>
    <row r="405" spans="1:3" x14ac:dyDescent="0.25">
      <c r="A405">
        <v>67</v>
      </c>
      <c r="B405">
        <v>70.2</v>
      </c>
      <c r="C405">
        <v>1.9</v>
      </c>
    </row>
    <row r="406" spans="1:3" x14ac:dyDescent="0.25">
      <c r="A406">
        <v>67</v>
      </c>
      <c r="B406">
        <v>69.900000000000006</v>
      </c>
      <c r="C406">
        <v>7.1</v>
      </c>
    </row>
    <row r="407" spans="1:3" x14ac:dyDescent="0.25">
      <c r="A407">
        <v>68</v>
      </c>
      <c r="B407">
        <v>70</v>
      </c>
      <c r="C407">
        <v>3.4</v>
      </c>
    </row>
    <row r="408" spans="1:3" x14ac:dyDescent="0.25">
      <c r="A408">
        <v>68</v>
      </c>
      <c r="B408">
        <v>70.400000000000006</v>
      </c>
      <c r="C408">
        <v>0.4</v>
      </c>
    </row>
    <row r="409" spans="1:3" x14ac:dyDescent="0.25">
      <c r="A409">
        <v>68</v>
      </c>
      <c r="B409">
        <v>70.099999999999994</v>
      </c>
      <c r="C409">
        <v>2.9</v>
      </c>
    </row>
    <row r="410" spans="1:3" x14ac:dyDescent="0.25">
      <c r="A410">
        <v>68</v>
      </c>
      <c r="B410">
        <v>70.400000000000006</v>
      </c>
      <c r="C410">
        <v>0.8</v>
      </c>
    </row>
    <row r="411" spans="1:3" x14ac:dyDescent="0.25">
      <c r="A411">
        <v>68</v>
      </c>
      <c r="B411">
        <v>70.3</v>
      </c>
      <c r="C411">
        <v>0.5</v>
      </c>
    </row>
    <row r="412" spans="1:3" x14ac:dyDescent="0.25">
      <c r="A412">
        <v>68</v>
      </c>
      <c r="B412">
        <v>70.400000000000006</v>
      </c>
      <c r="C412">
        <v>0.4</v>
      </c>
    </row>
    <row r="413" spans="1:3" x14ac:dyDescent="0.25">
      <c r="A413">
        <v>69</v>
      </c>
      <c r="B413">
        <v>70</v>
      </c>
      <c r="C413">
        <v>2.9</v>
      </c>
    </row>
    <row r="414" spans="1:3" x14ac:dyDescent="0.25">
      <c r="A414">
        <v>69</v>
      </c>
      <c r="B414">
        <v>70.2</v>
      </c>
      <c r="C414">
        <v>1.5</v>
      </c>
    </row>
    <row r="415" spans="1:3" x14ac:dyDescent="0.25">
      <c r="A415">
        <v>69</v>
      </c>
      <c r="B415">
        <v>69.900000000000006</v>
      </c>
      <c r="C415">
        <v>3.9</v>
      </c>
    </row>
    <row r="416" spans="1:3" x14ac:dyDescent="0.25">
      <c r="A416">
        <v>69</v>
      </c>
      <c r="B416">
        <v>70.2</v>
      </c>
      <c r="C416">
        <v>3.1</v>
      </c>
    </row>
    <row r="417" spans="1:3" x14ac:dyDescent="0.25">
      <c r="A417">
        <v>69</v>
      </c>
      <c r="B417">
        <v>69.900000000000006</v>
      </c>
      <c r="C417">
        <v>5.2</v>
      </c>
    </row>
    <row r="418" spans="1:3" x14ac:dyDescent="0.25">
      <c r="A418">
        <v>69</v>
      </c>
      <c r="B418">
        <v>70.099999999999994</v>
      </c>
      <c r="C418">
        <v>2.8</v>
      </c>
    </row>
    <row r="419" spans="1:3" x14ac:dyDescent="0.25">
      <c r="A419">
        <v>70</v>
      </c>
      <c r="B419">
        <v>70.2</v>
      </c>
      <c r="C419">
        <v>0.9</v>
      </c>
    </row>
    <row r="420" spans="1:3" x14ac:dyDescent="0.25">
      <c r="A420">
        <v>70</v>
      </c>
      <c r="B420">
        <v>70.3</v>
      </c>
      <c r="C420">
        <v>0.5</v>
      </c>
    </row>
    <row r="421" spans="1:3" x14ac:dyDescent="0.25">
      <c r="A421">
        <v>70</v>
      </c>
      <c r="B421">
        <v>70</v>
      </c>
      <c r="C421">
        <v>3.7</v>
      </c>
    </row>
    <row r="422" spans="1:3" x14ac:dyDescent="0.25">
      <c r="A422">
        <v>70</v>
      </c>
      <c r="B422">
        <v>70</v>
      </c>
      <c r="C422">
        <v>1.6</v>
      </c>
    </row>
    <row r="423" spans="1:3" x14ac:dyDescent="0.25">
      <c r="A423">
        <v>70</v>
      </c>
      <c r="B423">
        <v>70.099999999999994</v>
      </c>
      <c r="C423">
        <v>0.8</v>
      </c>
    </row>
    <row r="424" spans="1:3" x14ac:dyDescent="0.25">
      <c r="A424">
        <v>70</v>
      </c>
      <c r="B424">
        <v>70.3</v>
      </c>
      <c r="C424">
        <v>0.1</v>
      </c>
    </row>
    <row r="425" spans="1:3" x14ac:dyDescent="0.25">
      <c r="A425">
        <v>71</v>
      </c>
      <c r="B425">
        <v>70.3</v>
      </c>
      <c r="C425">
        <v>0.4</v>
      </c>
    </row>
    <row r="426" spans="1:3" x14ac:dyDescent="0.25">
      <c r="A426">
        <v>71</v>
      </c>
      <c r="B426">
        <v>70.099999999999994</v>
      </c>
      <c r="C426">
        <v>2.7</v>
      </c>
    </row>
    <row r="427" spans="1:3" x14ac:dyDescent="0.25">
      <c r="A427">
        <v>71</v>
      </c>
      <c r="B427">
        <v>70.099999999999994</v>
      </c>
      <c r="C427">
        <v>2.8</v>
      </c>
    </row>
    <row r="428" spans="1:3" x14ac:dyDescent="0.25">
      <c r="A428">
        <v>71</v>
      </c>
      <c r="B428">
        <v>69.900000000000006</v>
      </c>
      <c r="C428">
        <v>6.5</v>
      </c>
    </row>
    <row r="429" spans="1:3" x14ac:dyDescent="0.25">
      <c r="A429">
        <v>71</v>
      </c>
      <c r="B429">
        <v>69.900000000000006</v>
      </c>
      <c r="C429">
        <v>5</v>
      </c>
    </row>
    <row r="430" spans="1:3" x14ac:dyDescent="0.25">
      <c r="A430">
        <v>71</v>
      </c>
      <c r="B430">
        <v>69.900000000000006</v>
      </c>
      <c r="C430">
        <v>5.7</v>
      </c>
    </row>
    <row r="431" spans="1:3" x14ac:dyDescent="0.25">
      <c r="A431">
        <v>72</v>
      </c>
      <c r="B431">
        <v>70</v>
      </c>
      <c r="C431">
        <v>4</v>
      </c>
    </row>
    <row r="432" spans="1:3" x14ac:dyDescent="0.25">
      <c r="A432">
        <v>72</v>
      </c>
      <c r="B432">
        <v>70.8</v>
      </c>
      <c r="C432">
        <v>0.6</v>
      </c>
    </row>
    <row r="433" spans="1:3" x14ac:dyDescent="0.25">
      <c r="A433">
        <v>72</v>
      </c>
      <c r="B433">
        <v>71.2</v>
      </c>
      <c r="C433">
        <v>0</v>
      </c>
    </row>
    <row r="434" spans="1:3" x14ac:dyDescent="0.25">
      <c r="A434">
        <v>72</v>
      </c>
      <c r="B434">
        <v>71</v>
      </c>
      <c r="C434">
        <v>0</v>
      </c>
    </row>
    <row r="435" spans="1:3" x14ac:dyDescent="0.25">
      <c r="A435">
        <v>72</v>
      </c>
      <c r="B435">
        <v>70.7</v>
      </c>
      <c r="C435">
        <v>0.3</v>
      </c>
    </row>
    <row r="436" spans="1:3" x14ac:dyDescent="0.25">
      <c r="A436">
        <v>72</v>
      </c>
      <c r="B436">
        <v>70.5</v>
      </c>
      <c r="C436">
        <v>0.1</v>
      </c>
    </row>
    <row r="437" spans="1:3" x14ac:dyDescent="0.25">
      <c r="A437">
        <v>73</v>
      </c>
      <c r="B437">
        <v>70.400000000000006</v>
      </c>
      <c r="C437">
        <v>0.9</v>
      </c>
    </row>
    <row r="438" spans="1:3" x14ac:dyDescent="0.25">
      <c r="A438">
        <v>73</v>
      </c>
      <c r="B438">
        <v>70.2</v>
      </c>
      <c r="C438">
        <v>0.9</v>
      </c>
    </row>
    <row r="439" spans="1:3" x14ac:dyDescent="0.25">
      <c r="A439">
        <v>73</v>
      </c>
      <c r="B439">
        <v>70.2</v>
      </c>
      <c r="C439">
        <v>1.2</v>
      </c>
    </row>
    <row r="440" spans="1:3" x14ac:dyDescent="0.25">
      <c r="A440">
        <v>73</v>
      </c>
      <c r="B440">
        <v>70</v>
      </c>
      <c r="C440">
        <v>4.4000000000000004</v>
      </c>
    </row>
    <row r="441" spans="1:3" x14ac:dyDescent="0.25">
      <c r="A441">
        <v>73</v>
      </c>
      <c r="B441">
        <v>70.2</v>
      </c>
      <c r="C441">
        <v>1.3</v>
      </c>
    </row>
    <row r="442" spans="1:3" x14ac:dyDescent="0.25">
      <c r="A442">
        <v>73</v>
      </c>
      <c r="B442">
        <v>70</v>
      </c>
      <c r="C442">
        <v>1.6</v>
      </c>
    </row>
    <row r="443" spans="1:3" x14ac:dyDescent="0.25">
      <c r="A443">
        <v>74</v>
      </c>
      <c r="B443">
        <v>70.099999999999994</v>
      </c>
      <c r="C443">
        <v>1</v>
      </c>
    </row>
    <row r="444" spans="1:3" x14ac:dyDescent="0.25">
      <c r="A444">
        <v>74</v>
      </c>
      <c r="B444">
        <v>70.099999999999994</v>
      </c>
      <c r="C444">
        <v>2.9</v>
      </c>
    </row>
    <row r="445" spans="1:3" x14ac:dyDescent="0.25">
      <c r="A445">
        <v>74</v>
      </c>
      <c r="B445">
        <v>69.900000000000006</v>
      </c>
      <c r="C445">
        <v>3.1</v>
      </c>
    </row>
    <row r="446" spans="1:3" x14ac:dyDescent="0.25">
      <c r="A446">
        <v>74</v>
      </c>
      <c r="B446">
        <v>69.8</v>
      </c>
      <c r="C446">
        <v>5.8</v>
      </c>
    </row>
    <row r="447" spans="1:3" x14ac:dyDescent="0.25">
      <c r="A447">
        <v>74</v>
      </c>
      <c r="B447">
        <v>70</v>
      </c>
      <c r="C447">
        <v>2.5</v>
      </c>
    </row>
    <row r="448" spans="1:3" x14ac:dyDescent="0.25">
      <c r="A448">
        <v>74</v>
      </c>
      <c r="B448">
        <v>70</v>
      </c>
      <c r="C448">
        <v>3.3</v>
      </c>
    </row>
    <row r="449" spans="1:3" x14ac:dyDescent="0.25">
      <c r="A449">
        <v>75</v>
      </c>
      <c r="B449">
        <v>70.400000000000006</v>
      </c>
      <c r="C449">
        <v>1</v>
      </c>
    </row>
    <row r="450" spans="1:3" x14ac:dyDescent="0.25">
      <c r="A450">
        <v>75</v>
      </c>
      <c r="B450">
        <v>70.5</v>
      </c>
      <c r="C450">
        <v>0.4</v>
      </c>
    </row>
    <row r="451" spans="1:3" x14ac:dyDescent="0.25">
      <c r="A451">
        <v>75</v>
      </c>
      <c r="B451">
        <v>70.3</v>
      </c>
      <c r="C451">
        <v>0.7</v>
      </c>
    </row>
    <row r="452" spans="1:3" x14ac:dyDescent="0.25">
      <c r="A452">
        <v>75</v>
      </c>
      <c r="B452">
        <v>70.3</v>
      </c>
      <c r="C452">
        <v>1.3</v>
      </c>
    </row>
    <row r="453" spans="1:3" x14ac:dyDescent="0.25">
      <c r="A453">
        <v>75</v>
      </c>
      <c r="B453">
        <v>70.3</v>
      </c>
      <c r="C453">
        <v>0.9</v>
      </c>
    </row>
    <row r="454" spans="1:3" x14ac:dyDescent="0.25">
      <c r="A454">
        <v>75</v>
      </c>
      <c r="B454">
        <v>70</v>
      </c>
      <c r="C454">
        <v>4.0999999999999996</v>
      </c>
    </row>
    <row r="455" spans="1:3" x14ac:dyDescent="0.25">
      <c r="A455">
        <v>76</v>
      </c>
      <c r="B455">
        <v>70</v>
      </c>
      <c r="C455">
        <v>3.6</v>
      </c>
    </row>
    <row r="456" spans="1:3" x14ac:dyDescent="0.25">
      <c r="A456">
        <v>76</v>
      </c>
      <c r="B456">
        <v>70.099999999999994</v>
      </c>
      <c r="C456">
        <v>2.4</v>
      </c>
    </row>
    <row r="457" spans="1:3" x14ac:dyDescent="0.25">
      <c r="A457">
        <v>76</v>
      </c>
      <c r="B457">
        <v>70.3</v>
      </c>
      <c r="C457">
        <v>1.2</v>
      </c>
    </row>
    <row r="458" spans="1:3" x14ac:dyDescent="0.25">
      <c r="A458">
        <v>76</v>
      </c>
      <c r="B458">
        <v>70</v>
      </c>
      <c r="C458">
        <v>2.9</v>
      </c>
    </row>
    <row r="459" spans="1:3" x14ac:dyDescent="0.25">
      <c r="A459">
        <v>76</v>
      </c>
      <c r="B459">
        <v>70.3</v>
      </c>
      <c r="C459">
        <v>0.6</v>
      </c>
    </row>
    <row r="460" spans="1:3" x14ac:dyDescent="0.25">
      <c r="A460">
        <v>76</v>
      </c>
      <c r="B460">
        <v>70.400000000000006</v>
      </c>
      <c r="C460">
        <v>1</v>
      </c>
    </row>
    <row r="461" spans="1:3" x14ac:dyDescent="0.25">
      <c r="A461">
        <v>77</v>
      </c>
      <c r="B461">
        <v>70.3</v>
      </c>
      <c r="C461">
        <v>1.1000000000000001</v>
      </c>
    </row>
    <row r="462" spans="1:3" x14ac:dyDescent="0.25">
      <c r="A462">
        <v>77</v>
      </c>
      <c r="B462">
        <v>70.400000000000006</v>
      </c>
      <c r="C462">
        <v>0.3</v>
      </c>
    </row>
    <row r="463" spans="1:3" x14ac:dyDescent="0.25">
      <c r="A463">
        <v>77</v>
      </c>
      <c r="B463">
        <v>70.099999999999994</v>
      </c>
      <c r="C463">
        <v>1.3</v>
      </c>
    </row>
    <row r="464" spans="1:3" x14ac:dyDescent="0.25">
      <c r="A464">
        <v>77</v>
      </c>
      <c r="B464">
        <v>70.099999999999994</v>
      </c>
      <c r="C464">
        <v>2.7</v>
      </c>
    </row>
    <row r="465" spans="1:3" x14ac:dyDescent="0.25">
      <c r="A465">
        <v>77</v>
      </c>
      <c r="B465">
        <v>70.099999999999994</v>
      </c>
      <c r="C465">
        <v>1</v>
      </c>
    </row>
    <row r="466" spans="1:3" x14ac:dyDescent="0.25">
      <c r="A466">
        <v>77</v>
      </c>
      <c r="B466">
        <v>70.099999999999994</v>
      </c>
      <c r="C466">
        <v>2.2999999999999998</v>
      </c>
    </row>
    <row r="467" spans="1:3" x14ac:dyDescent="0.25">
      <c r="A467">
        <v>78</v>
      </c>
      <c r="B467">
        <v>70</v>
      </c>
      <c r="C467">
        <v>5.2</v>
      </c>
    </row>
    <row r="468" spans="1:3" x14ac:dyDescent="0.25">
      <c r="A468">
        <v>78</v>
      </c>
      <c r="B468">
        <v>70.099999999999994</v>
      </c>
      <c r="C468">
        <v>3.4</v>
      </c>
    </row>
    <row r="469" spans="1:3" x14ac:dyDescent="0.25">
      <c r="A469">
        <v>78</v>
      </c>
      <c r="B469">
        <v>70.3</v>
      </c>
      <c r="C469">
        <v>0.9</v>
      </c>
    </row>
    <row r="470" spans="1:3" x14ac:dyDescent="0.25">
      <c r="A470">
        <v>78</v>
      </c>
      <c r="B470">
        <v>70.2</v>
      </c>
      <c r="C470">
        <v>0.4</v>
      </c>
    </row>
    <row r="471" spans="1:3" x14ac:dyDescent="0.25">
      <c r="A471">
        <v>78</v>
      </c>
      <c r="B471">
        <v>70.3</v>
      </c>
      <c r="C471">
        <v>2.2000000000000002</v>
      </c>
    </row>
    <row r="472" spans="1:3" x14ac:dyDescent="0.25">
      <c r="A472">
        <v>78</v>
      </c>
      <c r="B472">
        <v>70</v>
      </c>
      <c r="C472">
        <v>4.4000000000000004</v>
      </c>
    </row>
    <row r="473" spans="1:3" x14ac:dyDescent="0.25">
      <c r="A473">
        <v>79</v>
      </c>
      <c r="B473">
        <v>70.2</v>
      </c>
      <c r="C473">
        <v>1.8</v>
      </c>
    </row>
    <row r="474" spans="1:3" x14ac:dyDescent="0.25">
      <c r="A474">
        <v>79</v>
      </c>
      <c r="B474">
        <v>70.099999999999994</v>
      </c>
      <c r="C474">
        <v>1.4</v>
      </c>
    </row>
    <row r="475" spans="1:3" x14ac:dyDescent="0.25">
      <c r="A475">
        <v>79</v>
      </c>
      <c r="B475">
        <v>70.3</v>
      </c>
      <c r="C475">
        <v>0.9</v>
      </c>
    </row>
    <row r="476" spans="1:3" x14ac:dyDescent="0.25">
      <c r="A476">
        <v>79</v>
      </c>
      <c r="B476">
        <v>70.400000000000006</v>
      </c>
      <c r="C476">
        <v>0.1</v>
      </c>
    </row>
    <row r="477" spans="1:3" x14ac:dyDescent="0.25">
      <c r="A477">
        <v>79</v>
      </c>
      <c r="B477">
        <v>70.2</v>
      </c>
      <c r="C477">
        <v>2.7</v>
      </c>
    </row>
    <row r="478" spans="1:3" x14ac:dyDescent="0.25">
      <c r="A478">
        <v>79</v>
      </c>
      <c r="B478">
        <v>70.3</v>
      </c>
      <c r="C478">
        <v>2.9</v>
      </c>
    </row>
    <row r="479" spans="1:3" x14ac:dyDescent="0.25">
      <c r="A479">
        <v>80</v>
      </c>
      <c r="B479">
        <v>70.5</v>
      </c>
      <c r="C479">
        <v>0.6</v>
      </c>
    </row>
    <row r="480" spans="1:3" x14ac:dyDescent="0.25">
      <c r="A480">
        <v>80</v>
      </c>
      <c r="B480">
        <v>70.400000000000006</v>
      </c>
      <c r="C480">
        <v>0.9</v>
      </c>
    </row>
    <row r="481" spans="1:3" x14ac:dyDescent="0.25">
      <c r="A481">
        <v>80</v>
      </c>
      <c r="B481">
        <v>70.2</v>
      </c>
      <c r="C481">
        <v>1</v>
      </c>
    </row>
    <row r="482" spans="1:3" x14ac:dyDescent="0.25">
      <c r="A482">
        <v>80</v>
      </c>
      <c r="B482">
        <v>70.3</v>
      </c>
      <c r="C482">
        <v>1.4</v>
      </c>
    </row>
    <row r="483" spans="1:3" x14ac:dyDescent="0.25">
      <c r="A483">
        <v>80</v>
      </c>
      <c r="B483">
        <v>70.2</v>
      </c>
      <c r="C483">
        <v>2.2999999999999998</v>
      </c>
    </row>
    <row r="484" spans="1:3" x14ac:dyDescent="0.25">
      <c r="A484">
        <v>80</v>
      </c>
      <c r="B484">
        <v>70.099999999999994</v>
      </c>
      <c r="C484">
        <v>2.5</v>
      </c>
    </row>
    <row r="485" spans="1:3" x14ac:dyDescent="0.25">
      <c r="A485">
        <v>81</v>
      </c>
      <c r="B485">
        <v>70.2</v>
      </c>
      <c r="C485">
        <v>1.9</v>
      </c>
    </row>
    <row r="486" spans="1:3" x14ac:dyDescent="0.25">
      <c r="A486">
        <v>81</v>
      </c>
      <c r="B486">
        <v>69.8</v>
      </c>
      <c r="C486">
        <v>6.9</v>
      </c>
    </row>
    <row r="487" spans="1:3" x14ac:dyDescent="0.25">
      <c r="A487">
        <v>81</v>
      </c>
      <c r="B487">
        <v>70</v>
      </c>
      <c r="C487">
        <v>5</v>
      </c>
    </row>
    <row r="488" spans="1:3" x14ac:dyDescent="0.25">
      <c r="A488">
        <v>81</v>
      </c>
      <c r="B488">
        <v>70.099999999999994</v>
      </c>
      <c r="C488">
        <v>1.9</v>
      </c>
    </row>
    <row r="489" spans="1:3" x14ac:dyDescent="0.25">
      <c r="A489">
        <v>81</v>
      </c>
      <c r="B489">
        <v>70</v>
      </c>
      <c r="C489">
        <v>2.1</v>
      </c>
    </row>
    <row r="490" spans="1:3" x14ac:dyDescent="0.25">
      <c r="A490">
        <v>81</v>
      </c>
      <c r="B490">
        <v>70.099999999999994</v>
      </c>
      <c r="C490">
        <v>3.2</v>
      </c>
    </row>
    <row r="491" spans="1:3" x14ac:dyDescent="0.25">
      <c r="A491">
        <v>82</v>
      </c>
      <c r="B491">
        <v>70.2</v>
      </c>
      <c r="C491">
        <v>0.9</v>
      </c>
    </row>
    <row r="492" spans="1:3" x14ac:dyDescent="0.25">
      <c r="A492">
        <v>82</v>
      </c>
      <c r="B492">
        <v>70.2</v>
      </c>
      <c r="C492">
        <v>2.7</v>
      </c>
    </row>
    <row r="493" spans="1:3" x14ac:dyDescent="0.25">
      <c r="A493">
        <v>82</v>
      </c>
      <c r="B493">
        <v>69.900000000000006</v>
      </c>
      <c r="C493">
        <v>6.5</v>
      </c>
    </row>
    <row r="494" spans="1:3" x14ac:dyDescent="0.25">
      <c r="A494">
        <v>82</v>
      </c>
      <c r="B494">
        <v>70</v>
      </c>
      <c r="C494">
        <v>0.8</v>
      </c>
    </row>
    <row r="495" spans="1:3" x14ac:dyDescent="0.25">
      <c r="A495">
        <v>82</v>
      </c>
      <c r="B495">
        <v>69.599999999999994</v>
      </c>
      <c r="C495">
        <v>0.1</v>
      </c>
    </row>
    <row r="496" spans="1:3" x14ac:dyDescent="0.25">
      <c r="A496">
        <v>82</v>
      </c>
      <c r="B496">
        <v>69.2</v>
      </c>
      <c r="C496">
        <v>0</v>
      </c>
    </row>
    <row r="497" spans="1:3" x14ac:dyDescent="0.25">
      <c r="A497">
        <v>83</v>
      </c>
      <c r="B497">
        <v>68.900000000000006</v>
      </c>
      <c r="C497">
        <v>0</v>
      </c>
    </row>
    <row r="498" spans="1:3" x14ac:dyDescent="0.25">
      <c r="A498">
        <v>83</v>
      </c>
      <c r="B498">
        <v>68.8</v>
      </c>
      <c r="C498">
        <v>0</v>
      </c>
    </row>
    <row r="499" spans="1:3" x14ac:dyDescent="0.25">
      <c r="A499">
        <v>83</v>
      </c>
      <c r="B499">
        <v>68.599999999999994</v>
      </c>
      <c r="C499">
        <v>0</v>
      </c>
    </row>
    <row r="500" spans="1:3" x14ac:dyDescent="0.25">
      <c r="A500">
        <v>83</v>
      </c>
      <c r="B500">
        <v>68.400000000000006</v>
      </c>
      <c r="C500">
        <v>0</v>
      </c>
    </row>
    <row r="501" spans="1:3" x14ac:dyDescent="0.25">
      <c r="A501">
        <v>83</v>
      </c>
      <c r="B501">
        <v>68.2</v>
      </c>
      <c r="C501">
        <v>0</v>
      </c>
    </row>
    <row r="502" spans="1:3" x14ac:dyDescent="0.25">
      <c r="A502">
        <v>83</v>
      </c>
      <c r="B502">
        <v>68</v>
      </c>
      <c r="C502">
        <v>0</v>
      </c>
    </row>
    <row r="503" spans="1:3" x14ac:dyDescent="0.25">
      <c r="A503">
        <v>84</v>
      </c>
      <c r="B503">
        <v>67.900000000000006</v>
      </c>
      <c r="C503">
        <v>0</v>
      </c>
    </row>
    <row r="504" spans="1:3" x14ac:dyDescent="0.25">
      <c r="A504">
        <v>84</v>
      </c>
      <c r="B504">
        <v>67.8</v>
      </c>
      <c r="C504">
        <v>0</v>
      </c>
    </row>
    <row r="505" spans="1:3" x14ac:dyDescent="0.25">
      <c r="A505">
        <v>84</v>
      </c>
      <c r="B505">
        <v>67.7</v>
      </c>
      <c r="C505">
        <v>0</v>
      </c>
    </row>
    <row r="506" spans="1:3" x14ac:dyDescent="0.25">
      <c r="A506">
        <v>84</v>
      </c>
      <c r="B506">
        <v>67.7</v>
      </c>
      <c r="C506">
        <v>0</v>
      </c>
    </row>
    <row r="507" spans="1:3" x14ac:dyDescent="0.25">
      <c r="A507">
        <v>84</v>
      </c>
      <c r="B507">
        <v>67.599999999999994</v>
      </c>
      <c r="C507">
        <v>0</v>
      </c>
    </row>
    <row r="508" spans="1:3" x14ac:dyDescent="0.25">
      <c r="A508">
        <v>84</v>
      </c>
      <c r="B508">
        <v>67.5</v>
      </c>
      <c r="C508">
        <v>0</v>
      </c>
    </row>
    <row r="509" spans="1:3" x14ac:dyDescent="0.25">
      <c r="A509">
        <v>85</v>
      </c>
      <c r="B509">
        <v>67.400000000000006</v>
      </c>
      <c r="C509">
        <v>0</v>
      </c>
    </row>
    <row r="510" spans="1:3" x14ac:dyDescent="0.25">
      <c r="A510">
        <v>85</v>
      </c>
      <c r="B510">
        <v>67.400000000000006</v>
      </c>
      <c r="C510">
        <v>0</v>
      </c>
    </row>
    <row r="511" spans="1:3" x14ac:dyDescent="0.25">
      <c r="A511">
        <v>85</v>
      </c>
      <c r="B511">
        <v>67.3</v>
      </c>
      <c r="C511">
        <v>0</v>
      </c>
    </row>
    <row r="512" spans="1:3" x14ac:dyDescent="0.25">
      <c r="A512">
        <v>85</v>
      </c>
      <c r="B512">
        <v>67.099999999999994</v>
      </c>
      <c r="C512">
        <v>0</v>
      </c>
    </row>
    <row r="513" spans="1:3" x14ac:dyDescent="0.25">
      <c r="A513">
        <v>85</v>
      </c>
      <c r="B513">
        <v>67</v>
      </c>
      <c r="C513">
        <v>0</v>
      </c>
    </row>
    <row r="514" spans="1:3" x14ac:dyDescent="0.25">
      <c r="A514">
        <v>85</v>
      </c>
      <c r="B514">
        <v>66.900000000000006</v>
      </c>
      <c r="C514">
        <v>0</v>
      </c>
    </row>
    <row r="515" spans="1:3" x14ac:dyDescent="0.25">
      <c r="A515">
        <v>86</v>
      </c>
      <c r="B515">
        <v>66.900000000000006</v>
      </c>
      <c r="C515">
        <v>0</v>
      </c>
    </row>
    <row r="516" spans="1:3" x14ac:dyDescent="0.25">
      <c r="A516">
        <v>86</v>
      </c>
      <c r="B516">
        <v>66.900000000000006</v>
      </c>
      <c r="C516">
        <v>0</v>
      </c>
    </row>
    <row r="517" spans="1:3" x14ac:dyDescent="0.25">
      <c r="A517">
        <v>86</v>
      </c>
      <c r="B517">
        <v>66.8</v>
      </c>
      <c r="C517">
        <v>0</v>
      </c>
    </row>
    <row r="518" spans="1:3" x14ac:dyDescent="0.25">
      <c r="A518">
        <v>86</v>
      </c>
      <c r="B518">
        <v>66.8</v>
      </c>
      <c r="C518">
        <v>0</v>
      </c>
    </row>
    <row r="519" spans="1:3" x14ac:dyDescent="0.25">
      <c r="A519">
        <v>86</v>
      </c>
      <c r="B519">
        <v>66.8</v>
      </c>
      <c r="C519">
        <v>0</v>
      </c>
    </row>
    <row r="520" spans="1:3" x14ac:dyDescent="0.25">
      <c r="A520">
        <v>86</v>
      </c>
      <c r="B520">
        <v>66.7</v>
      </c>
      <c r="C520">
        <v>0</v>
      </c>
    </row>
    <row r="521" spans="1:3" x14ac:dyDescent="0.25">
      <c r="A521">
        <v>87</v>
      </c>
      <c r="B521">
        <v>66.599999999999994</v>
      </c>
      <c r="C521">
        <v>0</v>
      </c>
    </row>
    <row r="522" spans="1:3" x14ac:dyDescent="0.25">
      <c r="A522">
        <v>87</v>
      </c>
      <c r="B522">
        <v>66.400000000000006</v>
      </c>
      <c r="C522">
        <v>0</v>
      </c>
    </row>
    <row r="523" spans="1:3" x14ac:dyDescent="0.25">
      <c r="A523">
        <v>87</v>
      </c>
      <c r="B523">
        <v>66.400000000000006</v>
      </c>
      <c r="C523">
        <v>0</v>
      </c>
    </row>
    <row r="524" spans="1:3" x14ac:dyDescent="0.25">
      <c r="A524">
        <v>87</v>
      </c>
      <c r="B524">
        <v>66.400000000000006</v>
      </c>
      <c r="C524">
        <v>0</v>
      </c>
    </row>
    <row r="525" spans="1:3" x14ac:dyDescent="0.25">
      <c r="A525">
        <v>87</v>
      </c>
      <c r="B525">
        <v>66.2</v>
      </c>
      <c r="C525">
        <v>0</v>
      </c>
    </row>
    <row r="526" spans="1:3" x14ac:dyDescent="0.25">
      <c r="A526">
        <v>87</v>
      </c>
      <c r="B526">
        <v>66.099999999999994</v>
      </c>
      <c r="C526">
        <v>0</v>
      </c>
    </row>
    <row r="527" spans="1:3" x14ac:dyDescent="0.25">
      <c r="A527">
        <v>88</v>
      </c>
      <c r="B527">
        <v>66</v>
      </c>
      <c r="C527">
        <v>0</v>
      </c>
    </row>
    <row r="528" spans="1:3" x14ac:dyDescent="0.25">
      <c r="A528">
        <v>88</v>
      </c>
      <c r="B528">
        <v>66</v>
      </c>
      <c r="C528">
        <v>0</v>
      </c>
    </row>
    <row r="529" spans="1:3" x14ac:dyDescent="0.25">
      <c r="A529">
        <v>88</v>
      </c>
      <c r="B529">
        <v>65.900000000000006</v>
      </c>
      <c r="C529">
        <v>0</v>
      </c>
    </row>
    <row r="530" spans="1:3" x14ac:dyDescent="0.25">
      <c r="A530">
        <v>88</v>
      </c>
      <c r="B530">
        <v>65.7</v>
      </c>
      <c r="C530">
        <v>0</v>
      </c>
    </row>
    <row r="531" spans="1:3" x14ac:dyDescent="0.25">
      <c r="A531">
        <v>88</v>
      </c>
      <c r="B531">
        <v>65.7</v>
      </c>
      <c r="C531">
        <v>0</v>
      </c>
    </row>
    <row r="532" spans="1:3" x14ac:dyDescent="0.25">
      <c r="A532">
        <v>88</v>
      </c>
      <c r="B532">
        <v>65.7</v>
      </c>
      <c r="C532">
        <v>0</v>
      </c>
    </row>
    <row r="533" spans="1:3" x14ac:dyDescent="0.25">
      <c r="A533">
        <v>89</v>
      </c>
      <c r="B533">
        <v>65.7</v>
      </c>
      <c r="C533">
        <v>0</v>
      </c>
    </row>
    <row r="534" spans="1:3" x14ac:dyDescent="0.25">
      <c r="A534">
        <v>89</v>
      </c>
      <c r="B534">
        <v>65.599999999999994</v>
      </c>
      <c r="C534">
        <v>0</v>
      </c>
    </row>
    <row r="535" spans="1:3" x14ac:dyDescent="0.25">
      <c r="A535">
        <v>89</v>
      </c>
      <c r="B535">
        <v>65.599999999999994</v>
      </c>
      <c r="C535">
        <v>0</v>
      </c>
    </row>
    <row r="536" spans="1:3" x14ac:dyDescent="0.25">
      <c r="A536">
        <v>89</v>
      </c>
      <c r="B536">
        <v>65.5</v>
      </c>
      <c r="C536">
        <v>0</v>
      </c>
    </row>
    <row r="537" spans="1:3" x14ac:dyDescent="0.25">
      <c r="A537">
        <v>89</v>
      </c>
      <c r="B537">
        <v>65.3</v>
      </c>
      <c r="C537">
        <v>0</v>
      </c>
    </row>
    <row r="538" spans="1:3" x14ac:dyDescent="0.25">
      <c r="A538">
        <v>89</v>
      </c>
      <c r="B538">
        <v>65.2</v>
      </c>
      <c r="C538">
        <v>0</v>
      </c>
    </row>
    <row r="539" spans="1:3" x14ac:dyDescent="0.25">
      <c r="A539">
        <v>90</v>
      </c>
      <c r="B539">
        <v>65.2</v>
      </c>
      <c r="C539">
        <v>0</v>
      </c>
    </row>
    <row r="540" spans="1:3" x14ac:dyDescent="0.25">
      <c r="A540">
        <v>90</v>
      </c>
      <c r="B540">
        <v>65</v>
      </c>
      <c r="C540">
        <v>0</v>
      </c>
    </row>
    <row r="541" spans="1:3" x14ac:dyDescent="0.25">
      <c r="A541">
        <v>90</v>
      </c>
      <c r="B541">
        <v>65</v>
      </c>
      <c r="C541">
        <v>0</v>
      </c>
    </row>
    <row r="542" spans="1:3" x14ac:dyDescent="0.25">
      <c r="A542">
        <v>90</v>
      </c>
      <c r="B542">
        <v>64.8</v>
      </c>
      <c r="C542">
        <v>0</v>
      </c>
    </row>
    <row r="543" spans="1:3" x14ac:dyDescent="0.25">
      <c r="A543">
        <v>90</v>
      </c>
      <c r="B543">
        <v>64.8</v>
      </c>
      <c r="C543">
        <v>0</v>
      </c>
    </row>
    <row r="544" spans="1:3" x14ac:dyDescent="0.25">
      <c r="A544">
        <v>90</v>
      </c>
      <c r="B544">
        <v>64.7</v>
      </c>
      <c r="C544">
        <v>0</v>
      </c>
    </row>
    <row r="545" spans="1:3" x14ac:dyDescent="0.25">
      <c r="A545">
        <v>91</v>
      </c>
      <c r="B545">
        <v>64.599999999999994</v>
      </c>
      <c r="C545">
        <v>0</v>
      </c>
    </row>
    <row r="546" spans="1:3" x14ac:dyDescent="0.25">
      <c r="A546">
        <v>91</v>
      </c>
      <c r="B546">
        <v>64.5</v>
      </c>
      <c r="C546">
        <v>0</v>
      </c>
    </row>
    <row r="547" spans="1:3" x14ac:dyDescent="0.25">
      <c r="A547">
        <v>91</v>
      </c>
      <c r="B547">
        <v>64.5</v>
      </c>
      <c r="C547">
        <v>0</v>
      </c>
    </row>
    <row r="548" spans="1:3" x14ac:dyDescent="0.25">
      <c r="A548">
        <v>91</v>
      </c>
      <c r="B548">
        <v>64.5</v>
      </c>
      <c r="C548">
        <v>0</v>
      </c>
    </row>
    <row r="549" spans="1:3" x14ac:dyDescent="0.25">
      <c r="A549">
        <v>91</v>
      </c>
      <c r="B549">
        <v>64.3</v>
      </c>
      <c r="C549">
        <v>0</v>
      </c>
    </row>
    <row r="550" spans="1:3" x14ac:dyDescent="0.25">
      <c r="A550">
        <v>91</v>
      </c>
      <c r="B550">
        <v>64.3</v>
      </c>
      <c r="C550">
        <v>0</v>
      </c>
    </row>
    <row r="551" spans="1:3" x14ac:dyDescent="0.25">
      <c r="A551">
        <v>92</v>
      </c>
      <c r="B551">
        <v>64.2</v>
      </c>
      <c r="C551">
        <v>0</v>
      </c>
    </row>
    <row r="552" spans="1:3" x14ac:dyDescent="0.25">
      <c r="A552">
        <v>92</v>
      </c>
      <c r="B552">
        <v>64.2</v>
      </c>
      <c r="C552">
        <v>0</v>
      </c>
    </row>
    <row r="553" spans="1:3" x14ac:dyDescent="0.25">
      <c r="A553">
        <v>92</v>
      </c>
      <c r="B553">
        <v>64.099999999999994</v>
      </c>
      <c r="C553">
        <v>0</v>
      </c>
    </row>
    <row r="554" spans="1:3" x14ac:dyDescent="0.25">
      <c r="A554">
        <v>92</v>
      </c>
      <c r="B554">
        <v>64.099999999999994</v>
      </c>
      <c r="C554">
        <v>0</v>
      </c>
    </row>
    <row r="555" spans="1:3" x14ac:dyDescent="0.25">
      <c r="A555">
        <v>92</v>
      </c>
      <c r="B555">
        <v>64.099999999999994</v>
      </c>
      <c r="C555">
        <v>0</v>
      </c>
    </row>
    <row r="556" spans="1:3" x14ac:dyDescent="0.25">
      <c r="A556">
        <v>92</v>
      </c>
      <c r="B556">
        <v>63.9</v>
      </c>
      <c r="C556">
        <v>0</v>
      </c>
    </row>
    <row r="557" spans="1:3" x14ac:dyDescent="0.25">
      <c r="A557">
        <v>93</v>
      </c>
      <c r="B557">
        <v>63.9</v>
      </c>
      <c r="C557">
        <v>0</v>
      </c>
    </row>
    <row r="558" spans="1:3" x14ac:dyDescent="0.25">
      <c r="A558">
        <v>93</v>
      </c>
      <c r="B558">
        <v>63.6</v>
      </c>
      <c r="C558">
        <v>0</v>
      </c>
    </row>
    <row r="559" spans="1:3" x14ac:dyDescent="0.25">
      <c r="A559">
        <v>93</v>
      </c>
      <c r="B559">
        <v>63.5</v>
      </c>
      <c r="C559">
        <v>0</v>
      </c>
    </row>
    <row r="560" spans="1:3" x14ac:dyDescent="0.25">
      <c r="A560">
        <v>93</v>
      </c>
      <c r="B560">
        <v>63.5</v>
      </c>
      <c r="C560">
        <v>0</v>
      </c>
    </row>
    <row r="561" spans="1:3" x14ac:dyDescent="0.25">
      <c r="A561">
        <v>93</v>
      </c>
      <c r="B561">
        <v>63.6</v>
      </c>
      <c r="C561">
        <v>0</v>
      </c>
    </row>
    <row r="562" spans="1:3" x14ac:dyDescent="0.25">
      <c r="A562">
        <v>93</v>
      </c>
      <c r="B562">
        <v>63.5</v>
      </c>
      <c r="C562">
        <v>0</v>
      </c>
    </row>
    <row r="563" spans="1:3" x14ac:dyDescent="0.25">
      <c r="A563">
        <v>94</v>
      </c>
      <c r="B563">
        <v>63.4</v>
      </c>
      <c r="C563">
        <v>0</v>
      </c>
    </row>
    <row r="564" spans="1:3" x14ac:dyDescent="0.25">
      <c r="A564">
        <v>94</v>
      </c>
      <c r="B564">
        <v>63.2</v>
      </c>
      <c r="C564">
        <v>0</v>
      </c>
    </row>
    <row r="565" spans="1:3" x14ac:dyDescent="0.25">
      <c r="A565">
        <v>94</v>
      </c>
      <c r="B565">
        <v>63.2</v>
      </c>
      <c r="C565">
        <v>0</v>
      </c>
    </row>
    <row r="566" spans="1:3" x14ac:dyDescent="0.25">
      <c r="A566">
        <v>94</v>
      </c>
      <c r="B566">
        <v>63.1</v>
      </c>
      <c r="C566">
        <v>0</v>
      </c>
    </row>
    <row r="567" spans="1:3" x14ac:dyDescent="0.25">
      <c r="A567">
        <v>94</v>
      </c>
      <c r="B567">
        <v>63</v>
      </c>
      <c r="C567">
        <v>0</v>
      </c>
    </row>
    <row r="568" spans="1:3" x14ac:dyDescent="0.25">
      <c r="A568">
        <v>94</v>
      </c>
      <c r="B568">
        <v>63</v>
      </c>
      <c r="C568">
        <v>0</v>
      </c>
    </row>
    <row r="569" spans="1:3" x14ac:dyDescent="0.25">
      <c r="A569">
        <v>0</v>
      </c>
      <c r="B569">
        <v>23.1</v>
      </c>
      <c r="C569">
        <v>0</v>
      </c>
    </row>
    <row r="570" spans="1:3" x14ac:dyDescent="0.25">
      <c r="A570">
        <v>0</v>
      </c>
      <c r="B570">
        <v>23</v>
      </c>
      <c r="C570">
        <v>0</v>
      </c>
    </row>
    <row r="571" spans="1:3" x14ac:dyDescent="0.25">
      <c r="A571">
        <v>0</v>
      </c>
      <c r="B571">
        <v>23.1</v>
      </c>
      <c r="C571">
        <v>0</v>
      </c>
    </row>
    <row r="572" spans="1:3" x14ac:dyDescent="0.25">
      <c r="A572">
        <v>0</v>
      </c>
      <c r="B572">
        <v>23.2</v>
      </c>
      <c r="C572">
        <v>0</v>
      </c>
    </row>
    <row r="573" spans="1:3" x14ac:dyDescent="0.25">
      <c r="A573">
        <v>0</v>
      </c>
      <c r="B573">
        <v>23.2</v>
      </c>
      <c r="C573">
        <v>0</v>
      </c>
    </row>
    <row r="574" spans="1:3" x14ac:dyDescent="0.25">
      <c r="A574">
        <v>1</v>
      </c>
      <c r="B574">
        <v>23.1</v>
      </c>
      <c r="C574">
        <v>0</v>
      </c>
    </row>
    <row r="575" spans="1:3" x14ac:dyDescent="0.25">
      <c r="A575">
        <v>1</v>
      </c>
      <c r="B575">
        <v>23.1</v>
      </c>
      <c r="C575">
        <v>0</v>
      </c>
    </row>
    <row r="576" spans="1:3" x14ac:dyDescent="0.25">
      <c r="A576">
        <v>1</v>
      </c>
      <c r="B576">
        <v>23.1</v>
      </c>
      <c r="C576">
        <v>0</v>
      </c>
    </row>
    <row r="577" spans="1:3" x14ac:dyDescent="0.25">
      <c r="A577">
        <v>1</v>
      </c>
      <c r="B577">
        <v>23.2</v>
      </c>
      <c r="C577">
        <v>58.1</v>
      </c>
    </row>
    <row r="578" spans="1:3" x14ac:dyDescent="0.25">
      <c r="A578">
        <v>1</v>
      </c>
      <c r="B578">
        <v>24</v>
      </c>
      <c r="C578">
        <v>94.6</v>
      </c>
    </row>
    <row r="579" spans="1:3" x14ac:dyDescent="0.25">
      <c r="A579">
        <v>1</v>
      </c>
      <c r="B579">
        <v>27.1</v>
      </c>
      <c r="C579">
        <v>99.3</v>
      </c>
    </row>
    <row r="580" spans="1:3" x14ac:dyDescent="0.25">
      <c r="A580">
        <v>2</v>
      </c>
      <c r="B580">
        <v>30.9</v>
      </c>
      <c r="C580">
        <v>99.9</v>
      </c>
    </row>
    <row r="581" spans="1:3" x14ac:dyDescent="0.25">
      <c r="A581">
        <v>2</v>
      </c>
      <c r="B581">
        <v>34.1</v>
      </c>
      <c r="C581">
        <v>99.9</v>
      </c>
    </row>
    <row r="582" spans="1:3" x14ac:dyDescent="0.25">
      <c r="A582">
        <v>2</v>
      </c>
      <c r="B582">
        <v>36.700000000000003</v>
      </c>
      <c r="C582">
        <v>99.9</v>
      </c>
    </row>
    <row r="583" spans="1:3" x14ac:dyDescent="0.25">
      <c r="A583">
        <v>2</v>
      </c>
      <c r="B583">
        <v>39.700000000000003</v>
      </c>
      <c r="C583">
        <v>99.9</v>
      </c>
    </row>
    <row r="584" spans="1:3" x14ac:dyDescent="0.25">
      <c r="A584">
        <v>2</v>
      </c>
      <c r="B584">
        <v>41.8</v>
      </c>
      <c r="C584">
        <v>99.9</v>
      </c>
    </row>
    <row r="585" spans="1:3" x14ac:dyDescent="0.25">
      <c r="A585">
        <v>2</v>
      </c>
      <c r="B585">
        <v>43.2</v>
      </c>
      <c r="C585">
        <v>99.9</v>
      </c>
    </row>
    <row r="586" spans="1:3" x14ac:dyDescent="0.25">
      <c r="A586">
        <v>3</v>
      </c>
      <c r="B586">
        <v>45.2</v>
      </c>
      <c r="C586">
        <v>99.9</v>
      </c>
    </row>
    <row r="587" spans="1:3" x14ac:dyDescent="0.25">
      <c r="A587">
        <v>3</v>
      </c>
      <c r="B587">
        <v>46.6</v>
      </c>
      <c r="C587">
        <v>99.9</v>
      </c>
    </row>
    <row r="588" spans="1:3" x14ac:dyDescent="0.25">
      <c r="A588">
        <v>3</v>
      </c>
      <c r="B588">
        <v>48.1</v>
      </c>
      <c r="C588">
        <v>99.9</v>
      </c>
    </row>
    <row r="589" spans="1:3" x14ac:dyDescent="0.25">
      <c r="A589">
        <v>3</v>
      </c>
      <c r="B589">
        <v>48.7</v>
      </c>
      <c r="C589">
        <v>99.9</v>
      </c>
    </row>
    <row r="590" spans="1:3" x14ac:dyDescent="0.25">
      <c r="A590">
        <v>3</v>
      </c>
      <c r="B590">
        <v>49.6</v>
      </c>
      <c r="C590">
        <v>99.9</v>
      </c>
    </row>
    <row r="591" spans="1:3" x14ac:dyDescent="0.25">
      <c r="A591">
        <v>3</v>
      </c>
      <c r="B591">
        <v>50.7</v>
      </c>
      <c r="C591">
        <v>99.9</v>
      </c>
    </row>
    <row r="592" spans="1:3" x14ac:dyDescent="0.25">
      <c r="A592">
        <v>4</v>
      </c>
      <c r="B592">
        <v>51.8</v>
      </c>
      <c r="C592">
        <v>99.9</v>
      </c>
    </row>
    <row r="593" spans="1:3" x14ac:dyDescent="0.25">
      <c r="A593">
        <v>4</v>
      </c>
      <c r="B593">
        <v>52.7</v>
      </c>
      <c r="C593">
        <v>99.9</v>
      </c>
    </row>
    <row r="594" spans="1:3" x14ac:dyDescent="0.25">
      <c r="A594">
        <v>4</v>
      </c>
      <c r="B594">
        <v>53.4</v>
      </c>
      <c r="C594">
        <v>99.9</v>
      </c>
    </row>
    <row r="595" spans="1:3" x14ac:dyDescent="0.25">
      <c r="A595">
        <v>4</v>
      </c>
      <c r="B595">
        <v>54.2</v>
      </c>
      <c r="C595">
        <v>99.9</v>
      </c>
    </row>
    <row r="596" spans="1:3" x14ac:dyDescent="0.25">
      <c r="A596">
        <v>4</v>
      </c>
      <c r="B596">
        <v>54.7</v>
      </c>
      <c r="C596">
        <v>99.9</v>
      </c>
    </row>
    <row r="597" spans="1:3" x14ac:dyDescent="0.25">
      <c r="A597">
        <v>4</v>
      </c>
      <c r="B597">
        <v>55.3</v>
      </c>
      <c r="C597">
        <v>99.9</v>
      </c>
    </row>
    <row r="598" spans="1:3" x14ac:dyDescent="0.25">
      <c r="A598">
        <v>5</v>
      </c>
      <c r="B598">
        <v>55.4</v>
      </c>
      <c r="C598">
        <v>99.9</v>
      </c>
    </row>
    <row r="599" spans="1:3" x14ac:dyDescent="0.25">
      <c r="A599">
        <v>5</v>
      </c>
      <c r="B599">
        <v>56.6</v>
      </c>
      <c r="C599">
        <v>99.9</v>
      </c>
    </row>
    <row r="600" spans="1:3" x14ac:dyDescent="0.25">
      <c r="A600">
        <v>5</v>
      </c>
      <c r="B600">
        <v>57.9</v>
      </c>
      <c r="C600">
        <v>99.9</v>
      </c>
    </row>
    <row r="601" spans="1:3" x14ac:dyDescent="0.25">
      <c r="A601">
        <v>5</v>
      </c>
      <c r="B601">
        <v>57.8</v>
      </c>
      <c r="C601">
        <v>99.9</v>
      </c>
    </row>
    <row r="602" spans="1:3" x14ac:dyDescent="0.25">
      <c r="A602">
        <v>5</v>
      </c>
      <c r="B602">
        <v>58.5</v>
      </c>
      <c r="C602">
        <v>99.9</v>
      </c>
    </row>
    <row r="603" spans="1:3" x14ac:dyDescent="0.25">
      <c r="A603">
        <v>5</v>
      </c>
      <c r="B603">
        <v>59.7</v>
      </c>
      <c r="C603">
        <v>99.9</v>
      </c>
    </row>
    <row r="604" spans="1:3" x14ac:dyDescent="0.25">
      <c r="A604">
        <v>6</v>
      </c>
      <c r="B604">
        <v>60.4</v>
      </c>
      <c r="C604">
        <v>99.9</v>
      </c>
    </row>
    <row r="605" spans="1:3" x14ac:dyDescent="0.25">
      <c r="A605">
        <v>6</v>
      </c>
      <c r="B605">
        <v>59.4</v>
      </c>
      <c r="C605">
        <v>99.9</v>
      </c>
    </row>
    <row r="606" spans="1:3" x14ac:dyDescent="0.25">
      <c r="A606">
        <v>6</v>
      </c>
      <c r="B606">
        <v>61.4</v>
      </c>
      <c r="C606">
        <v>99.9</v>
      </c>
    </row>
    <row r="607" spans="1:3" x14ac:dyDescent="0.25">
      <c r="A607">
        <v>6</v>
      </c>
      <c r="B607">
        <v>60.6</v>
      </c>
      <c r="C607">
        <v>99.9</v>
      </c>
    </row>
    <row r="608" spans="1:3" x14ac:dyDescent="0.25">
      <c r="A608">
        <v>6</v>
      </c>
      <c r="B608">
        <v>62.2</v>
      </c>
      <c r="C608">
        <v>99.9</v>
      </c>
    </row>
    <row r="609" spans="1:3" x14ac:dyDescent="0.25">
      <c r="A609">
        <v>6</v>
      </c>
      <c r="B609">
        <v>63.5</v>
      </c>
      <c r="C609">
        <v>99.9</v>
      </c>
    </row>
    <row r="610" spans="1:3" x14ac:dyDescent="0.25">
      <c r="A610">
        <v>7</v>
      </c>
      <c r="B610">
        <v>64.3</v>
      </c>
      <c r="C610">
        <v>99.9</v>
      </c>
    </row>
    <row r="611" spans="1:3" x14ac:dyDescent="0.25">
      <c r="A611">
        <v>7</v>
      </c>
      <c r="B611">
        <v>65</v>
      </c>
      <c r="C611">
        <v>99.9</v>
      </c>
    </row>
    <row r="612" spans="1:3" x14ac:dyDescent="0.25">
      <c r="A612">
        <v>7</v>
      </c>
      <c r="B612">
        <v>65.2</v>
      </c>
      <c r="C612">
        <v>99.9</v>
      </c>
    </row>
    <row r="613" spans="1:3" x14ac:dyDescent="0.25">
      <c r="A613">
        <v>7</v>
      </c>
      <c r="B613">
        <v>65.400000000000006</v>
      </c>
      <c r="C613">
        <v>99.9</v>
      </c>
    </row>
    <row r="614" spans="1:3" x14ac:dyDescent="0.25">
      <c r="A614">
        <v>7</v>
      </c>
      <c r="B614">
        <v>66.2</v>
      </c>
      <c r="C614">
        <v>99.9</v>
      </c>
    </row>
    <row r="615" spans="1:3" x14ac:dyDescent="0.25">
      <c r="A615">
        <v>7</v>
      </c>
      <c r="B615">
        <v>66.599999999999994</v>
      </c>
      <c r="C615">
        <v>99.9</v>
      </c>
    </row>
    <row r="616" spans="1:3" x14ac:dyDescent="0.25">
      <c r="A616">
        <v>8</v>
      </c>
      <c r="B616">
        <v>67.3</v>
      </c>
      <c r="C616">
        <v>99.9</v>
      </c>
    </row>
    <row r="617" spans="1:3" x14ac:dyDescent="0.25">
      <c r="A617">
        <v>8</v>
      </c>
      <c r="B617">
        <v>68.3</v>
      </c>
      <c r="C617">
        <v>99.9</v>
      </c>
    </row>
    <row r="618" spans="1:3" x14ac:dyDescent="0.25">
      <c r="A618">
        <v>8</v>
      </c>
      <c r="B618">
        <v>68.599999999999994</v>
      </c>
      <c r="C618">
        <v>99.9</v>
      </c>
    </row>
    <row r="619" spans="1:3" x14ac:dyDescent="0.25">
      <c r="A619">
        <v>8</v>
      </c>
      <c r="B619">
        <v>68.900000000000006</v>
      </c>
      <c r="C619">
        <v>99.9</v>
      </c>
    </row>
    <row r="620" spans="1:3" x14ac:dyDescent="0.25">
      <c r="A620">
        <v>8</v>
      </c>
      <c r="B620">
        <v>69.5</v>
      </c>
      <c r="C620">
        <v>99.9</v>
      </c>
    </row>
    <row r="621" spans="1:3" x14ac:dyDescent="0.25">
      <c r="A621">
        <v>9</v>
      </c>
      <c r="B621">
        <v>69.900000000000006</v>
      </c>
      <c r="C621">
        <v>99.9</v>
      </c>
    </row>
    <row r="622" spans="1:3" x14ac:dyDescent="0.25">
      <c r="A622">
        <v>9</v>
      </c>
      <c r="B622">
        <v>70.3</v>
      </c>
      <c r="C622">
        <v>99.9</v>
      </c>
    </row>
    <row r="623" spans="1:3" x14ac:dyDescent="0.25">
      <c r="A623">
        <v>9</v>
      </c>
      <c r="B623">
        <v>71</v>
      </c>
      <c r="C623">
        <v>99.9</v>
      </c>
    </row>
    <row r="624" spans="1:3" x14ac:dyDescent="0.25">
      <c r="A624">
        <v>9</v>
      </c>
      <c r="B624">
        <v>71.599999999999994</v>
      </c>
      <c r="C624">
        <v>99.9</v>
      </c>
    </row>
    <row r="625" spans="1:3" x14ac:dyDescent="0.25">
      <c r="A625">
        <v>9</v>
      </c>
      <c r="B625">
        <v>71.5</v>
      </c>
      <c r="C625">
        <v>99.9</v>
      </c>
    </row>
    <row r="626" spans="1:3" x14ac:dyDescent="0.25">
      <c r="A626">
        <v>9</v>
      </c>
      <c r="B626">
        <v>72</v>
      </c>
      <c r="C626">
        <v>99.9</v>
      </c>
    </row>
    <row r="627" spans="1:3" x14ac:dyDescent="0.25">
      <c r="A627">
        <v>10</v>
      </c>
      <c r="B627">
        <v>72.3</v>
      </c>
      <c r="C627">
        <v>99.9</v>
      </c>
    </row>
    <row r="628" spans="1:3" x14ac:dyDescent="0.25">
      <c r="A628">
        <v>10</v>
      </c>
      <c r="B628">
        <v>72.599999999999994</v>
      </c>
      <c r="C628">
        <v>99.9</v>
      </c>
    </row>
    <row r="629" spans="1:3" x14ac:dyDescent="0.25">
      <c r="A629">
        <v>10</v>
      </c>
      <c r="B629">
        <v>73.5</v>
      </c>
      <c r="C629">
        <v>99.9</v>
      </c>
    </row>
    <row r="630" spans="1:3" x14ac:dyDescent="0.25">
      <c r="A630">
        <v>10</v>
      </c>
      <c r="B630">
        <v>73.8</v>
      </c>
      <c r="C630">
        <v>99.9</v>
      </c>
    </row>
    <row r="631" spans="1:3" x14ac:dyDescent="0.25">
      <c r="A631">
        <v>10</v>
      </c>
      <c r="B631">
        <v>74</v>
      </c>
      <c r="C631">
        <v>99.9</v>
      </c>
    </row>
    <row r="632" spans="1:3" x14ac:dyDescent="0.25">
      <c r="A632">
        <v>10</v>
      </c>
      <c r="B632">
        <v>74.3</v>
      </c>
      <c r="C632">
        <v>99.9</v>
      </c>
    </row>
    <row r="633" spans="1:3" x14ac:dyDescent="0.25">
      <c r="A633">
        <v>11</v>
      </c>
      <c r="B633">
        <v>74.7</v>
      </c>
      <c r="C633">
        <v>99.9</v>
      </c>
    </row>
    <row r="634" spans="1:3" x14ac:dyDescent="0.25">
      <c r="A634">
        <v>11</v>
      </c>
      <c r="B634">
        <v>75</v>
      </c>
      <c r="C634">
        <v>99.9</v>
      </c>
    </row>
    <row r="635" spans="1:3" x14ac:dyDescent="0.25">
      <c r="A635">
        <v>11</v>
      </c>
      <c r="B635">
        <v>75.3</v>
      </c>
      <c r="C635">
        <v>99.9</v>
      </c>
    </row>
    <row r="636" spans="1:3" x14ac:dyDescent="0.25">
      <c r="A636">
        <v>11</v>
      </c>
      <c r="B636">
        <v>75.599999999999994</v>
      </c>
      <c r="C636">
        <v>99.9</v>
      </c>
    </row>
    <row r="637" spans="1:3" x14ac:dyDescent="0.25">
      <c r="A637">
        <v>11</v>
      </c>
      <c r="B637">
        <v>76.8</v>
      </c>
      <c r="C637">
        <v>99.9</v>
      </c>
    </row>
    <row r="638" spans="1:3" x14ac:dyDescent="0.25">
      <c r="A638">
        <v>11</v>
      </c>
      <c r="B638">
        <v>76.900000000000006</v>
      </c>
      <c r="C638">
        <v>99.9</v>
      </c>
    </row>
    <row r="639" spans="1:3" x14ac:dyDescent="0.25">
      <c r="A639">
        <v>12</v>
      </c>
      <c r="B639">
        <v>77.3</v>
      </c>
      <c r="C639">
        <v>99.9</v>
      </c>
    </row>
    <row r="640" spans="1:3" x14ac:dyDescent="0.25">
      <c r="A640">
        <v>12</v>
      </c>
      <c r="B640">
        <v>77.8</v>
      </c>
      <c r="C640">
        <v>99.9</v>
      </c>
    </row>
    <row r="641" spans="1:3" x14ac:dyDescent="0.25">
      <c r="A641">
        <v>12</v>
      </c>
      <c r="B641">
        <v>78</v>
      </c>
      <c r="C641">
        <v>99.9</v>
      </c>
    </row>
    <row r="642" spans="1:3" x14ac:dyDescent="0.25">
      <c r="A642">
        <v>12</v>
      </c>
      <c r="B642">
        <v>78</v>
      </c>
      <c r="C642">
        <v>99.9</v>
      </c>
    </row>
    <row r="643" spans="1:3" x14ac:dyDescent="0.25">
      <c r="A643">
        <v>12</v>
      </c>
      <c r="B643">
        <v>78.8</v>
      </c>
      <c r="C643">
        <v>99.9</v>
      </c>
    </row>
    <row r="644" spans="1:3" x14ac:dyDescent="0.25">
      <c r="A644">
        <v>12</v>
      </c>
      <c r="B644">
        <v>79</v>
      </c>
      <c r="C644">
        <v>99.9</v>
      </c>
    </row>
    <row r="645" spans="1:3" x14ac:dyDescent="0.25">
      <c r="A645">
        <v>13</v>
      </c>
      <c r="B645">
        <v>79.400000000000006</v>
      </c>
      <c r="C645">
        <v>99.9</v>
      </c>
    </row>
    <row r="646" spans="1:3" x14ac:dyDescent="0.25">
      <c r="A646">
        <v>13</v>
      </c>
      <c r="B646">
        <v>79.5</v>
      </c>
      <c r="C646">
        <v>99.9</v>
      </c>
    </row>
    <row r="647" spans="1:3" x14ac:dyDescent="0.25">
      <c r="A647">
        <v>13</v>
      </c>
      <c r="B647">
        <v>80</v>
      </c>
      <c r="C647">
        <v>39.700000000000003</v>
      </c>
    </row>
    <row r="648" spans="1:3" x14ac:dyDescent="0.25">
      <c r="A648">
        <v>13</v>
      </c>
      <c r="B648">
        <v>79.900000000000006</v>
      </c>
      <c r="C648">
        <v>5.0999999999999996</v>
      </c>
    </row>
    <row r="649" spans="1:3" x14ac:dyDescent="0.25">
      <c r="A649">
        <v>13</v>
      </c>
      <c r="B649">
        <v>78.099999999999994</v>
      </c>
      <c r="C649">
        <v>0.6</v>
      </c>
    </row>
    <row r="650" spans="1:3" x14ac:dyDescent="0.25">
      <c r="A650">
        <v>13</v>
      </c>
      <c r="B650">
        <v>76</v>
      </c>
      <c r="C650">
        <v>0</v>
      </c>
    </row>
    <row r="651" spans="1:3" x14ac:dyDescent="0.25">
      <c r="A651">
        <v>14</v>
      </c>
      <c r="B651">
        <v>74</v>
      </c>
      <c r="C651">
        <v>0</v>
      </c>
    </row>
    <row r="652" spans="1:3" x14ac:dyDescent="0.25">
      <c r="A652">
        <v>14</v>
      </c>
      <c r="B652">
        <v>72.3</v>
      </c>
      <c r="C652">
        <v>0</v>
      </c>
    </row>
    <row r="653" spans="1:3" x14ac:dyDescent="0.25">
      <c r="A653">
        <v>14</v>
      </c>
      <c r="B653">
        <v>71.099999999999994</v>
      </c>
      <c r="C653">
        <v>0</v>
      </c>
    </row>
    <row r="654" spans="1:3" x14ac:dyDescent="0.25">
      <c r="A654">
        <v>14</v>
      </c>
      <c r="B654">
        <v>70</v>
      </c>
      <c r="C654">
        <v>0</v>
      </c>
    </row>
    <row r="655" spans="1:3" x14ac:dyDescent="0.25">
      <c r="A655">
        <v>14</v>
      </c>
      <c r="B655">
        <v>70</v>
      </c>
      <c r="C655">
        <v>87.1</v>
      </c>
    </row>
    <row r="656" spans="1:3" x14ac:dyDescent="0.25">
      <c r="A656">
        <v>14</v>
      </c>
      <c r="B656">
        <v>72.099999999999994</v>
      </c>
      <c r="C656">
        <v>98.3</v>
      </c>
    </row>
    <row r="657" spans="1:3" x14ac:dyDescent="0.25">
      <c r="A657">
        <v>15</v>
      </c>
      <c r="B657">
        <v>74.8</v>
      </c>
      <c r="C657">
        <v>99.7</v>
      </c>
    </row>
    <row r="658" spans="1:3" x14ac:dyDescent="0.25">
      <c r="A658">
        <v>15</v>
      </c>
      <c r="B658">
        <v>77.099999999999994</v>
      </c>
      <c r="C658">
        <v>99.9</v>
      </c>
    </row>
    <row r="659" spans="1:3" x14ac:dyDescent="0.25">
      <c r="A659">
        <v>15</v>
      </c>
      <c r="B659">
        <v>78.099999999999994</v>
      </c>
      <c r="C659">
        <v>99.9</v>
      </c>
    </row>
    <row r="660" spans="1:3" x14ac:dyDescent="0.25">
      <c r="A660">
        <v>15</v>
      </c>
      <c r="B660">
        <v>78.900000000000006</v>
      </c>
      <c r="C660">
        <v>99.9</v>
      </c>
    </row>
    <row r="661" spans="1:3" x14ac:dyDescent="0.25">
      <c r="A661">
        <v>15</v>
      </c>
      <c r="B661">
        <v>80.099999999999994</v>
      </c>
      <c r="C661">
        <v>99.9</v>
      </c>
    </row>
    <row r="662" spans="1:3" x14ac:dyDescent="0.25">
      <c r="A662">
        <v>15</v>
      </c>
      <c r="B662">
        <v>80.3</v>
      </c>
      <c r="C662">
        <v>12.8</v>
      </c>
    </row>
    <row r="663" spans="1:3" x14ac:dyDescent="0.25">
      <c r="A663">
        <v>16</v>
      </c>
      <c r="B663">
        <v>78.8</v>
      </c>
      <c r="C663">
        <v>76.5</v>
      </c>
    </row>
    <row r="664" spans="1:3" x14ac:dyDescent="0.25">
      <c r="A664">
        <v>16</v>
      </c>
      <c r="B664">
        <v>78.8</v>
      </c>
      <c r="C664">
        <v>9.8000000000000007</v>
      </c>
    </row>
    <row r="665" spans="1:3" x14ac:dyDescent="0.25">
      <c r="A665">
        <v>16</v>
      </c>
      <c r="B665">
        <v>77.900000000000006</v>
      </c>
      <c r="C665">
        <v>1.2</v>
      </c>
    </row>
    <row r="666" spans="1:3" x14ac:dyDescent="0.25">
      <c r="A666">
        <v>16</v>
      </c>
      <c r="B666">
        <v>76.400000000000006</v>
      </c>
      <c r="C666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0524</vt:lpstr>
      <vt:lpstr>0525</vt:lpstr>
      <vt:lpstr>0530</vt:lpstr>
      <vt:lpstr>0606</vt:lpstr>
      <vt:lpstr>0607</vt:lpstr>
      <vt:lpstr>0607-a</vt:lpstr>
      <vt:lpstr>0608-a</vt:lpstr>
      <vt:lpstr>0609-a</vt:lpstr>
      <vt:lpstr>0610-a</vt:lpstr>
      <vt:lpstr>0611-a</vt:lpstr>
      <vt:lpstr>0613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2026-06-28T20:53:49Z</dcterms:modified>
</cp:coreProperties>
</file>